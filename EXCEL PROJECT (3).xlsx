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stomer_Dim" sheetId="1" r:id="rId4"/>
    <sheet state="visible" name="Product_Dim" sheetId="2" r:id="rId5"/>
    <sheet state="visible" name="Store_Dim" sheetId="3" r:id="rId6"/>
    <sheet state="visible" name="Sales_Fact" sheetId="4" r:id="rId7"/>
    <sheet state="visible" name="CUSTOMER_PIVOT_TABLE" sheetId="5" r:id="rId8"/>
    <sheet state="visible" name="STORE_PIVOT_TABLE" sheetId="6" r:id="rId9"/>
  </sheets>
  <definedNames>
    <definedName name="_xlcn.WorksheetConnection_Pivot_Store_DimA1B51">#REF!</definedName>
    <definedName name="_xlcn.WorksheetConnection_Customer_DimL1M5011">Customer_Dim!$L$1:$M$501</definedName>
    <definedName hidden="1" localSheetId="4" name="_xlnm._FilterDatabase">CUSTOMER_PIVOT_TABLE!$A$1:$B$4</definedName>
  </definedNames>
  <calcPr/>
  <pivotCaches>
    <pivotCache cacheId="0" r:id="rId10"/>
    <pivotCache cacheId="1" r:id="rId11"/>
  </pivotCaches>
  <extLst>
    <ext uri="GoogleSheetsCustomDataVersion2">
      <go:sheetsCustomData xmlns:go="http://customooxmlschemas.google.com/" r:id="rId12" roundtripDataChecksum="LCk8D3IbMCyhO1+0yOsH5+9HPECaTcZwMbFsljgSsEk="/>
    </ext>
  </extLst>
</workbook>
</file>

<file path=xl/sharedStrings.xml><?xml version="1.0" encoding="utf-8"?>
<sst xmlns="http://schemas.openxmlformats.org/spreadsheetml/2006/main" count="12138" uniqueCount="3957">
  <si>
    <t>Customer_ID</t>
  </si>
  <si>
    <t>Name</t>
  </si>
  <si>
    <t>Age</t>
  </si>
  <si>
    <t>Gender</t>
  </si>
  <si>
    <t>City</t>
  </si>
  <si>
    <t>State</t>
  </si>
  <si>
    <t>COUNTRY</t>
  </si>
  <si>
    <t>Loyalty_Level</t>
  </si>
  <si>
    <t>Clean_Name</t>
  </si>
  <si>
    <t>Clean_City</t>
  </si>
  <si>
    <t>Clean_State</t>
  </si>
  <si>
    <t>Clean_Gender</t>
  </si>
  <si>
    <t>Loyalty_Filled</t>
  </si>
  <si>
    <t>Age_Check</t>
  </si>
  <si>
    <t>CUST1000</t>
  </si>
  <si>
    <t xml:space="preserve">  sheena bonilla  </t>
  </si>
  <si>
    <t>Male</t>
  </si>
  <si>
    <t>Donaldton</t>
  </si>
  <si>
    <t>North Carolina</t>
  </si>
  <si>
    <t>USA</t>
  </si>
  <si>
    <t>CUST1001</t>
  </si>
  <si>
    <t>Eugene Nelson</t>
  </si>
  <si>
    <t>Female</t>
  </si>
  <si>
    <t>Phillipsmouth</t>
  </si>
  <si>
    <t>North Dakota</t>
  </si>
  <si>
    <t>Platinum</t>
  </si>
  <si>
    <t>CUST1002</t>
  </si>
  <si>
    <t>dr. Benjamin Price</t>
  </si>
  <si>
    <t>Kylebury</t>
  </si>
  <si>
    <t>Alabama</t>
  </si>
  <si>
    <t>CUST1003</t>
  </si>
  <si>
    <t>jeremy harris</t>
  </si>
  <si>
    <t>Thomastown</t>
  </si>
  <si>
    <t>Ohio</t>
  </si>
  <si>
    <t>Bronze</t>
  </si>
  <si>
    <t>CUST1004</t>
  </si>
  <si>
    <t>Caroline Collins</t>
  </si>
  <si>
    <t>Nicholasshire</t>
  </si>
  <si>
    <t>California</t>
  </si>
  <si>
    <t>Silver</t>
  </si>
  <si>
    <t>CUST1005</t>
  </si>
  <si>
    <t>Christine Vaughn</t>
  </si>
  <si>
    <t>East Amandamouth</t>
  </si>
  <si>
    <t>Oregon</t>
  </si>
  <si>
    <t>CUST1006</t>
  </si>
  <si>
    <t>Amber Jackson</t>
  </si>
  <si>
    <t>Deborahborough</t>
  </si>
  <si>
    <t>South Dakota</t>
  </si>
  <si>
    <t>CUST1007</t>
  </si>
  <si>
    <t>Daniel Boyd</t>
  </si>
  <si>
    <t>West Pamelafurt</t>
  </si>
  <si>
    <t>West Virginia</t>
  </si>
  <si>
    <t>CUST1008</t>
  </si>
  <si>
    <t>Melissa Howard</t>
  </si>
  <si>
    <t>Maynardton</t>
  </si>
  <si>
    <t>New Hampshire</t>
  </si>
  <si>
    <t>Gold</t>
  </si>
  <si>
    <t>CUST1009</t>
  </si>
  <si>
    <t>Ms. Maria Leach</t>
  </si>
  <si>
    <t>Melissashire</t>
  </si>
  <si>
    <t>Pennsylvania</t>
  </si>
  <si>
    <t>CUST1010</t>
  </si>
  <si>
    <t>Dominic Page</t>
  </si>
  <si>
    <t>Port Michaelburgh</t>
  </si>
  <si>
    <t>CUST1011</t>
  </si>
  <si>
    <t>Brian Lopez</t>
  </si>
  <si>
    <t>East Krista</t>
  </si>
  <si>
    <t>New York</t>
  </si>
  <si>
    <t>CUST1012</t>
  </si>
  <si>
    <t>Kenneth Lambert</t>
  </si>
  <si>
    <t>North Kathryn</t>
  </si>
  <si>
    <t>Kansas</t>
  </si>
  <si>
    <t>CUST1013</t>
  </si>
  <si>
    <t>Nathan Hernandez</t>
  </si>
  <si>
    <t>New Becky</t>
  </si>
  <si>
    <t>Montana</t>
  </si>
  <si>
    <t>CUST1014</t>
  </si>
  <si>
    <t>Ashley Cohen</t>
  </si>
  <si>
    <t>Lake Kristamouth</t>
  </si>
  <si>
    <t>Nebraska</t>
  </si>
  <si>
    <t>CUST1015</t>
  </si>
  <si>
    <t>Laura Alvarez</t>
  </si>
  <si>
    <t>Lawsonhaven</t>
  </si>
  <si>
    <t>Washington</t>
  </si>
  <si>
    <t>CUST1016</t>
  </si>
  <si>
    <t>John Scott</t>
  </si>
  <si>
    <t>South Christopher</t>
  </si>
  <si>
    <t>CUST1017</t>
  </si>
  <si>
    <t>Adam Cruz</t>
  </si>
  <si>
    <t>Brandonville</t>
  </si>
  <si>
    <t>Georgia</t>
  </si>
  <si>
    <t>CUST1018</t>
  </si>
  <si>
    <t>Rhonda Moss</t>
  </si>
  <si>
    <t>South William</t>
  </si>
  <si>
    <t>CUST1019</t>
  </si>
  <si>
    <t>Michael Torres</t>
  </si>
  <si>
    <t>Gonzalezfort</t>
  </si>
  <si>
    <t>New Jersey</t>
  </si>
  <si>
    <t>CUST1020</t>
  </si>
  <si>
    <t>Bridget Allen</t>
  </si>
  <si>
    <t>Lake Shaneburgh</t>
  </si>
  <si>
    <t>Delaware</t>
  </si>
  <si>
    <t>CUST1021</t>
  </si>
  <si>
    <t>Jeff Martinez</t>
  </si>
  <si>
    <t>Smithburgh</t>
  </si>
  <si>
    <t>Oklahoma</t>
  </si>
  <si>
    <t>CUST1022</t>
  </si>
  <si>
    <t xml:space="preserve">   paul fox</t>
  </si>
  <si>
    <t>Michaelton</t>
  </si>
  <si>
    <t>Hawaii</t>
  </si>
  <si>
    <t>CUST1023</t>
  </si>
  <si>
    <t>Jonathan Steele</t>
  </si>
  <si>
    <t>Molinabury</t>
  </si>
  <si>
    <t>CUST1024</t>
  </si>
  <si>
    <t>Heather Collins</t>
  </si>
  <si>
    <t>Rogerschester</t>
  </si>
  <si>
    <t>Idaho</t>
  </si>
  <si>
    <t>CUST1025</t>
  </si>
  <si>
    <t>Diana Taylor</t>
  </si>
  <si>
    <t>Vasqueztown</t>
  </si>
  <si>
    <t>CUST1026</t>
  </si>
  <si>
    <t>Amber Carlson</t>
  </si>
  <si>
    <t>East Michellemouth</t>
  </si>
  <si>
    <t>Missouri</t>
  </si>
  <si>
    <t>CUST1027</t>
  </si>
  <si>
    <t>Leslie Johnson</t>
  </si>
  <si>
    <t>Mollyshire</t>
  </si>
  <si>
    <t>Utah</t>
  </si>
  <si>
    <t>CUST1028</t>
  </si>
  <si>
    <t>Joshua Ryan</t>
  </si>
  <si>
    <t>New David</t>
  </si>
  <si>
    <t>CUST1029</t>
  </si>
  <si>
    <t>David Arnold</t>
  </si>
  <si>
    <t>East Jennifer</t>
  </si>
  <si>
    <t>CUST1030</t>
  </si>
  <si>
    <t>Jessica Acevedo</t>
  </si>
  <si>
    <t>Amybury</t>
  </si>
  <si>
    <t>CUST1031</t>
  </si>
  <si>
    <t>Sarah Vance</t>
  </si>
  <si>
    <t>Johnsonville</t>
  </si>
  <si>
    <t>CUST1032</t>
  </si>
  <si>
    <t>Mike Jennings</t>
  </si>
  <si>
    <t>Fostermouth</t>
  </si>
  <si>
    <t>Arizona</t>
  </si>
  <si>
    <t>CUST1033</t>
  </si>
  <si>
    <t>Robert Jones DDS</t>
  </si>
  <si>
    <t>Tristanton</t>
  </si>
  <si>
    <t>CUST1034</t>
  </si>
  <si>
    <t>Christopher Olson</t>
  </si>
  <si>
    <t>West Richard</t>
  </si>
  <si>
    <t>Maryland</t>
  </si>
  <si>
    <t>CUST1035</t>
  </si>
  <si>
    <t>Rachel Myers</t>
  </si>
  <si>
    <t>Robertberg</t>
  </si>
  <si>
    <t>CUST1036</t>
  </si>
  <si>
    <t>Thomas Phillips</t>
  </si>
  <si>
    <t>Luisfurt</t>
  </si>
  <si>
    <t>CUST1037</t>
  </si>
  <si>
    <t>Christopher Carter</t>
  </si>
  <si>
    <t>Brendastad</t>
  </si>
  <si>
    <t>CUST1038</t>
  </si>
  <si>
    <t>Deanna Simpson</t>
  </si>
  <si>
    <t>Brownport</t>
  </si>
  <si>
    <t>CUST1039</t>
  </si>
  <si>
    <t>Tonya Reynolds</t>
  </si>
  <si>
    <t>Darleneton</t>
  </si>
  <si>
    <t>Michigan</t>
  </si>
  <si>
    <t>CUST1040</t>
  </si>
  <si>
    <t>Eric Vega</t>
  </si>
  <si>
    <t>Williamsonland</t>
  </si>
  <si>
    <t>CUST1041</t>
  </si>
  <si>
    <t>James Gibbs</t>
  </si>
  <si>
    <t>Mooneyshire</t>
  </si>
  <si>
    <t>Alaska</t>
  </si>
  <si>
    <t>CUST1042</t>
  </si>
  <si>
    <t>William Martin</t>
  </si>
  <si>
    <t>Ryanburgh</t>
  </si>
  <si>
    <t>Connecticut</t>
  </si>
  <si>
    <t>CUST1043</t>
  </si>
  <si>
    <t>Joseph Snow</t>
  </si>
  <si>
    <t>South Michaelfort</t>
  </si>
  <si>
    <t>Vermont</t>
  </si>
  <si>
    <t>CUST1044</t>
  </si>
  <si>
    <t>Denise Williams</t>
  </si>
  <si>
    <t>Christianstad</t>
  </si>
  <si>
    <t>CUST1045</t>
  </si>
  <si>
    <t>Jordan Jackson DDS</t>
  </si>
  <si>
    <t>North Johnview</t>
  </si>
  <si>
    <t>CUST1046</t>
  </si>
  <si>
    <t>Michelle Garcia DDS</t>
  </si>
  <si>
    <t>Perezbury</t>
  </si>
  <si>
    <t>CUST1047</t>
  </si>
  <si>
    <t>Gina Knight</t>
  </si>
  <si>
    <t>Lake Roberthaven</t>
  </si>
  <si>
    <t>Nevada</t>
  </si>
  <si>
    <t>CUST1048</t>
  </si>
  <si>
    <t>April Mullins</t>
  </si>
  <si>
    <t>Dawsonbury</t>
  </si>
  <si>
    <t>CUST1049</t>
  </si>
  <si>
    <t>Timothy Weaver</t>
  </si>
  <si>
    <t>New Amy</t>
  </si>
  <si>
    <t>CUST1050</t>
  </si>
  <si>
    <t>Matthew Hunter Jr.</t>
  </si>
  <si>
    <t>Gregoryview</t>
  </si>
  <si>
    <t>Illinois</t>
  </si>
  <si>
    <t>CUST1051</t>
  </si>
  <si>
    <t>Sarah Rodgers</t>
  </si>
  <si>
    <t>New Julia</t>
  </si>
  <si>
    <t>CUST1052</t>
  </si>
  <si>
    <t>Debra Liu</t>
  </si>
  <si>
    <t>South Timtown</t>
  </si>
  <si>
    <t>Minnesota</t>
  </si>
  <si>
    <t>CUST1053</t>
  </si>
  <si>
    <t>Sharon Brown</t>
  </si>
  <si>
    <t>East Andrea</t>
  </si>
  <si>
    <t>CUST1054</t>
  </si>
  <si>
    <t>Katherine Dorsey</t>
  </si>
  <si>
    <t>Christopherland</t>
  </si>
  <si>
    <t>CUST1055</t>
  </si>
  <si>
    <t>Wayne Mcpherson</t>
  </si>
  <si>
    <t>Edwardsfort</t>
  </si>
  <si>
    <t>CUST1056</t>
  </si>
  <si>
    <t>Christopher Sutton</t>
  </si>
  <si>
    <t>Deborahberg</t>
  </si>
  <si>
    <t>CUST1057</t>
  </si>
  <si>
    <t>Jay Patel</t>
  </si>
  <si>
    <t>Morrisbury</t>
  </si>
  <si>
    <t>Rhode Island</t>
  </si>
  <si>
    <t>CUST1058</t>
  </si>
  <si>
    <t>Cheryl Copeland</t>
  </si>
  <si>
    <t>Snowmouth</t>
  </si>
  <si>
    <t>CUST1059</t>
  </si>
  <si>
    <t>Alyssa Vargas</t>
  </si>
  <si>
    <t>New Kathrynland</t>
  </si>
  <si>
    <t>CUST1060</t>
  </si>
  <si>
    <t>Dr. David Smith</t>
  </si>
  <si>
    <t>Schmidtchester</t>
  </si>
  <si>
    <t>CUST1061</t>
  </si>
  <si>
    <t>Kristin Stein</t>
  </si>
  <si>
    <t>Jennifermouth</t>
  </si>
  <si>
    <t>CUST1062</t>
  </si>
  <si>
    <t>James Bean</t>
  </si>
  <si>
    <t>Stevensonton</t>
  </si>
  <si>
    <t>New Mexico</t>
  </si>
  <si>
    <t>CUST1063</t>
  </si>
  <si>
    <t>Michael Daniel</t>
  </si>
  <si>
    <t>New Jesse</t>
  </si>
  <si>
    <t>Tennessee</t>
  </si>
  <si>
    <t>CUST1064</t>
  </si>
  <si>
    <t>Mr. Mason Butler</t>
  </si>
  <si>
    <t>Port Kathrynhaven</t>
  </si>
  <si>
    <t>CUST1065</t>
  </si>
  <si>
    <t>Michael Thomas</t>
  </si>
  <si>
    <t>Woodmouth</t>
  </si>
  <si>
    <t>CUST1066</t>
  </si>
  <si>
    <t>Cody Diaz</t>
  </si>
  <si>
    <t>South Aaronside</t>
  </si>
  <si>
    <t>CUST1067</t>
  </si>
  <si>
    <t>Amber Mcclain</t>
  </si>
  <si>
    <t>Brendaburgh</t>
  </si>
  <si>
    <t>Florida</t>
  </si>
  <si>
    <t>CUST1068</t>
  </si>
  <si>
    <t>Mr. Mark Beasley</t>
  </si>
  <si>
    <t>West Johnchester</t>
  </si>
  <si>
    <t>Indiana</t>
  </si>
  <si>
    <t>CUST1069</t>
  </si>
  <si>
    <t>Roy Cole</t>
  </si>
  <si>
    <t>North Cynthiatown</t>
  </si>
  <si>
    <t>CUST1070</t>
  </si>
  <si>
    <t>Eric Singh</t>
  </si>
  <si>
    <t>Port Lisa</t>
  </si>
  <si>
    <t>CUST1071</t>
  </si>
  <si>
    <t>Andrea Perez</t>
  </si>
  <si>
    <t>South Shaun</t>
  </si>
  <si>
    <t>CUST1072</t>
  </si>
  <si>
    <t>Tonya Burch</t>
  </si>
  <si>
    <t>Olsonhaven</t>
  </si>
  <si>
    <t>Iowa</t>
  </si>
  <si>
    <t>CUST1073</t>
  </si>
  <si>
    <t>Christopher Brown</t>
  </si>
  <si>
    <t>Sandrastad</t>
  </si>
  <si>
    <t>CUST1074</t>
  </si>
  <si>
    <t>John Mayer</t>
  </si>
  <si>
    <t>Longport</t>
  </si>
  <si>
    <t>Colorado</t>
  </si>
  <si>
    <t>CUST1075</t>
  </si>
  <si>
    <t>Rhonda Morales</t>
  </si>
  <si>
    <t>Lake Barryfurt</t>
  </si>
  <si>
    <t>CUST1076</t>
  </si>
  <si>
    <t>Nathan Campbell</t>
  </si>
  <si>
    <t>Rodrigueztown</t>
  </si>
  <si>
    <t>CUST1077</t>
  </si>
  <si>
    <t>Katherine Young</t>
  </si>
  <si>
    <t>North Valeriemouth</t>
  </si>
  <si>
    <t>CUST1078</t>
  </si>
  <si>
    <t>Cody Blake</t>
  </si>
  <si>
    <t>North Scottport</t>
  </si>
  <si>
    <t>Virginia</t>
  </si>
  <si>
    <t>CUST1079</t>
  </si>
  <si>
    <t>Molly Gardner</t>
  </si>
  <si>
    <t>Nicoleborough</t>
  </si>
  <si>
    <t>Arkansas</t>
  </si>
  <si>
    <t>CUST1080</t>
  </si>
  <si>
    <t>Jennifer Garcia</t>
  </si>
  <si>
    <t>New Sean</t>
  </si>
  <si>
    <t>CUST1081</t>
  </si>
  <si>
    <t>Krystal Ford</t>
  </si>
  <si>
    <t>South David</t>
  </si>
  <si>
    <t>CUST1082</t>
  </si>
  <si>
    <t>George Rosario</t>
  </si>
  <si>
    <t>Leburgh</t>
  </si>
  <si>
    <t>CUST1083</t>
  </si>
  <si>
    <t>Thomas Robinson</t>
  </si>
  <si>
    <t>Nicholastown</t>
  </si>
  <si>
    <t>CUST1084</t>
  </si>
  <si>
    <t>Christy Hoffman</t>
  </si>
  <si>
    <t>Garyberg</t>
  </si>
  <si>
    <t>CUST1085</t>
  </si>
  <si>
    <t>Richard Delgado</t>
  </si>
  <si>
    <t>West Theodorechester</t>
  </si>
  <si>
    <t>CUST1086</t>
  </si>
  <si>
    <t>Tammy Miller MD</t>
  </si>
  <si>
    <t>Austinfurt</t>
  </si>
  <si>
    <t>Mississippi</t>
  </si>
  <si>
    <t>CUST1087</t>
  </si>
  <si>
    <t>Melissa Duffy MD</t>
  </si>
  <si>
    <t>East Jenna</t>
  </si>
  <si>
    <t>South Carolina</t>
  </si>
  <si>
    <t>CUST1088</t>
  </si>
  <si>
    <t>Timothy Wright</t>
  </si>
  <si>
    <t>Ashleystad</t>
  </si>
  <si>
    <t>CUST1089</t>
  </si>
  <si>
    <t>Jamie Yoder</t>
  </si>
  <si>
    <t>New Gabrielleville</t>
  </si>
  <si>
    <t>Wisconsin</t>
  </si>
  <si>
    <t>CUST1090</t>
  </si>
  <si>
    <t>Oscar Moon</t>
  </si>
  <si>
    <t>West Cody</t>
  </si>
  <si>
    <t>Louisiana</t>
  </si>
  <si>
    <t>CUST1091</t>
  </si>
  <si>
    <t>Donna Gregory</t>
  </si>
  <si>
    <t>South Amandahaven</t>
  </si>
  <si>
    <t>CUST1092</t>
  </si>
  <si>
    <t>Robert Jackson</t>
  </si>
  <si>
    <t>Lake Brandy</t>
  </si>
  <si>
    <t>CUST1093</t>
  </si>
  <si>
    <t>Christy Vasquez</t>
  </si>
  <si>
    <t>Port Travisstad</t>
  </si>
  <si>
    <t>CUST1094</t>
  </si>
  <si>
    <t>David Patterson</t>
  </si>
  <si>
    <t>New Amyport</t>
  </si>
  <si>
    <t>CUST1095</t>
  </si>
  <si>
    <t>Amy Fowler</t>
  </si>
  <si>
    <t>West Bobbyshire</t>
  </si>
  <si>
    <t>CUST1096</t>
  </si>
  <si>
    <t>Samantha Walker</t>
  </si>
  <si>
    <t>Timothyburgh</t>
  </si>
  <si>
    <t>CUST1097</t>
  </si>
  <si>
    <t>David Cobb</t>
  </si>
  <si>
    <t>Lake Thomas</t>
  </si>
  <si>
    <t>CUST1098</t>
  </si>
  <si>
    <t>Brittney Morgan</t>
  </si>
  <si>
    <t>Lake Kaylahaven</t>
  </si>
  <si>
    <t>CUST1099</t>
  </si>
  <si>
    <t>Sheila Wilson</t>
  </si>
  <si>
    <t>South Dustin</t>
  </si>
  <si>
    <t>CUST1100</t>
  </si>
  <si>
    <t>Diane Watson</t>
  </si>
  <si>
    <t>North Codyport</t>
  </si>
  <si>
    <t>Texas</t>
  </si>
  <si>
    <t>CUST1101</t>
  </si>
  <si>
    <t>Colleen Maynard</t>
  </si>
  <si>
    <t>Singletonmouth</t>
  </si>
  <si>
    <t>CUST1102</t>
  </si>
  <si>
    <t>Sarah Schneider</t>
  </si>
  <si>
    <t>Port Joshuachester</t>
  </si>
  <si>
    <t>CUST1103</t>
  </si>
  <si>
    <t>Steven Stein</t>
  </si>
  <si>
    <t>West Lauren</t>
  </si>
  <si>
    <t>CUST1104</t>
  </si>
  <si>
    <t>Christopher Lester</t>
  </si>
  <si>
    <t>South Jenniferville</t>
  </si>
  <si>
    <t>CUST1105</t>
  </si>
  <si>
    <t>Lance Baker</t>
  </si>
  <si>
    <t>Port Victoria</t>
  </si>
  <si>
    <t>CUST1106</t>
  </si>
  <si>
    <t>Howard Summers</t>
  </si>
  <si>
    <t>East Linda</t>
  </si>
  <si>
    <t>CUST1107</t>
  </si>
  <si>
    <t>Erica Carney</t>
  </si>
  <si>
    <t>North Justin</t>
  </si>
  <si>
    <t>CUST1108</t>
  </si>
  <si>
    <t>Travis Holland</t>
  </si>
  <si>
    <t>Webstermouth</t>
  </si>
  <si>
    <t>CUST1109</t>
  </si>
  <si>
    <t>Amy Walker</t>
  </si>
  <si>
    <t>Smithland</t>
  </si>
  <si>
    <t>CUST1110</t>
  </si>
  <si>
    <t>Ashley Griffin</t>
  </si>
  <si>
    <t>New Dawnton</t>
  </si>
  <si>
    <t>CUST1111</t>
  </si>
  <si>
    <t>Julie Farmer</t>
  </si>
  <si>
    <t>Rodriguezmouth</t>
  </si>
  <si>
    <t>CUST1112</t>
  </si>
  <si>
    <t>David Cole</t>
  </si>
  <si>
    <t>Lake Michael</t>
  </si>
  <si>
    <t>CUST1113</t>
  </si>
  <si>
    <t>Edward Hall</t>
  </si>
  <si>
    <t>New William</t>
  </si>
  <si>
    <t>CUST1114</t>
  </si>
  <si>
    <t>Ryan Hernandez</t>
  </si>
  <si>
    <t>East Donna</t>
  </si>
  <si>
    <t>CUST1115</t>
  </si>
  <si>
    <t>Tyler Conrad</t>
  </si>
  <si>
    <t>North Curtischester</t>
  </si>
  <si>
    <t>CUST1116</t>
  </si>
  <si>
    <t>Anthony Phillips</t>
  </si>
  <si>
    <t>North Davidport</t>
  </si>
  <si>
    <t>CUST1117</t>
  </si>
  <si>
    <t>Colleen Mccarthy</t>
  </si>
  <si>
    <t>North Katherine</t>
  </si>
  <si>
    <t>CUST1118</t>
  </si>
  <si>
    <t>Earl Allen</t>
  </si>
  <si>
    <t>New Jenniferburgh</t>
  </si>
  <si>
    <t>CUST1119</t>
  </si>
  <si>
    <t>Michael Jones</t>
  </si>
  <si>
    <t>North Edwardton</t>
  </si>
  <si>
    <t>CUST1120</t>
  </si>
  <si>
    <t>Jacob Hopkins</t>
  </si>
  <si>
    <t>lake tylerfort</t>
  </si>
  <si>
    <t>CUST1121</t>
  </si>
  <si>
    <t>Joel Robinson</t>
  </si>
  <si>
    <t>Lake Danielport</t>
  </si>
  <si>
    <t>CUST1122</t>
  </si>
  <si>
    <t>Michael Chang</t>
  </si>
  <si>
    <t>Kathrynport</t>
  </si>
  <si>
    <t>CUST1123</t>
  </si>
  <si>
    <t>Erin Hopkins</t>
  </si>
  <si>
    <t>North Sabrina</t>
  </si>
  <si>
    <t>CUST1124</t>
  </si>
  <si>
    <t>Donald Lee</t>
  </si>
  <si>
    <t>Wongberg</t>
  </si>
  <si>
    <t>CUST1125</t>
  </si>
  <si>
    <t>Keith Miller</t>
  </si>
  <si>
    <t>West Jameston</t>
  </si>
  <si>
    <t>Maine</t>
  </si>
  <si>
    <t>CUST1126</t>
  </si>
  <si>
    <t>James Wolfe</t>
  </si>
  <si>
    <t>Benjaminton</t>
  </si>
  <si>
    <t>CUST1127</t>
  </si>
  <si>
    <t>John Mcknight</t>
  </si>
  <si>
    <t>South Nathan</t>
  </si>
  <si>
    <t>CUST1128</t>
  </si>
  <si>
    <t>Susan Mcdonald</t>
  </si>
  <si>
    <t>East Ellen</t>
  </si>
  <si>
    <t>CUST1129</t>
  </si>
  <si>
    <t>Jessica Mitchell</t>
  </si>
  <si>
    <t>Matthewbury</t>
  </si>
  <si>
    <t>CUST1130</t>
  </si>
  <si>
    <t>Jamie Reyes</t>
  </si>
  <si>
    <t xml:space="preserve">   jonesbury </t>
  </si>
  <si>
    <t>CUST1131</t>
  </si>
  <si>
    <t>Joseph Richards</t>
  </si>
  <si>
    <t>Wigginsville</t>
  </si>
  <si>
    <t>CUST1132</t>
  </si>
  <si>
    <t>Miguel Reynolds</t>
  </si>
  <si>
    <t>Taylorberg</t>
  </si>
  <si>
    <t>CUST1133</t>
  </si>
  <si>
    <t>Hayley Pope</t>
  </si>
  <si>
    <t>West Stephenville</t>
  </si>
  <si>
    <t>CUST1134</t>
  </si>
  <si>
    <t>Morgan Bowen</t>
  </si>
  <si>
    <t>Parksfort</t>
  </si>
  <si>
    <t>CUST1135</t>
  </si>
  <si>
    <t>Matthew Hanna</t>
  </si>
  <si>
    <t>Gonzalezbury</t>
  </si>
  <si>
    <t>CUST1136</t>
  </si>
  <si>
    <t>Patrick Coleman</t>
  </si>
  <si>
    <t>New Jeffrey</t>
  </si>
  <si>
    <t>CUST1137</t>
  </si>
  <si>
    <t>Rick Dominguez</t>
  </si>
  <si>
    <t>North Johnbury</t>
  </si>
  <si>
    <t>CUST1138</t>
  </si>
  <si>
    <t>Sean Roth</t>
  </si>
  <si>
    <t>CUST1139</t>
  </si>
  <si>
    <t>Brian Holder</t>
  </si>
  <si>
    <t>Port Travis</t>
  </si>
  <si>
    <t>CUST1140</t>
  </si>
  <si>
    <t>Patty Francis</t>
  </si>
  <si>
    <t>South Brooke</t>
  </si>
  <si>
    <t>CUST1141</t>
  </si>
  <si>
    <t>Cristian Wright</t>
  </si>
  <si>
    <t>Port Denise</t>
  </si>
  <si>
    <t>CUST1142</t>
  </si>
  <si>
    <t>Maria Ramirez</t>
  </si>
  <si>
    <t>West Brandon</t>
  </si>
  <si>
    <t>CUST1143</t>
  </si>
  <si>
    <t>Carlos Skinner</t>
  </si>
  <si>
    <t>Dwaynemouth</t>
  </si>
  <si>
    <t>CUST1144</t>
  </si>
  <si>
    <t>Justin Cross</t>
  </si>
  <si>
    <t>North Anthonychester</t>
  </si>
  <si>
    <t>CUST1145</t>
  </si>
  <si>
    <t>Cameron Simpson</t>
  </si>
  <si>
    <t>Michaelfort</t>
  </si>
  <si>
    <t>CUST1146</t>
  </si>
  <si>
    <t>Edward Rivera</t>
  </si>
  <si>
    <t>Chungmouth</t>
  </si>
  <si>
    <t>CUST1147</t>
  </si>
  <si>
    <t>Rhonda Young</t>
  </si>
  <si>
    <t>Lake Nathanfort</t>
  </si>
  <si>
    <t>CUST1148</t>
  </si>
  <si>
    <t>Theresa Campbell</t>
  </si>
  <si>
    <t>New Brian</t>
  </si>
  <si>
    <t>CUST1149</t>
  </si>
  <si>
    <t>Denise Griffin</t>
  </si>
  <si>
    <t>West Markhaven</t>
  </si>
  <si>
    <t>CUST1150</t>
  </si>
  <si>
    <t>Stephanie Conway</t>
  </si>
  <si>
    <t>Port Frankmouth</t>
  </si>
  <si>
    <t>CUST1151</t>
  </si>
  <si>
    <t>Michael Davies</t>
  </si>
  <si>
    <t>Lake Stevenfort</t>
  </si>
  <si>
    <t>CUST1152</t>
  </si>
  <si>
    <t>Patrick Roberts</t>
  </si>
  <si>
    <t>Jaredville</t>
  </si>
  <si>
    <t>CUST1153</t>
  </si>
  <si>
    <t>Joseph Faulkner</t>
  </si>
  <si>
    <t>New Leahfurt</t>
  </si>
  <si>
    <t>CUST1154</t>
  </si>
  <si>
    <t>Julie Hale</t>
  </si>
  <si>
    <t>Owensview</t>
  </si>
  <si>
    <t>CUST1155</t>
  </si>
  <si>
    <t>Curtis Haynes</t>
  </si>
  <si>
    <t>Estradaside</t>
  </si>
  <si>
    <t>CUST1156</t>
  </si>
  <si>
    <t>Maria Sanchez</t>
  </si>
  <si>
    <t>East Peterbury</t>
  </si>
  <si>
    <t>CUST1157</t>
  </si>
  <si>
    <t>Paul Zamora</t>
  </si>
  <si>
    <t>North Larryfurt</t>
  </si>
  <si>
    <t>CUST1158</t>
  </si>
  <si>
    <t>Sean Powell</t>
  </si>
  <si>
    <t>South Kevin</t>
  </si>
  <si>
    <t>CUST1159</t>
  </si>
  <si>
    <t>Brian Choi</t>
  </si>
  <si>
    <t>Floydton</t>
  </si>
  <si>
    <t>CUST1160</t>
  </si>
  <si>
    <t>John Lawson</t>
  </si>
  <si>
    <t>New Juliemouth</t>
  </si>
  <si>
    <t>CUST1161</t>
  </si>
  <si>
    <t>Cynthia Morris</t>
  </si>
  <si>
    <t>Hessmouth</t>
  </si>
  <si>
    <t>CUST1162</t>
  </si>
  <si>
    <t>Mariah Brown</t>
  </si>
  <si>
    <t>Palmerbury</t>
  </si>
  <si>
    <t>CUST1163</t>
  </si>
  <si>
    <t>Joseph Jones</t>
  </si>
  <si>
    <t>North Matthew</t>
  </si>
  <si>
    <t>CUST1164</t>
  </si>
  <si>
    <t>Daniel Rivas</t>
  </si>
  <si>
    <t>Dominiquefort</t>
  </si>
  <si>
    <t>CUST1165</t>
  </si>
  <si>
    <t>Jason Wheeler</t>
  </si>
  <si>
    <t>Carolview</t>
  </si>
  <si>
    <t>CUST1166</t>
  </si>
  <si>
    <t>Patricia Gardner</t>
  </si>
  <si>
    <t>South Ashleyton</t>
  </si>
  <si>
    <t>CUST1167</t>
  </si>
  <si>
    <t>Antonio Wade</t>
  </si>
  <si>
    <t>New Jasonmouth</t>
  </si>
  <si>
    <t>CUST1168</t>
  </si>
  <si>
    <t>Daniel Contreras</t>
  </si>
  <si>
    <t>Robertview</t>
  </si>
  <si>
    <t>CUST1169</t>
  </si>
  <si>
    <t>Steve Mclaughlin</t>
  </si>
  <si>
    <t>Josephmouth</t>
  </si>
  <si>
    <t>CUST1170</t>
  </si>
  <si>
    <t>Christopher Garcia DDS</t>
  </si>
  <si>
    <t>New Joseph</t>
  </si>
  <si>
    <t>CUST1171</t>
  </si>
  <si>
    <t>Amy Wilson</t>
  </si>
  <si>
    <t>Morrisburgh</t>
  </si>
  <si>
    <t>CUST1172</t>
  </si>
  <si>
    <t>Thomas Rhodes</t>
  </si>
  <si>
    <t>Port Richard</t>
  </si>
  <si>
    <t>CUST1173</t>
  </si>
  <si>
    <t>Teresa Stokes</t>
  </si>
  <si>
    <t>CUST1174</t>
  </si>
  <si>
    <t>Maria Davis</t>
  </si>
  <si>
    <t>Avilahaven</t>
  </si>
  <si>
    <t>CUST1175</t>
  </si>
  <si>
    <t>Michelle Rogers</t>
  </si>
  <si>
    <t>East Jessicaborough</t>
  </si>
  <si>
    <t>CUST1176</t>
  </si>
  <si>
    <t>John Bradford</t>
  </si>
  <si>
    <t>Anabury</t>
  </si>
  <si>
    <t>CUST1177</t>
  </si>
  <si>
    <t>Curtis Lam</t>
  </si>
  <si>
    <t>Butlerberg</t>
  </si>
  <si>
    <t>Kentucky</t>
  </si>
  <si>
    <t>CUST1178</t>
  </si>
  <si>
    <t>Michelle Myers</t>
  </si>
  <si>
    <t>West Daniel</t>
  </si>
  <si>
    <t>CUST1179</t>
  </si>
  <si>
    <t>Nicholas Bradshaw</t>
  </si>
  <si>
    <t>Murphyfurt</t>
  </si>
  <si>
    <t>CUST1180</t>
  </si>
  <si>
    <t>Wesley Thompson</t>
  </si>
  <si>
    <t>East Davidmouth</t>
  </si>
  <si>
    <t>CUST1181</t>
  </si>
  <si>
    <t>Erin Ward</t>
  </si>
  <si>
    <t>New Brianchester</t>
  </si>
  <si>
    <t>CUST1182</t>
  </si>
  <si>
    <t>Melissa Hamilton</t>
  </si>
  <si>
    <t>Hutchinsonville</t>
  </si>
  <si>
    <t>CUST1183</t>
  </si>
  <si>
    <t>Mario Jacobs</t>
  </si>
  <si>
    <t>Port James</t>
  </si>
  <si>
    <t>CUST1184</t>
  </si>
  <si>
    <t>Leonard Cochran</t>
  </si>
  <si>
    <t>Port Sherryview</t>
  </si>
  <si>
    <t>CUST1185</t>
  </si>
  <si>
    <t>Brent Rivas</t>
  </si>
  <si>
    <t>North Kellyberg</t>
  </si>
  <si>
    <t>CUST1186</t>
  </si>
  <si>
    <t>Jennifer Pruitt</t>
  </si>
  <si>
    <t>East Justin</t>
  </si>
  <si>
    <t>CUST1187</t>
  </si>
  <si>
    <t>Dr. Suzanne Bullock</t>
  </si>
  <si>
    <t>Lake Blaketon</t>
  </si>
  <si>
    <t>CUST1188</t>
  </si>
  <si>
    <t>Kimberly Brooks</t>
  </si>
  <si>
    <t>Kingfort</t>
  </si>
  <si>
    <t>CUST1189</t>
  </si>
  <si>
    <t>Daniel Austin</t>
  </si>
  <si>
    <t>Lake Howardberg</t>
  </si>
  <si>
    <t>CUST1190</t>
  </si>
  <si>
    <t>Christopher Stewart</t>
  </si>
  <si>
    <t>Amandaside</t>
  </si>
  <si>
    <t>CUST1191</t>
  </si>
  <si>
    <t>Todd Poole</t>
  </si>
  <si>
    <t>Johnsonshire</t>
  </si>
  <si>
    <t>CUST1192</t>
  </si>
  <si>
    <t>Jacob Wood</t>
  </si>
  <si>
    <t>Lake Samanthafort</t>
  </si>
  <si>
    <t>CUST1193</t>
  </si>
  <si>
    <t>David Roberts</t>
  </si>
  <si>
    <t>Port Amanda</t>
  </si>
  <si>
    <t>CUST1194</t>
  </si>
  <si>
    <t>Ashley Ferguson</t>
  </si>
  <si>
    <t>Sarahmouth</t>
  </si>
  <si>
    <t>CUST1195</t>
  </si>
  <si>
    <t>Anthony Garcia</t>
  </si>
  <si>
    <t>Taraberg</t>
  </si>
  <si>
    <t>CUST1196</t>
  </si>
  <si>
    <t>Megan Greer</t>
  </si>
  <si>
    <t>West John</t>
  </si>
  <si>
    <t>CUST1197</t>
  </si>
  <si>
    <t>Andrea Jacobs</t>
  </si>
  <si>
    <t>CUST1198</t>
  </si>
  <si>
    <t>Wanda Snyder</t>
  </si>
  <si>
    <t>Frostmouth</t>
  </si>
  <si>
    <t>CUST1199</t>
  </si>
  <si>
    <t>Carmen Price</t>
  </si>
  <si>
    <t>North Briannamouth</t>
  </si>
  <si>
    <t>CUST1200</t>
  </si>
  <si>
    <t>Anna Perez</t>
  </si>
  <si>
    <t>South Jerry</t>
  </si>
  <si>
    <t>CUST1201</t>
  </si>
  <si>
    <t>Mary Boyd</t>
  </si>
  <si>
    <t>New Logan</t>
  </si>
  <si>
    <t>CUST1202</t>
  </si>
  <si>
    <t>Christina Garcia</t>
  </si>
  <si>
    <t>Clarkeside</t>
  </si>
  <si>
    <t>CUST1203</t>
  </si>
  <si>
    <t>Sarah Brady</t>
  </si>
  <si>
    <t>Johnsonland</t>
  </si>
  <si>
    <t>CUST1204</t>
  </si>
  <si>
    <t>Tiffany Herrera</t>
  </si>
  <si>
    <t>New Dianebury</t>
  </si>
  <si>
    <t>CUST1205</t>
  </si>
  <si>
    <t>Michelle Carpenter</t>
  </si>
  <si>
    <t>Lake Danielleton</t>
  </si>
  <si>
    <t>CUST1206</t>
  </si>
  <si>
    <t>Ronald Jones</t>
  </si>
  <si>
    <t>Brownshire</t>
  </si>
  <si>
    <t>CUST1207</t>
  </si>
  <si>
    <t>Jacqueline Pacheco</t>
  </si>
  <si>
    <t>South Emily</t>
  </si>
  <si>
    <t>CUST1208</t>
  </si>
  <si>
    <t>John Perez</t>
  </si>
  <si>
    <t>Kathrynview</t>
  </si>
  <si>
    <t>CUST1209</t>
  </si>
  <si>
    <t>Joan Johnson</t>
  </si>
  <si>
    <t>Lake Josephport</t>
  </si>
  <si>
    <t>CUST1210</t>
  </si>
  <si>
    <t>Antonio Jones</t>
  </si>
  <si>
    <t>Matthewborough</t>
  </si>
  <si>
    <t>CUST1211</t>
  </si>
  <si>
    <t>Rodney Huffman</t>
  </si>
  <si>
    <t>Garzafort</t>
  </si>
  <si>
    <t>CUST1212</t>
  </si>
  <si>
    <t>Blake Harrison</t>
  </si>
  <si>
    <t>Lyonsfort</t>
  </si>
  <si>
    <t>CUST1213</t>
  </si>
  <si>
    <t>Stuart Johnson</t>
  </si>
  <si>
    <t>West Markport</t>
  </si>
  <si>
    <t>CUST1214</t>
  </si>
  <si>
    <t>Eric Todd</t>
  </si>
  <si>
    <t>Danielstad</t>
  </si>
  <si>
    <t>CUST1215</t>
  </si>
  <si>
    <t>Steve Medina</t>
  </si>
  <si>
    <t>East Josephside</t>
  </si>
  <si>
    <t>CUST1216</t>
  </si>
  <si>
    <t>Kathryn Garcia</t>
  </si>
  <si>
    <t>Morrismouth</t>
  </si>
  <si>
    <t>CUST1217</t>
  </si>
  <si>
    <t>Kathy Copeland</t>
  </si>
  <si>
    <t>North Christinemouth</t>
  </si>
  <si>
    <t>CUST1218</t>
  </si>
  <si>
    <t>Julia Jackson</t>
  </si>
  <si>
    <t>Edwardland</t>
  </si>
  <si>
    <t>CUST1219</t>
  </si>
  <si>
    <t>Jordan Wells</t>
  </si>
  <si>
    <t xml:space="preserve">Phillipschester   </t>
  </si>
  <si>
    <t>CUST1220</t>
  </si>
  <si>
    <t>George Davis</t>
  </si>
  <si>
    <t xml:space="preserve">    lake lisa</t>
  </si>
  <si>
    <t>Massachusetts</t>
  </si>
  <si>
    <t>CUST1221</t>
  </si>
  <si>
    <t>Lisa Young</t>
  </si>
  <si>
    <t>Maybury</t>
  </si>
  <si>
    <t>CUST1222</t>
  </si>
  <si>
    <t>Alejandro Doyle</t>
  </si>
  <si>
    <t>East Crystalton</t>
  </si>
  <si>
    <t>CUST1223</t>
  </si>
  <si>
    <t>Robert Harris</t>
  </si>
  <si>
    <t>East jeremy</t>
  </si>
  <si>
    <t>CUST1224</t>
  </si>
  <si>
    <t>Anthony Morgan</t>
  </si>
  <si>
    <t>New Anthonyfurt</t>
  </si>
  <si>
    <t>CUST1225</t>
  </si>
  <si>
    <t>Elizabeth Stanley</t>
  </si>
  <si>
    <t>Bethanyton</t>
  </si>
  <si>
    <t>CUST1226</t>
  </si>
  <si>
    <t>Alexis Castaneda</t>
  </si>
  <si>
    <t>CUST1227</t>
  </si>
  <si>
    <t>Gregory Pham</t>
  </si>
  <si>
    <t>Pollardton</t>
  </si>
  <si>
    <t>CUST1228</t>
  </si>
  <si>
    <t>Casey Flores</t>
  </si>
  <si>
    <t>CUST1229</t>
  </si>
  <si>
    <t>Tanner Thompson</t>
  </si>
  <si>
    <t>Port Lisashire</t>
  </si>
  <si>
    <t>CUST1230</t>
  </si>
  <si>
    <t>Timothy Sanders</t>
  </si>
  <si>
    <t>Aaronmouth</t>
  </si>
  <si>
    <t>CUST1231</t>
  </si>
  <si>
    <t>Timothy Juarez</t>
  </si>
  <si>
    <t>Grahamstad</t>
  </si>
  <si>
    <t>CUST1232</t>
  </si>
  <si>
    <t>Christy Hill</t>
  </si>
  <si>
    <t>Tammyton</t>
  </si>
  <si>
    <t>CUST1233</t>
  </si>
  <si>
    <t>Michelle Gonzalez</t>
  </si>
  <si>
    <t>Clarkport</t>
  </si>
  <si>
    <t>CUST1234</t>
  </si>
  <si>
    <t>Nathaniel Hill</t>
  </si>
  <si>
    <t>Lake Mark</t>
  </si>
  <si>
    <t>CUST1235</t>
  </si>
  <si>
    <t>Jon Ortiz</t>
  </si>
  <si>
    <t>South Angelaport</t>
  </si>
  <si>
    <t>CUST1236</t>
  </si>
  <si>
    <t>Joshua Wilson</t>
  </si>
  <si>
    <t>North Larryport</t>
  </si>
  <si>
    <t>CUST1237</t>
  </si>
  <si>
    <t>Wesley Short</t>
  </si>
  <si>
    <t>Susanstad</t>
  </si>
  <si>
    <t>CUST1238</t>
  </si>
  <si>
    <t>Steven Smith</t>
  </si>
  <si>
    <t>Port Krista</t>
  </si>
  <si>
    <t>CUST1239</t>
  </si>
  <si>
    <t>Maria Hill</t>
  </si>
  <si>
    <t>Zamoraborough</t>
  </si>
  <si>
    <t>CUST1240</t>
  </si>
  <si>
    <t>William Hull</t>
  </si>
  <si>
    <t>Heathfort</t>
  </si>
  <si>
    <t>CUST1241</t>
  </si>
  <si>
    <t>Mr. William Horton</t>
  </si>
  <si>
    <t>Dawsonchester</t>
  </si>
  <si>
    <t>CUST1242</t>
  </si>
  <si>
    <t>William Jackson</t>
  </si>
  <si>
    <t>New Tina</t>
  </si>
  <si>
    <t>CUST1243</t>
  </si>
  <si>
    <t>Brian Hammond</t>
  </si>
  <si>
    <t>North Nicholas</t>
  </si>
  <si>
    <t>CUST1244</t>
  </si>
  <si>
    <t>Nancy Page</t>
  </si>
  <si>
    <t>West Julia</t>
  </si>
  <si>
    <t>CUST1245</t>
  </si>
  <si>
    <t>Laura Soto</t>
  </si>
  <si>
    <t>Rodriguezton</t>
  </si>
  <si>
    <t>CUST1246</t>
  </si>
  <si>
    <t>Mary Russell</t>
  </si>
  <si>
    <t>South Regina</t>
  </si>
  <si>
    <t>CUST1247</t>
  </si>
  <si>
    <t>Douglas Rhodes</t>
  </si>
  <si>
    <t>Mikehaven</t>
  </si>
  <si>
    <t>CUST1248</t>
  </si>
  <si>
    <t>Nicholas Webb</t>
  </si>
  <si>
    <t>Lake Timothy</t>
  </si>
  <si>
    <t>CUST1249</t>
  </si>
  <si>
    <t>Lauren George</t>
  </si>
  <si>
    <t>Garciamouth</t>
  </si>
  <si>
    <t>CUST1250</t>
  </si>
  <si>
    <t>Veronica Newman</t>
  </si>
  <si>
    <t>New Daniel</t>
  </si>
  <si>
    <t>CUST1251</t>
  </si>
  <si>
    <t>Tyler Garner</t>
  </si>
  <si>
    <t>Port Coreyfort</t>
  </si>
  <si>
    <t>CUST1252</t>
  </si>
  <si>
    <t>John Mccoy</t>
  </si>
  <si>
    <t>Robinborough</t>
  </si>
  <si>
    <t>CUST1253</t>
  </si>
  <si>
    <t>Dr. Ashley Yates MD</t>
  </si>
  <si>
    <t>New Maria</t>
  </si>
  <si>
    <t>CUST1254</t>
  </si>
  <si>
    <t>Linda Kline</t>
  </si>
  <si>
    <t>Masseyland</t>
  </si>
  <si>
    <t>CUST1255</t>
  </si>
  <si>
    <t>Damon Perez</t>
  </si>
  <si>
    <t>Jasonton</t>
  </si>
  <si>
    <t>CUST1256</t>
  </si>
  <si>
    <t>Kristen Fischer</t>
  </si>
  <si>
    <t>Lake Christopher</t>
  </si>
  <si>
    <t>CUST1257</t>
  </si>
  <si>
    <t>Christopher David</t>
  </si>
  <si>
    <t>Karenmouth</t>
  </si>
  <si>
    <t>CUST1258</t>
  </si>
  <si>
    <t>Sarah Stewart</t>
  </si>
  <si>
    <t>East Richard</t>
  </si>
  <si>
    <t>CUST1259</t>
  </si>
  <si>
    <t>Beth Allen</t>
  </si>
  <si>
    <t>South Kathrynmouth</t>
  </si>
  <si>
    <t>CUST1260</t>
  </si>
  <si>
    <t>Russell Lamb</t>
  </si>
  <si>
    <t>North Jonathon</t>
  </si>
  <si>
    <t>CUST1261</t>
  </si>
  <si>
    <t>Carol Bishop</t>
  </si>
  <si>
    <t>Lake Saramouth</t>
  </si>
  <si>
    <t>CUST1262</t>
  </si>
  <si>
    <t>Katherine Cowan</t>
  </si>
  <si>
    <t>New Ana</t>
  </si>
  <si>
    <t>CUST1263</t>
  </si>
  <si>
    <t>Crystal Davis</t>
  </si>
  <si>
    <t>Sallymouth</t>
  </si>
  <si>
    <t>CUST1264</t>
  </si>
  <si>
    <t>Matthew Payne</t>
  </si>
  <si>
    <t>Grahamfurt</t>
  </si>
  <si>
    <t>Wyoming</t>
  </si>
  <si>
    <t>CUST1265</t>
  </si>
  <si>
    <t>Tracy Kelly</t>
  </si>
  <si>
    <t>West Jamieport</t>
  </si>
  <si>
    <t>CUST1266</t>
  </si>
  <si>
    <t>Cynthia Payne</t>
  </si>
  <si>
    <t>South Gina</t>
  </si>
  <si>
    <t>CUST1267</t>
  </si>
  <si>
    <t>Zachary Shelton</t>
  </si>
  <si>
    <t>CUST1268</t>
  </si>
  <si>
    <t>Kevin Orr</t>
  </si>
  <si>
    <t>Ryanberg</t>
  </si>
  <si>
    <t>CUST1269</t>
  </si>
  <si>
    <t>Tyrone Olson</t>
  </si>
  <si>
    <t>Emilytown</t>
  </si>
  <si>
    <t>CUST1270</t>
  </si>
  <si>
    <t>Brian Garcia</t>
  </si>
  <si>
    <t>Ramosmouth</t>
  </si>
  <si>
    <t>CUST1271</t>
  </si>
  <si>
    <t>Daisy Johnson DDS</t>
  </si>
  <si>
    <t>North Stephanie</t>
  </si>
  <si>
    <t>CUST1272</t>
  </si>
  <si>
    <t>Adam Rowland</t>
  </si>
  <si>
    <t>Welchview</t>
  </si>
  <si>
    <t>CUST1273</t>
  </si>
  <si>
    <t>Samantha Robinson</t>
  </si>
  <si>
    <t>North Roy</t>
  </si>
  <si>
    <t>CUST1274</t>
  </si>
  <si>
    <t>Sarah Lane</t>
  </si>
  <si>
    <t>Edwardborough</t>
  </si>
  <si>
    <t>CUST1275</t>
  </si>
  <si>
    <t>Shannon Miller</t>
  </si>
  <si>
    <t>North Austinport</t>
  </si>
  <si>
    <t>CUST1276</t>
  </si>
  <si>
    <t>Arthur Warren</t>
  </si>
  <si>
    <t>Ericshire</t>
  </si>
  <si>
    <t>CUST1277</t>
  </si>
  <si>
    <t>Jeffrey Gomez</t>
  </si>
  <si>
    <t>Lake Nicole</t>
  </si>
  <si>
    <t>CUST1278</t>
  </si>
  <si>
    <t>Stephen Fowler</t>
  </si>
  <si>
    <t>Port Mariastad</t>
  </si>
  <si>
    <t>CUST1279</t>
  </si>
  <si>
    <t>Aaron Luna</t>
  </si>
  <si>
    <t>Gilltown</t>
  </si>
  <si>
    <t>CUST1280</t>
  </si>
  <si>
    <t>Antonio Leon</t>
  </si>
  <si>
    <t>Morrisville</t>
  </si>
  <si>
    <t>CUST1281</t>
  </si>
  <si>
    <t>Brittany Watson</t>
  </si>
  <si>
    <t>North Joshualand</t>
  </si>
  <si>
    <t>CUST1282</t>
  </si>
  <si>
    <t>Kristi Lopez</t>
  </si>
  <si>
    <t>Spencermouth</t>
  </si>
  <si>
    <t>CUST1283</t>
  </si>
  <si>
    <t>Bryan Garcia</t>
  </si>
  <si>
    <t>Garciaborough</t>
  </si>
  <si>
    <t>CUST1284</t>
  </si>
  <si>
    <t>Hunter Sutton</t>
  </si>
  <si>
    <t>Patrickshire</t>
  </si>
  <si>
    <t>CUST1285</t>
  </si>
  <si>
    <t>Donna Guerra</t>
  </si>
  <si>
    <t>North Robert</t>
  </si>
  <si>
    <t>CUST1286</t>
  </si>
  <si>
    <t>Tommy Roberts</t>
  </si>
  <si>
    <t>Port Tonyfort</t>
  </si>
  <si>
    <t>CUST1287</t>
  </si>
  <si>
    <t>Cynthia Roberts</t>
  </si>
  <si>
    <t>Millerfort</t>
  </si>
  <si>
    <t>CUST1288</t>
  </si>
  <si>
    <t>Misty Ferguson</t>
  </si>
  <si>
    <t>North Joseside</t>
  </si>
  <si>
    <t>CUST1289</t>
  </si>
  <si>
    <t>Jennifer Figueroa</t>
  </si>
  <si>
    <t>North Brookestad</t>
  </si>
  <si>
    <t>CUST1290</t>
  </si>
  <si>
    <t>Chase Williams MD</t>
  </si>
  <si>
    <t>Sherimouth</t>
  </si>
  <si>
    <t>CUST1291</t>
  </si>
  <si>
    <t>James Powell</t>
  </si>
  <si>
    <t>West Beverlymouth</t>
  </si>
  <si>
    <t>CUST1292</t>
  </si>
  <si>
    <t>Ricardo Jones</t>
  </si>
  <si>
    <t>Danielland</t>
  </si>
  <si>
    <t>CUST1293</t>
  </si>
  <si>
    <t>Gloria Taylor</t>
  </si>
  <si>
    <t>North Daniel</t>
  </si>
  <si>
    <t>CUST1294</t>
  </si>
  <si>
    <t>Lisa Chandler</t>
  </si>
  <si>
    <t>CUST1295</t>
  </si>
  <si>
    <t>Crystal Waters</t>
  </si>
  <si>
    <t>North Michelleport</t>
  </si>
  <si>
    <t>CUST1296</t>
  </si>
  <si>
    <t>Jared Moran</t>
  </si>
  <si>
    <t>CUST1297</t>
  </si>
  <si>
    <t>Jennifer Carr</t>
  </si>
  <si>
    <t>Lake Brett</t>
  </si>
  <si>
    <t>CUST1298</t>
  </si>
  <si>
    <t>Tracy Stephens</t>
  </si>
  <si>
    <t>New Joshuatown</t>
  </si>
  <si>
    <t>CUST1299</t>
  </si>
  <si>
    <t>Stephanie Jacobs</t>
  </si>
  <si>
    <t>West Robinmouth</t>
  </si>
  <si>
    <t>CUST1300</t>
  </si>
  <si>
    <t>Matthew Avery</t>
  </si>
  <si>
    <t>Lake Melissashire</t>
  </si>
  <si>
    <t>CUST1301</t>
  </si>
  <si>
    <t>Ryan Kane</t>
  </si>
  <si>
    <t>West Bruceburgh</t>
  </si>
  <si>
    <t>CUST1302</t>
  </si>
  <si>
    <t>Edward Cole</t>
  </si>
  <si>
    <t>Lake Charlotte</t>
  </si>
  <si>
    <t>CUST1303</t>
  </si>
  <si>
    <t>John Sloan</t>
  </si>
  <si>
    <t>East Johntown</t>
  </si>
  <si>
    <t>CUST1304</t>
  </si>
  <si>
    <t>Miss Alexandria Li DVM</t>
  </si>
  <si>
    <t>Port Jenniferton</t>
  </si>
  <si>
    <t>CUST1305</t>
  </si>
  <si>
    <t>Roberta Green</t>
  </si>
  <si>
    <t>West Joseph</t>
  </si>
  <si>
    <t>CUST1306</t>
  </si>
  <si>
    <t>Angela Robinson</t>
  </si>
  <si>
    <t>New Nicholasstad</t>
  </si>
  <si>
    <t>CUST1307</t>
  </si>
  <si>
    <t>Brandy Thompson</t>
  </si>
  <si>
    <t>West Patriciaview</t>
  </si>
  <si>
    <t>CUST1308</t>
  </si>
  <si>
    <t>Jennifer Zamora</t>
  </si>
  <si>
    <t>Sarahland</t>
  </si>
  <si>
    <t>CUST1309</t>
  </si>
  <si>
    <t>Stacy Collins</t>
  </si>
  <si>
    <t>Randychester</t>
  </si>
  <si>
    <t>CUST1310</t>
  </si>
  <si>
    <t>Kara Dodson</t>
  </si>
  <si>
    <t>Joelside</t>
  </si>
  <si>
    <t>CUST1311</t>
  </si>
  <si>
    <t>Kevin Larson</t>
  </si>
  <si>
    <t>Port Edwardmouth</t>
  </si>
  <si>
    <t>CUST1312</t>
  </si>
  <si>
    <t>Jason Mullins</t>
  </si>
  <si>
    <t>Brianchester</t>
  </si>
  <si>
    <t>CUST1313</t>
  </si>
  <si>
    <t>Elizabeth Jones</t>
  </si>
  <si>
    <t>Brownburgh</t>
  </si>
  <si>
    <t>CUST1314</t>
  </si>
  <si>
    <t>Elizabeth Johnson</t>
  </si>
  <si>
    <t>Anitaland</t>
  </si>
  <si>
    <t>CUST1315</t>
  </si>
  <si>
    <t>William Rodriguez</t>
  </si>
  <si>
    <t>Port Chad</t>
  </si>
  <si>
    <t>CUST1316</t>
  </si>
  <si>
    <t>Robert House</t>
  </si>
  <si>
    <t>Lake James</t>
  </si>
  <si>
    <t>CUST1317</t>
  </si>
  <si>
    <t>Tiffany Williams</t>
  </si>
  <si>
    <t>Richardsport</t>
  </si>
  <si>
    <t>CUST1318</t>
  </si>
  <si>
    <t>Madison Wright</t>
  </si>
  <si>
    <t>Monicaview</t>
  </si>
  <si>
    <t>CUST1319</t>
  </si>
  <si>
    <t>Casey Simpson</t>
  </si>
  <si>
    <t>West Mathewside</t>
  </si>
  <si>
    <t>CUST1320</t>
  </si>
  <si>
    <t>Jessica Gonzalez</t>
  </si>
  <si>
    <t>South Darrenland</t>
  </si>
  <si>
    <t>CUST1321</t>
  </si>
  <si>
    <t>Darren Burton</t>
  </si>
  <si>
    <t>Lake Alice</t>
  </si>
  <si>
    <t>CUST1322</t>
  </si>
  <si>
    <t>Samuel Arias</t>
  </si>
  <si>
    <t>North Nicole</t>
  </si>
  <si>
    <t>CUST1323</t>
  </si>
  <si>
    <t>Kristy Dunlap</t>
  </si>
  <si>
    <t>Whiteport</t>
  </si>
  <si>
    <t>CUST1324</t>
  </si>
  <si>
    <t>Alex Mann II</t>
  </si>
  <si>
    <t>South Zacharychester</t>
  </si>
  <si>
    <t>CUST1325</t>
  </si>
  <si>
    <t>Andrew Smith</t>
  </si>
  <si>
    <t>East Matthew</t>
  </si>
  <si>
    <t>CUST1326</t>
  </si>
  <si>
    <t>Robert King</t>
  </si>
  <si>
    <t>Cindyton</t>
  </si>
  <si>
    <t>CUST1327</t>
  </si>
  <si>
    <t>Reginald Willis</t>
  </si>
  <si>
    <t>Kellybury</t>
  </si>
  <si>
    <t>CUST1328</t>
  </si>
  <si>
    <t>Mario Harvey Jr.</t>
  </si>
  <si>
    <t>Jessicaport</t>
  </si>
  <si>
    <t>CUST1329</t>
  </si>
  <si>
    <t>Victor Mcintosh</t>
  </si>
  <si>
    <t>Tiffanyshire</t>
  </si>
  <si>
    <t>CUST1330</t>
  </si>
  <si>
    <t>Pamela Mcguire</t>
  </si>
  <si>
    <t>South Jasontown</t>
  </si>
  <si>
    <t>CUST1331</t>
  </si>
  <si>
    <t>Maria Phillips</t>
  </si>
  <si>
    <t>North Kathytown</t>
  </si>
  <si>
    <t>CUST1332</t>
  </si>
  <si>
    <t>Dr. Lindsay Hanna</t>
  </si>
  <si>
    <t>New Paulstad</t>
  </si>
  <si>
    <t>CUST1333</t>
  </si>
  <si>
    <t>Teresa Johnson</t>
  </si>
  <si>
    <t>Johnsonbury</t>
  </si>
  <si>
    <t>CUST1334</t>
  </si>
  <si>
    <t>Mr. Christopher Sims</t>
  </si>
  <si>
    <t>Donaldsontown</t>
  </si>
  <si>
    <t>CUST1335</t>
  </si>
  <si>
    <t>Jennifer Woods</t>
  </si>
  <si>
    <t>West Brendamouth</t>
  </si>
  <si>
    <t>CUST1336</t>
  </si>
  <si>
    <t>John Jones</t>
  </si>
  <si>
    <t>North Michaelborough</t>
  </si>
  <si>
    <t>CUST1337</t>
  </si>
  <si>
    <t>Carol Lewis</t>
  </si>
  <si>
    <t>Ryanport</t>
  </si>
  <si>
    <t>CUST1338</t>
  </si>
  <si>
    <t>Jasmine Snyder</t>
  </si>
  <si>
    <t>Hudsonfort</t>
  </si>
  <si>
    <t>CUST1339</t>
  </si>
  <si>
    <t>Mrs. Susan Buckley</t>
  </si>
  <si>
    <t>Stevensbury</t>
  </si>
  <si>
    <t>CUST1340</t>
  </si>
  <si>
    <t>Eric Davis</t>
  </si>
  <si>
    <t>Johntown</t>
  </si>
  <si>
    <t>CUST1341</t>
  </si>
  <si>
    <t>Angela Williams</t>
  </si>
  <si>
    <t>Lake Alyssaburgh</t>
  </si>
  <si>
    <t>CUST1342</t>
  </si>
  <si>
    <t>Michelle Cunningham</t>
  </si>
  <si>
    <t>Amandaborough</t>
  </si>
  <si>
    <t>CUST1343</t>
  </si>
  <si>
    <t>Ryan Moore</t>
  </si>
  <si>
    <t>Cartershire</t>
  </si>
  <si>
    <t>CUST1344</t>
  </si>
  <si>
    <t>Evelyn Brown</t>
  </si>
  <si>
    <t>West Victoriaborough</t>
  </si>
  <si>
    <t>CUST1345</t>
  </si>
  <si>
    <t>Daniel Nelson</t>
  </si>
  <si>
    <t>North Jonathan</t>
  </si>
  <si>
    <t>CUST1346</t>
  </si>
  <si>
    <t>John Jordan</t>
  </si>
  <si>
    <t>Port Crystalberg</t>
  </si>
  <si>
    <t>CUST1347</t>
  </si>
  <si>
    <t>Justin Mason DDS</t>
  </si>
  <si>
    <t>Peggystad</t>
  </si>
  <si>
    <t>CUST1348</t>
  </si>
  <si>
    <t>Sherry Cabrera</t>
  </si>
  <si>
    <t>Shannonview</t>
  </si>
  <si>
    <t>CUST1349</t>
  </si>
  <si>
    <t>Heather Valenzuela</t>
  </si>
  <si>
    <t>New Angiefurt</t>
  </si>
  <si>
    <t>CUST1350</t>
  </si>
  <si>
    <t>Charles Miller</t>
  </si>
  <si>
    <t>Lake Allisonborough</t>
  </si>
  <si>
    <t>CUST1351</t>
  </si>
  <si>
    <t>Jeffrey Mccarthy</t>
  </si>
  <si>
    <t>North Samuel</t>
  </si>
  <si>
    <t>CUST1352</t>
  </si>
  <si>
    <t>Michael Greene</t>
  </si>
  <si>
    <t>Port Saramouth</t>
  </si>
  <si>
    <t>CUST1353</t>
  </si>
  <si>
    <t xml:space="preserve">   laura green</t>
  </si>
  <si>
    <t>Westbury</t>
  </si>
  <si>
    <t>CUST1354</t>
  </si>
  <si>
    <t>Ryan Torres</t>
  </si>
  <si>
    <t>Guerreroport</t>
  </si>
  <si>
    <t>CUST1355</t>
  </si>
  <si>
    <t>Carlos Flores</t>
  </si>
  <si>
    <t>North Johnfurt</t>
  </si>
  <si>
    <t>CUST1356</t>
  </si>
  <si>
    <t>Steve Hunt</t>
  </si>
  <si>
    <t>North Richard</t>
  </si>
  <si>
    <t>CUST1357</t>
  </si>
  <si>
    <t>Manuel Castillo</t>
  </si>
  <si>
    <t>Nealview</t>
  </si>
  <si>
    <t>CUST1358</t>
  </si>
  <si>
    <t>Ashley Anderson</t>
  </si>
  <si>
    <t>West Johnmouth</t>
  </si>
  <si>
    <t>CUST1359</t>
  </si>
  <si>
    <t>Melanie Lam</t>
  </si>
  <si>
    <t>East Michaelton</t>
  </si>
  <si>
    <t>CUST1360</t>
  </si>
  <si>
    <t>Denise Tate</t>
  </si>
  <si>
    <t>Andersonside</t>
  </si>
  <si>
    <t>CUST1361</t>
  </si>
  <si>
    <t>Natalie Johnson</t>
  </si>
  <si>
    <t>New Jessechester</t>
  </si>
  <si>
    <t>CUST1362</t>
  </si>
  <si>
    <t>Joshua Smith DVM</t>
  </si>
  <si>
    <t>Melvinton</t>
  </si>
  <si>
    <t>CUST1363</t>
  </si>
  <si>
    <t>Elizabeth Smith</t>
  </si>
  <si>
    <t>Murphytown</t>
  </si>
  <si>
    <t>CUST1364</t>
  </si>
  <si>
    <t>Chloe Aguilar</t>
  </si>
  <si>
    <t>Lake Johnside</t>
  </si>
  <si>
    <t>CUST1365</t>
  </si>
  <si>
    <t>Brandon Mcbride</t>
  </si>
  <si>
    <t>Kellyside</t>
  </si>
  <si>
    <t>CUST1366</t>
  </si>
  <si>
    <t>Mallory Allen</t>
  </si>
  <si>
    <t>North Theresa</t>
  </si>
  <si>
    <t>CUST1367</t>
  </si>
  <si>
    <t>Melinda Johnson</t>
  </si>
  <si>
    <t>Kaufmanfurt</t>
  </si>
  <si>
    <t>CUST1368</t>
  </si>
  <si>
    <t>Miranda King</t>
  </si>
  <si>
    <t>West Mathew</t>
  </si>
  <si>
    <t>CUST1369</t>
  </si>
  <si>
    <t>Gregory Allen</t>
  </si>
  <si>
    <t>West Bruce</t>
  </si>
  <si>
    <t>CUST1370</t>
  </si>
  <si>
    <t>James Holloway Jr.</t>
  </si>
  <si>
    <t>Millston</t>
  </si>
  <si>
    <t>CUST1371</t>
  </si>
  <si>
    <t>Michael Garner</t>
  </si>
  <si>
    <t>Port Crystal</t>
  </si>
  <si>
    <t>CUST1372</t>
  </si>
  <si>
    <t>Jacqueline Anthony</t>
  </si>
  <si>
    <t>Vincentside</t>
  </si>
  <si>
    <t>CUST1373</t>
  </si>
  <si>
    <t>James Orozco</t>
  </si>
  <si>
    <t>Simpsonfort</t>
  </si>
  <si>
    <t>CUST1374</t>
  </si>
  <si>
    <t>Emma Wilson</t>
  </si>
  <si>
    <t>Andersonburgh</t>
  </si>
  <si>
    <t>CUST1375</t>
  </si>
  <si>
    <t>Joshua Bell</t>
  </si>
  <si>
    <t>Port Richardshire</t>
  </si>
  <si>
    <t>CUST1376</t>
  </si>
  <si>
    <t>Michele Burke</t>
  </si>
  <si>
    <t>Chambersberg</t>
  </si>
  <si>
    <t>CUST1377</t>
  </si>
  <si>
    <t>Charles Conley</t>
  </si>
  <si>
    <t>Nathanshire</t>
  </si>
  <si>
    <t>CUST1378</t>
  </si>
  <si>
    <t>Frank Stewart</t>
  </si>
  <si>
    <t>Fischerborough</t>
  </si>
  <si>
    <t>CUST1379</t>
  </si>
  <si>
    <t>Tanya Lopez</t>
  </si>
  <si>
    <t>West Jeffreyburgh</t>
  </si>
  <si>
    <t>CUST1380</t>
  </si>
  <si>
    <t>Shelley Ponce</t>
  </si>
  <si>
    <t>South Cassandrachester</t>
  </si>
  <si>
    <t>CUST1381</t>
  </si>
  <si>
    <t>Erika Padilla</t>
  </si>
  <si>
    <t>Andrewsland</t>
  </si>
  <si>
    <t>CUST1382</t>
  </si>
  <si>
    <t>Martha Brown</t>
  </si>
  <si>
    <t>Novakstad</t>
  </si>
  <si>
    <t>CUST1383</t>
  </si>
  <si>
    <t>Kristine Higgins</t>
  </si>
  <si>
    <t>Jennifertown</t>
  </si>
  <si>
    <t>CUST1384</t>
  </si>
  <si>
    <t>Andrew Mason</t>
  </si>
  <si>
    <t>North Michael</t>
  </si>
  <si>
    <t>CUST1385</t>
  </si>
  <si>
    <t>Tammy Brennan</t>
  </si>
  <si>
    <t>Lake Brandontown</t>
  </si>
  <si>
    <t>CUST1386</t>
  </si>
  <si>
    <t>Melanie Mitchell</t>
  </si>
  <si>
    <t>West Laura</t>
  </si>
  <si>
    <t>CUST1387</t>
  </si>
  <si>
    <t>Timothy Gardner</t>
  </si>
  <si>
    <t>New Dawn</t>
  </si>
  <si>
    <t>CUST1388</t>
  </si>
  <si>
    <t>Timothy Valenzuela</t>
  </si>
  <si>
    <t>Stevensshire</t>
  </si>
  <si>
    <t>CUST1389</t>
  </si>
  <si>
    <t>Cynthia Lopez</t>
  </si>
  <si>
    <t>Joseland</t>
  </si>
  <si>
    <t>CUST1390</t>
  </si>
  <si>
    <t>Daniel Bell</t>
  </si>
  <si>
    <t>Deniseberg</t>
  </si>
  <si>
    <t>CUST1391</t>
  </si>
  <si>
    <t>Heidi Tyler</t>
  </si>
  <si>
    <t>Dawnstad</t>
  </si>
  <si>
    <t>CUST1392</t>
  </si>
  <si>
    <t>Jacqueline Payne</t>
  </si>
  <si>
    <t>Gutierrezstad</t>
  </si>
  <si>
    <t>CUST1393</t>
  </si>
  <si>
    <t>Michael Mcneil</t>
  </si>
  <si>
    <t>Stewartchester</t>
  </si>
  <si>
    <t>CUST1394</t>
  </si>
  <si>
    <t>Alejandro Evans</t>
  </si>
  <si>
    <t>Cannonberg</t>
  </si>
  <si>
    <t>CUST1395</t>
  </si>
  <si>
    <t>Brandon Mcguire</t>
  </si>
  <si>
    <t>Lake Morganland</t>
  </si>
  <si>
    <t>CUST1396</t>
  </si>
  <si>
    <t>Alexander Byrd</t>
  </si>
  <si>
    <t>Parkerview</t>
  </si>
  <si>
    <t>CUST1397</t>
  </si>
  <si>
    <t>Charles Norman PhD</t>
  </si>
  <si>
    <t>CUST1398</t>
  </si>
  <si>
    <t>Jennifer Johnson</t>
  </si>
  <si>
    <t>Cheyenneborough</t>
  </si>
  <si>
    <t>CUST1399</t>
  </si>
  <si>
    <t>John Donaldson</t>
  </si>
  <si>
    <t>New Edward</t>
  </si>
  <si>
    <t>CUST1400</t>
  </si>
  <si>
    <t>Mark Rogers</t>
  </si>
  <si>
    <t>Bookertown</t>
  </si>
  <si>
    <t>CUST1401</t>
  </si>
  <si>
    <t>Terry Moses</t>
  </si>
  <si>
    <t>Leahmouth</t>
  </si>
  <si>
    <t>CUST1402</t>
  </si>
  <si>
    <t>Cassandra Perez</t>
  </si>
  <si>
    <t>CUST1403</t>
  </si>
  <si>
    <t>Justin Ingram</t>
  </si>
  <si>
    <t>Lake Lisaland</t>
  </si>
  <si>
    <t>CUST1404</t>
  </si>
  <si>
    <t>David Ross</t>
  </si>
  <si>
    <t>South Angela</t>
  </si>
  <si>
    <t>CUST1405</t>
  </si>
  <si>
    <t>Eric Wolfe</t>
  </si>
  <si>
    <t>Garciaview</t>
  </si>
  <si>
    <t>CUST1406</t>
  </si>
  <si>
    <t>David Lozano</t>
  </si>
  <si>
    <t>North Michaelfurt</t>
  </si>
  <si>
    <t>CUST1407</t>
  </si>
  <si>
    <t>Joseph Mendoza</t>
  </si>
  <si>
    <t>Ashleymouth</t>
  </si>
  <si>
    <t>CUST1408</t>
  </si>
  <si>
    <t>Isabel Foster</t>
  </si>
  <si>
    <t>Port Joshuaville</t>
  </si>
  <si>
    <t>CUST1409</t>
  </si>
  <si>
    <t>Sarah Smith</t>
  </si>
  <si>
    <t>Kathleenport</t>
  </si>
  <si>
    <t>CUST1410</t>
  </si>
  <si>
    <t>Jackie Thompson</t>
  </si>
  <si>
    <t>South Edwin</t>
  </si>
  <si>
    <t>CUST1411</t>
  </si>
  <si>
    <t>Katrina Perez</t>
  </si>
  <si>
    <t>West Rebecca</t>
  </si>
  <si>
    <t>CUST1412</t>
  </si>
  <si>
    <t>Shane Brown</t>
  </si>
  <si>
    <t>CUST1413</t>
  </si>
  <si>
    <t>Megan Ryan</t>
  </si>
  <si>
    <t>Andrewsfurt</t>
  </si>
  <si>
    <t>CUST1414</t>
  </si>
  <si>
    <t>Melissa Valentine</t>
  </si>
  <si>
    <t>East Patriciafort</t>
  </si>
  <si>
    <t>CUST1415</t>
  </si>
  <si>
    <t>Tyler Cook</t>
  </si>
  <si>
    <t>Kramerview</t>
  </si>
  <si>
    <t>CUST1416</t>
  </si>
  <si>
    <t>Jennifer Myers</t>
  </si>
  <si>
    <t>Marthaborough</t>
  </si>
  <si>
    <t>CUST1417</t>
  </si>
  <si>
    <t>Karen King</t>
  </si>
  <si>
    <t>Kimburgh</t>
  </si>
  <si>
    <t>CUST1418</t>
  </si>
  <si>
    <t>Luke Parks</t>
  </si>
  <si>
    <t>West Mario</t>
  </si>
  <si>
    <t>CUST1419</t>
  </si>
  <si>
    <t>Monica Miller</t>
  </si>
  <si>
    <t>Lake David</t>
  </si>
  <si>
    <t>CUST1420</t>
  </si>
  <si>
    <t>Dr. Tamara White MD</t>
  </si>
  <si>
    <t>New Benjamin</t>
  </si>
  <si>
    <t>CUST1421</t>
  </si>
  <si>
    <t>Holly Robinson</t>
  </si>
  <si>
    <t>East Amy</t>
  </si>
  <si>
    <t>CUST1422</t>
  </si>
  <si>
    <t>Brittany Edwards DDS</t>
  </si>
  <si>
    <t>Aliciahaven</t>
  </si>
  <si>
    <t>CUST1423</t>
  </si>
  <si>
    <t>Rebecca Baker</t>
  </si>
  <si>
    <t>New Katherine</t>
  </si>
  <si>
    <t>CUST1424</t>
  </si>
  <si>
    <t>Edwin Barnes</t>
  </si>
  <si>
    <t>Lake Alexandra</t>
  </si>
  <si>
    <t>CUST1425</t>
  </si>
  <si>
    <t>Bryce Hawkins</t>
  </si>
  <si>
    <t>Lake Monique</t>
  </si>
  <si>
    <t>CUST1426</t>
  </si>
  <si>
    <t>Jeanette Nichols</t>
  </si>
  <si>
    <t>Aguilarland</t>
  </si>
  <si>
    <t>CUST1427</t>
  </si>
  <si>
    <t>Jose Stewart</t>
  </si>
  <si>
    <t>South Robert</t>
  </si>
  <si>
    <t>CUST1428</t>
  </si>
  <si>
    <t>Samuel Mullins</t>
  </si>
  <si>
    <t>Hartmouth</t>
  </si>
  <si>
    <t>CUST1429</t>
  </si>
  <si>
    <t>Sean Vang</t>
  </si>
  <si>
    <t>Davidchester</t>
  </si>
  <si>
    <t>CUST1430</t>
  </si>
  <si>
    <t>Kimberly Roberts</t>
  </si>
  <si>
    <t>Josephchester</t>
  </si>
  <si>
    <t>CUST1431</t>
  </si>
  <si>
    <t>John Smith</t>
  </si>
  <si>
    <t>South Andrewport</t>
  </si>
  <si>
    <t>CUST1432</t>
  </si>
  <si>
    <t>Summer Weiss</t>
  </si>
  <si>
    <t>Phyllisport</t>
  </si>
  <si>
    <t>CUST1433</t>
  </si>
  <si>
    <t>Thomas Moore</t>
  </si>
  <si>
    <t>Williamsberg</t>
  </si>
  <si>
    <t>CUST1434</t>
  </si>
  <si>
    <t>Monique Castro</t>
  </si>
  <si>
    <t>New Sarah</t>
  </si>
  <si>
    <t>CUST1435</t>
  </si>
  <si>
    <t>Lindsay Beasley</t>
  </si>
  <si>
    <t>Wesleyhaven</t>
  </si>
  <si>
    <t>CUST1436</t>
  </si>
  <si>
    <t>Sharon Simpson</t>
  </si>
  <si>
    <t>South Michellebury</t>
  </si>
  <si>
    <t>CUST1437</t>
  </si>
  <si>
    <t>Melinda Rivera</t>
  </si>
  <si>
    <t>CUST1438</t>
  </si>
  <si>
    <t>Monica Flynn</t>
  </si>
  <si>
    <t>Amberburgh</t>
  </si>
  <si>
    <t>CUST1439</t>
  </si>
  <si>
    <t>John Compton</t>
  </si>
  <si>
    <t>CUST1440</t>
  </si>
  <si>
    <t>Tammy Trevino</t>
  </si>
  <si>
    <t>Justinberg</t>
  </si>
  <si>
    <t>CUST1441</t>
  </si>
  <si>
    <t>Dalton Walters</t>
  </si>
  <si>
    <t>Jonesstad</t>
  </si>
  <si>
    <t>CUST1442</t>
  </si>
  <si>
    <t>Kelli Smith</t>
  </si>
  <si>
    <t>North Maryfort</t>
  </si>
  <si>
    <t>CUST1443</t>
  </si>
  <si>
    <t>Adam Castro</t>
  </si>
  <si>
    <t>New Donnabury</t>
  </si>
  <si>
    <t>CUST1444</t>
  </si>
  <si>
    <t>Cheryl Carr</t>
  </si>
  <si>
    <t>Jessicaland</t>
  </si>
  <si>
    <t>CUST1445</t>
  </si>
  <si>
    <t>Gene Lee</t>
  </si>
  <si>
    <t>Mcfarlandmouth</t>
  </si>
  <si>
    <t>CUST1446</t>
  </si>
  <si>
    <t>Shannon Turner</t>
  </si>
  <si>
    <t>West Jorge</t>
  </si>
  <si>
    <t>CUST1447</t>
  </si>
  <si>
    <t>Monica Wright</t>
  </si>
  <si>
    <t>Paulside</t>
  </si>
  <si>
    <t>CUST1448</t>
  </si>
  <si>
    <t>Eric Holmes</t>
  </si>
  <si>
    <t>Smithville</t>
  </si>
  <si>
    <t>CUST1449</t>
  </si>
  <si>
    <t>William Cortez</t>
  </si>
  <si>
    <t>Port Hannahport</t>
  </si>
  <si>
    <t>CUST1450</t>
  </si>
  <si>
    <t>Shane Mills</t>
  </si>
  <si>
    <t>Lake Meganstad</t>
  </si>
  <si>
    <t>CUST1451</t>
  </si>
  <si>
    <t>Ashley Roberts</t>
  </si>
  <si>
    <t>CUST1452</t>
  </si>
  <si>
    <t>Jeffery Wolf</t>
  </si>
  <si>
    <t>New Laura</t>
  </si>
  <si>
    <t>CUST1453</t>
  </si>
  <si>
    <t>April Phillips</t>
  </si>
  <si>
    <t>Lake Carolyn</t>
  </si>
  <si>
    <t>CUST1454</t>
  </si>
  <si>
    <t>John Berg</t>
  </si>
  <si>
    <t>CUST1455</t>
  </si>
  <si>
    <t>Tyler Weber</t>
  </si>
  <si>
    <t>East Yvette</t>
  </si>
  <si>
    <t>CUST1456</t>
  </si>
  <si>
    <t>Julie Powell</t>
  </si>
  <si>
    <t>South Barbara</t>
  </si>
  <si>
    <t>CUST1457</t>
  </si>
  <si>
    <t>Christina Robertson</t>
  </si>
  <si>
    <t>Hubbardborough</t>
  </si>
  <si>
    <t>CUST1458</t>
  </si>
  <si>
    <t>Kelly Garrett</t>
  </si>
  <si>
    <t>Port Taylorberg</t>
  </si>
  <si>
    <t>CUST1459</t>
  </si>
  <si>
    <t>Brandontown</t>
  </si>
  <si>
    <t>CUST1460</t>
  </si>
  <si>
    <t>Justin Johnson</t>
  </si>
  <si>
    <t>Hughesview</t>
  </si>
  <si>
    <t>CUST1461</t>
  </si>
  <si>
    <t>Paul Cox</t>
  </si>
  <si>
    <t>East Julie</t>
  </si>
  <si>
    <t>CUST1462</t>
  </si>
  <si>
    <t>Beth Martin</t>
  </si>
  <si>
    <t>Burkefurt</t>
  </si>
  <si>
    <t>CUST1463</t>
  </si>
  <si>
    <t>Samantha Lee</t>
  </si>
  <si>
    <t>Port Anthony</t>
  </si>
  <si>
    <t>CUST1464</t>
  </si>
  <si>
    <t>David Pierce</t>
  </si>
  <si>
    <t>Grayland</t>
  </si>
  <si>
    <t>CUST1465</t>
  </si>
  <si>
    <t>Ronald Ross</t>
  </si>
  <si>
    <t>Hartmanside</t>
  </si>
  <si>
    <t>CUST1466</t>
  </si>
  <si>
    <t>Cynthia Parrish</t>
  </si>
  <si>
    <t>Espinozaberg</t>
  </si>
  <si>
    <t>CUST1467</t>
  </si>
  <si>
    <t>Michael Foley</t>
  </si>
  <si>
    <t>Oneillfurt</t>
  </si>
  <si>
    <t>CUST1468</t>
  </si>
  <si>
    <t>Gregory Curtis</t>
  </si>
  <si>
    <t>Bergermouth</t>
  </si>
  <si>
    <t>CUST1469</t>
  </si>
  <si>
    <t>James Foster</t>
  </si>
  <si>
    <t>East Audrey</t>
  </si>
  <si>
    <t>CUST1470</t>
  </si>
  <si>
    <t>Manuel Fisher</t>
  </si>
  <si>
    <t>Kanebury</t>
  </si>
  <si>
    <t>CUST1471</t>
  </si>
  <si>
    <t>Debra Mccullough</t>
  </si>
  <si>
    <t>Mcdanielfurt</t>
  </si>
  <si>
    <t>CUST1472</t>
  </si>
  <si>
    <t>Philip Mendoza</t>
  </si>
  <si>
    <t>Tylermouth</t>
  </si>
  <si>
    <t>CUST1473</t>
  </si>
  <si>
    <t>Laura Mathews</t>
  </si>
  <si>
    <t>Chambersfurt</t>
  </si>
  <si>
    <t>CUST1474</t>
  </si>
  <si>
    <t>Joshua Howard</t>
  </si>
  <si>
    <t>East Christopherhaven</t>
  </si>
  <si>
    <t>CUST1475</t>
  </si>
  <si>
    <t>Barbara Berry</t>
  </si>
  <si>
    <t>CUST1476</t>
  </si>
  <si>
    <t>Elizabeth Foster</t>
  </si>
  <si>
    <t>Anthonymouth</t>
  </si>
  <si>
    <t>CUST1477</t>
  </si>
  <si>
    <t>Andrea Harris</t>
  </si>
  <si>
    <t>West Kelseyberg</t>
  </si>
  <si>
    <t>CUST1478</t>
  </si>
  <si>
    <t>Earl Smith DDS</t>
  </si>
  <si>
    <t>West Sarah</t>
  </si>
  <si>
    <t>CUST1479</t>
  </si>
  <si>
    <t>Dylan Gutierrez</t>
  </si>
  <si>
    <t>New Jamesview</t>
  </si>
  <si>
    <t>CUST1480</t>
  </si>
  <si>
    <t>Jordan Medina</t>
  </si>
  <si>
    <t>Robinchester</t>
  </si>
  <si>
    <t>CUST1481</t>
  </si>
  <si>
    <t>Bryan Tran</t>
  </si>
  <si>
    <t>Kelseybury</t>
  </si>
  <si>
    <t>CUST1482</t>
  </si>
  <si>
    <t>Sheri Joyce</t>
  </si>
  <si>
    <t>West Tylerfort</t>
  </si>
  <si>
    <t>CUST1483</t>
  </si>
  <si>
    <t>East Rodney</t>
  </si>
  <si>
    <t>CUST1484</t>
  </si>
  <si>
    <t>Jessica Castro</t>
  </si>
  <si>
    <t>West Markton</t>
  </si>
  <si>
    <t>CUST1485</t>
  </si>
  <si>
    <t>Sara Ingram</t>
  </si>
  <si>
    <t>East Dillonview</t>
  </si>
  <si>
    <t>CUST1486</t>
  </si>
  <si>
    <t>Eric Lee</t>
  </si>
  <si>
    <t>Lake April</t>
  </si>
  <si>
    <t>CUST1487</t>
  </si>
  <si>
    <t>Amanda Medina</t>
  </si>
  <si>
    <t>East Patriciastad</t>
  </si>
  <si>
    <t>CUST1488</t>
  </si>
  <si>
    <t>Zachary Andrade</t>
  </si>
  <si>
    <t>South Davidport</t>
  </si>
  <si>
    <t>CUST1489</t>
  </si>
  <si>
    <t>Melinda Thomas</t>
  </si>
  <si>
    <t>Lake Elizabethside</t>
  </si>
  <si>
    <t>CUST1490</t>
  </si>
  <si>
    <t>Scott Harris</t>
  </si>
  <si>
    <t>North Nataliemouth</t>
  </si>
  <si>
    <t>CUST1491</t>
  </si>
  <si>
    <t>Kaitlin Brown</t>
  </si>
  <si>
    <t>Kellyberg</t>
  </si>
  <si>
    <t>CUST1492</t>
  </si>
  <si>
    <t>Darrell Miller</t>
  </si>
  <si>
    <t>Port Carol</t>
  </si>
  <si>
    <t>CUST1493</t>
  </si>
  <si>
    <t>Amanda Powell</t>
  </si>
  <si>
    <t>CUST1494</t>
  </si>
  <si>
    <t>Justin Lopez</t>
  </si>
  <si>
    <t>Port Cheryl</t>
  </si>
  <si>
    <t>CUST1495</t>
  </si>
  <si>
    <t>James Berger</t>
  </si>
  <si>
    <t>Bryanmouth</t>
  </si>
  <si>
    <t>CUST1496</t>
  </si>
  <si>
    <t>Christopher Ford</t>
  </si>
  <si>
    <t>North Seanfurt</t>
  </si>
  <si>
    <t>CUST1497</t>
  </si>
  <si>
    <t>Sarah Marsh</t>
  </si>
  <si>
    <t>Port William</t>
  </si>
  <si>
    <t>CUST1498</t>
  </si>
  <si>
    <t>Traci Gonzalez</t>
  </si>
  <si>
    <t>Snyderfurt</t>
  </si>
  <si>
    <t>CUST1499</t>
  </si>
  <si>
    <t>Philip Pennington</t>
  </si>
  <si>
    <t>East Valerieview</t>
  </si>
  <si>
    <t>Product_ID</t>
  </si>
  <si>
    <t>Product_Name</t>
  </si>
  <si>
    <t>Category</t>
  </si>
  <si>
    <t>Sub_Category</t>
  </si>
  <si>
    <t>Brand</t>
  </si>
  <si>
    <t>Cost</t>
  </si>
  <si>
    <t>Stock</t>
  </si>
  <si>
    <t>Clean_Product_Name</t>
  </si>
  <si>
    <t>Category_Filled</t>
  </si>
  <si>
    <t>Price_Check</t>
  </si>
  <si>
    <t>PROD0</t>
  </si>
  <si>
    <t>Brother Laser Printer</t>
  </si>
  <si>
    <t>Electronics</t>
  </si>
  <si>
    <t>Computer</t>
  </si>
  <si>
    <t>Hunt Inc</t>
  </si>
  <si>
    <t>PROD1</t>
  </si>
  <si>
    <t>Men's Graphic T-Shirt</t>
  </si>
  <si>
    <t>Clothing</t>
  </si>
  <si>
    <t>Tops</t>
  </si>
  <si>
    <t>Terry-Moore</t>
  </si>
  <si>
    <t>PROD2</t>
  </si>
  <si>
    <t>Women's Casual Hoodie</t>
  </si>
  <si>
    <t>Outerwear</t>
  </si>
  <si>
    <t>Sims Inc</t>
  </si>
  <si>
    <t>P-3</t>
  </si>
  <si>
    <t>Men's Running Jacket</t>
  </si>
  <si>
    <t>Pineda Ltd</t>
  </si>
  <si>
    <t>PROD4</t>
  </si>
  <si>
    <t>Women's Yoga Pants</t>
  </si>
  <si>
    <t>Bottoms</t>
  </si>
  <si>
    <t>Gonzales-Davis</t>
  </si>
  <si>
    <t>PROD5</t>
  </si>
  <si>
    <t>Men's Leather Belt</t>
  </si>
  <si>
    <t>Accessories</t>
  </si>
  <si>
    <t>Baldwin, Garza and Gonzalez</t>
  </si>
  <si>
    <t>PROD6</t>
  </si>
  <si>
    <t>Herbal Face Moisturizer</t>
  </si>
  <si>
    <t>Beauty</t>
  </si>
  <si>
    <t>Skincare</t>
  </si>
  <si>
    <t>Davidson PLC</t>
  </si>
  <si>
    <t>PROD7</t>
  </si>
  <si>
    <t>LED Table Lamp</t>
  </si>
  <si>
    <t>Home</t>
  </si>
  <si>
    <t>Lighting</t>
  </si>
  <si>
    <t>Harrell LLC</t>
  </si>
  <si>
    <t>PROD8</t>
  </si>
  <si>
    <t>Wireless Bluetooth Earbuds</t>
  </si>
  <si>
    <t>Audio</t>
  </si>
  <si>
    <t>Perez-Johnston</t>
  </si>
  <si>
    <t>PROD9</t>
  </si>
  <si>
    <t>Adjustable Dumbbell Set</t>
  </si>
  <si>
    <t>Sports</t>
  </si>
  <si>
    <t>Fitness</t>
  </si>
  <si>
    <t>Hill PLC</t>
  </si>
  <si>
    <t>PROD10</t>
  </si>
  <si>
    <t>Ceramic Kitchen Bowl Set</t>
  </si>
  <si>
    <t>Kitchen</t>
  </si>
  <si>
    <t>Hamilton Group</t>
  </si>
  <si>
    <t>PROD11</t>
  </si>
  <si>
    <t>HD Smart TV Stick</t>
  </si>
  <si>
    <t>Gibson, Hobbs and Weaver</t>
  </si>
  <si>
    <t>PROD12</t>
  </si>
  <si>
    <t>Hair Strengthening Shampoo</t>
  </si>
  <si>
    <t>Haircare</t>
  </si>
  <si>
    <t>Rice LLC</t>
  </si>
  <si>
    <t>PROD13</t>
  </si>
  <si>
    <t>USB-C Fast Charger</t>
  </si>
  <si>
    <t>Dawson-Perkins</t>
  </si>
  <si>
    <t>PROD14</t>
  </si>
  <si>
    <t>Decorative Wall Mirror</t>
  </si>
  <si>
    <t>Decor</t>
  </si>
  <si>
    <t>Luna, Anderson and Bowman</t>
  </si>
  <si>
    <t>PROD15</t>
  </si>
  <si>
    <t>4K Home Projector</t>
  </si>
  <si>
    <t>Appliances</t>
  </si>
  <si>
    <t>Thomas LLC</t>
  </si>
  <si>
    <t>P-16</t>
  </si>
  <si>
    <t>Beard Grooming Kit</t>
  </si>
  <si>
    <t>Grooming</t>
  </si>
  <si>
    <t>Erickson-Green</t>
  </si>
  <si>
    <t>PROD17</t>
  </si>
  <si>
    <t>Soccer Training Cone Set</t>
  </si>
  <si>
    <t>Ford, Murphy and Wilson</t>
  </si>
  <si>
    <t>PROD18</t>
  </si>
  <si>
    <t>Women's Denim Jeans</t>
  </si>
  <si>
    <t>Guerra-Hendrix</t>
  </si>
  <si>
    <t>PROD19</t>
  </si>
  <si>
    <t>Knee Support Brace</t>
  </si>
  <si>
    <t>Equipment</t>
  </si>
  <si>
    <t>May-Reese</t>
  </si>
  <si>
    <t>PROD20</t>
  </si>
  <si>
    <t>Outdoor Sports Water Bottle</t>
  </si>
  <si>
    <t>Soto-Ellis</t>
  </si>
  <si>
    <t>PROD21</t>
  </si>
  <si>
    <t>Multi-Purpose Storage Box</t>
  </si>
  <si>
    <t>Storage</t>
  </si>
  <si>
    <t>Gardner-Montes</t>
  </si>
  <si>
    <t>PROD22</t>
  </si>
  <si>
    <t>Carbon Fiber Tennis Racket</t>
  </si>
  <si>
    <t>Flores, Pineda and Rodriguez</t>
  </si>
  <si>
    <t>PROD23</t>
  </si>
  <si>
    <t>Men's Formal Shirt</t>
  </si>
  <si>
    <t>Moon, Mora and Santos</t>
  </si>
  <si>
    <t>PROD24</t>
  </si>
  <si>
    <t>Foldable Camping Chair</t>
  </si>
  <si>
    <t>Outdoor</t>
  </si>
  <si>
    <t>Cook Ltd</t>
  </si>
  <si>
    <t>PROD25</t>
  </si>
  <si>
    <t>Women's Scarf Set</t>
  </si>
  <si>
    <t>Brown and Sons</t>
  </si>
  <si>
    <t>PROD26</t>
  </si>
  <si>
    <t>Wireless Bluetooth Speaker</t>
  </si>
  <si>
    <t>Reed-Schmidt</t>
  </si>
  <si>
    <t>PROD27</t>
  </si>
  <si>
    <t>Decorative Floor Vase</t>
  </si>
  <si>
    <t>Khan, Jones and Paul</t>
  </si>
  <si>
    <t>PROD28</t>
  </si>
  <si>
    <t>Sports Stopwatch Timer</t>
  </si>
  <si>
    <t>Burns-Hansen</t>
  </si>
  <si>
    <t>PROD29</t>
  </si>
  <si>
    <t>Fabric Sofa Throw Blanket</t>
  </si>
  <si>
    <t>Hoffman Group</t>
  </si>
  <si>
    <t>PROD30</t>
  </si>
  <si>
    <t>Stainless Steel Cutlery Set</t>
  </si>
  <si>
    <t>Stevens, Fernandez and Martin</t>
  </si>
  <si>
    <t>PROD31</t>
  </si>
  <si>
    <t>Basketball</t>
  </si>
  <si>
    <t>Team Sports</t>
  </si>
  <si>
    <t>Nolan-Snow</t>
  </si>
  <si>
    <t>PROD32</t>
  </si>
  <si>
    <t>Vitamin C Face Serum</t>
  </si>
  <si>
    <t>Griffin Ltd</t>
  </si>
  <si>
    <t>PROD33</t>
  </si>
  <si>
    <t>Modern Wall Clock</t>
  </si>
  <si>
    <t>Weiss-Watson</t>
  </si>
  <si>
    <t>PROD34</t>
  </si>
  <si>
    <t>Gaming Mechanical Keyboard</t>
  </si>
  <si>
    <t>Lucero LLC</t>
  </si>
  <si>
    <t>PROD35</t>
  </si>
  <si>
    <t>Bedroom Table Lamp</t>
  </si>
  <si>
    <t>Jones LLC</t>
  </si>
  <si>
    <t>PROD36</t>
  </si>
  <si>
    <t>Women's Summer Dress</t>
  </si>
  <si>
    <t>Smith-Mills</t>
  </si>
  <si>
    <t>PROD37</t>
  </si>
  <si>
    <t>Men's Casual Sneakers</t>
  </si>
  <si>
    <t>Footwear</t>
  </si>
  <si>
    <t>Hogan-Lee</t>
  </si>
  <si>
    <t>PROD38</t>
  </si>
  <si>
    <t>Sports Water Hydration Pack</t>
  </si>
  <si>
    <t>Sims-Smith</t>
  </si>
  <si>
    <t>PROD39</t>
  </si>
  <si>
    <t>Portable Power Bank</t>
  </si>
  <si>
    <t>Mobile</t>
  </si>
  <si>
    <t>Cummings and Sons</t>
  </si>
  <si>
    <t>PROD40</t>
  </si>
  <si>
    <t>Noise-Canceling Headphones</t>
  </si>
  <si>
    <t>Taylor-Hart</t>
  </si>
  <si>
    <t>PROD41</t>
  </si>
  <si>
    <t>Yoga Exercise Mat</t>
  </si>
  <si>
    <t>Carroll, Long and Mendoza</t>
  </si>
  <si>
    <t>PROD42</t>
  </si>
  <si>
    <t>Smart Home WiFi Camera</t>
  </si>
  <si>
    <t>Holmes LLC</t>
  </si>
  <si>
    <t>PROD43</t>
  </si>
  <si>
    <t>USB External Hard Drive</t>
  </si>
  <si>
    <t>Robinson Inc</t>
  </si>
  <si>
    <t>PROD44</t>
  </si>
  <si>
    <t>Adjustable Jump Rope</t>
  </si>
  <si>
    <t>Cox Inc</t>
  </si>
  <si>
    <t>PROD45</t>
  </si>
  <si>
    <t>High-Grip Football</t>
  </si>
  <si>
    <t>Bridges, Banks and Cummings</t>
  </si>
  <si>
    <t>PROD46</t>
  </si>
  <si>
    <t>Men's Winter Jacket</t>
  </si>
  <si>
    <t>Kelly, Smith and Perez</t>
  </si>
  <si>
    <t>PROD47</t>
  </si>
  <si>
    <t>Makeup Brush Set</t>
  </si>
  <si>
    <t>Makeup</t>
  </si>
  <si>
    <t>Cook Inc</t>
  </si>
  <si>
    <t>PROD48</t>
  </si>
  <si>
    <t>Car Dashboard Phone Holder</t>
  </si>
  <si>
    <t>Byrd, Stewart and Valdez</t>
  </si>
  <si>
    <t>PROD49</t>
  </si>
  <si>
    <t>Men's Roll-On Perfume</t>
  </si>
  <si>
    <t>Fragrance</t>
  </si>
  <si>
    <t>Sullivan and Sons</t>
  </si>
  <si>
    <t>PROD50</t>
  </si>
  <si>
    <t>Boxing Hand Wraps</t>
  </si>
  <si>
    <t>Smith-King</t>
  </si>
  <si>
    <t>PROD51</t>
  </si>
  <si>
    <t>HDMI Cable – 2m</t>
  </si>
  <si>
    <t>Bautista, Green and Hale</t>
  </si>
  <si>
    <t>PROD52</t>
  </si>
  <si>
    <t>Rugby Ball</t>
  </si>
  <si>
    <t>Harris Inc</t>
  </si>
  <si>
    <t>PROD53</t>
  </si>
  <si>
    <t>Men's Track Pants</t>
  </si>
  <si>
    <t>Hamilton, Woods and Walker</t>
  </si>
  <si>
    <t>PROD54</t>
  </si>
  <si>
    <t>Sports Stopwatch Pro</t>
  </si>
  <si>
    <t>Thompson-French</t>
  </si>
  <si>
    <t>PROD55</t>
  </si>
  <si>
    <t>Ceramic Plant Pot</t>
  </si>
  <si>
    <t>Hatfield, Baird and Torres</t>
  </si>
  <si>
    <t>PROD56</t>
  </si>
  <si>
    <t>Premium Blanket Throw</t>
  </si>
  <si>
    <t>Hernandez, Kennedy and Porter</t>
  </si>
  <si>
    <t>PROD57</t>
  </si>
  <si>
    <t>Foam Roller</t>
  </si>
  <si>
    <t>Atkinson, Camacho and Oliver</t>
  </si>
  <si>
    <t>PROD58</t>
  </si>
  <si>
    <t>Womens Cotton Scarf</t>
  </si>
  <si>
    <t>Shepherd-Gould</t>
  </si>
  <si>
    <t>PROD59</t>
  </si>
  <si>
    <t>Men's Hair Styling Gel</t>
  </si>
  <si>
    <t>Cline-Mccarthy</t>
  </si>
  <si>
    <t>PROD60</t>
  </si>
  <si>
    <t>Luxury Perfume Spray</t>
  </si>
  <si>
    <t>Gibson, Green and Lopez</t>
  </si>
  <si>
    <t>PROD61</t>
  </si>
  <si>
    <t>Tennis Ball 3-Pack</t>
  </si>
  <si>
    <t>Lopez LLC</t>
  </si>
  <si>
    <t>PROD62</t>
  </si>
  <si>
    <t>Laptop Cooling Pad</t>
  </si>
  <si>
    <t>Murray, Gould and Ware</t>
  </si>
  <si>
    <t>PROD63</t>
  </si>
  <si>
    <t>Organic Sunscreen Lotion</t>
  </si>
  <si>
    <t>Anderson-Riley</t>
  </si>
  <si>
    <t>PROD64</t>
  </si>
  <si>
    <t>Matte Lipstick Set</t>
  </si>
  <si>
    <t>Zhang Inc</t>
  </si>
  <si>
    <t>PROD65</t>
  </si>
  <si>
    <t>Adjustable Dumbbells 20kg</t>
  </si>
  <si>
    <t>Montgomery, Benton and Miller</t>
  </si>
  <si>
    <t>PROD66</t>
  </si>
  <si>
    <t>Women's Hair Dryer Brush</t>
  </si>
  <si>
    <t>Torres, Spencer and Potter</t>
  </si>
  <si>
    <t>PROD67</t>
  </si>
  <si>
    <t>Smart LED Light Strip</t>
  </si>
  <si>
    <t>Flores-Davis</t>
  </si>
  <si>
    <t>PROD68</t>
  </si>
  <si>
    <t>Wooden Nightstand</t>
  </si>
  <si>
    <t>Furniture</t>
  </si>
  <si>
    <t>Wolfe, Ross and Hester</t>
  </si>
  <si>
    <t>PROD69</t>
  </si>
  <si>
    <t>Men's Sports Shorts</t>
  </si>
  <si>
    <t>Fitzpatrick Ltd</t>
  </si>
  <si>
    <t>PROD70</t>
  </si>
  <si>
    <t>Kitchen Storage Rack</t>
  </si>
  <si>
    <t>Duran Group</t>
  </si>
  <si>
    <t>PROD71</t>
  </si>
  <si>
    <t>Hair Repair Oil Treatment</t>
  </si>
  <si>
    <t>Hopkins Ltd</t>
  </si>
  <si>
    <t>PROD72</t>
  </si>
  <si>
    <t>Professional Jump Rope</t>
  </si>
  <si>
    <t>Davis PLC</t>
  </si>
  <si>
    <t>PROD73</t>
  </si>
  <si>
    <t>Shin Guards – Adult</t>
  </si>
  <si>
    <t>French Ltd</t>
  </si>
  <si>
    <t>PROD74</t>
  </si>
  <si>
    <t>Bluetooth Car Audio System</t>
  </si>
  <si>
    <t>Bruce-Bowen</t>
  </si>
  <si>
    <t>PROD75</t>
  </si>
  <si>
    <t>Women's Ankle Boots</t>
  </si>
  <si>
    <t>Poole PLC</t>
  </si>
  <si>
    <t>PROD76</t>
  </si>
  <si>
    <t>Wireless Mouse</t>
  </si>
  <si>
    <t>Larson Ltd</t>
  </si>
  <si>
    <t>PROD77</t>
  </si>
  <si>
    <t>WiFi Mesh Router</t>
  </si>
  <si>
    <t>White, Reeves and Woods</t>
  </si>
  <si>
    <t>PROD78</t>
  </si>
  <si>
    <t>Essential Oil Diffuser</t>
  </si>
  <si>
    <t>Hernandez Inc</t>
  </si>
  <si>
    <t>PROD79</t>
  </si>
  <si>
    <t>Decorative Lamp Shade</t>
  </si>
  <si>
    <t>Ramirez-Hanson</t>
  </si>
  <si>
    <t>PROD80</t>
  </si>
  <si>
    <t>Wall-Mounted Spice Rack</t>
  </si>
  <si>
    <t>Allison Ltd</t>
  </si>
  <si>
    <t>PROD81</t>
  </si>
  <si>
    <t>Badminton Racket Set</t>
  </si>
  <si>
    <t>Robinson-Brown</t>
  </si>
  <si>
    <t>PROD82</t>
  </si>
  <si>
    <t>Fitness Resistance Bands</t>
  </si>
  <si>
    <t>Reese-Watson</t>
  </si>
  <si>
    <t>PROD83</t>
  </si>
  <si>
    <t>Hydrating Face Cleanser</t>
  </si>
  <si>
    <t>Butler Group</t>
  </si>
  <si>
    <t>PROD84</t>
  </si>
  <si>
    <t>Wooden Bookshelf</t>
  </si>
  <si>
    <t>Collins-Stephenson</t>
  </si>
  <si>
    <t>PROD85</t>
  </si>
  <si>
    <t>Women's Beanie Hat</t>
  </si>
  <si>
    <t>Richardson-Carrillo</t>
  </si>
  <si>
    <t>PROD86</t>
  </si>
  <si>
    <t>Kitchen Cutting Board</t>
  </si>
  <si>
    <t>Taylor, Dodson and Johnston</t>
  </si>
  <si>
    <t>PROD87</t>
  </si>
  <si>
    <t>LED Bedside Lamp</t>
  </si>
  <si>
    <t>Aguilar, Horton and Lewis</t>
  </si>
  <si>
    <t>PROD88</t>
  </si>
  <si>
    <t>Sports Wrist Sweatbands</t>
  </si>
  <si>
    <t>Olsen-Daniels</t>
  </si>
  <si>
    <t>PROD89</t>
  </si>
  <si>
    <t>Face Foundation Kit</t>
  </si>
  <si>
    <t>Taylor-Elliott</t>
  </si>
  <si>
    <t>PROD90</t>
  </si>
  <si>
    <t>Gaming Mouse Pad XL</t>
  </si>
  <si>
    <t>Sharp, Taylor and Rodriguez</t>
  </si>
  <si>
    <t>PROD91</t>
  </si>
  <si>
    <t>Women's High Heels</t>
  </si>
  <si>
    <t>Smith-Charles</t>
  </si>
  <si>
    <t>PROD92</t>
  </si>
  <si>
    <t>Microwave Oven</t>
  </si>
  <si>
    <t>Green, Powell and Palmer</t>
  </si>
  <si>
    <t>PROD93</t>
  </si>
  <si>
    <t>USB-C Laptop Charger</t>
  </si>
  <si>
    <t>Martin LLC</t>
  </si>
  <si>
    <t>PROD94</t>
  </si>
  <si>
    <t>Vitamin E Body Lotion</t>
  </si>
  <si>
    <t>Hoffman-Williams</t>
  </si>
  <si>
    <t>PROD95</t>
  </si>
  <si>
    <t>Sports Stopwatch Basic</t>
  </si>
  <si>
    <t>Wilson Group</t>
  </si>
  <si>
    <t>PROD96</t>
  </si>
  <si>
    <t>Women's Formal Blazer</t>
  </si>
  <si>
    <t>Phillips and Sons</t>
  </si>
  <si>
    <t>PROD97</t>
  </si>
  <si>
    <t>Cricket Bat</t>
  </si>
  <si>
    <t>Khan LLC</t>
  </si>
  <si>
    <t>PROD98</t>
  </si>
  <si>
    <t>Portable Bluetooth Speaker</t>
  </si>
  <si>
    <t>Flores-King</t>
  </si>
  <si>
    <t>PROD99</t>
  </si>
  <si>
    <t>Stainless Steel Cookware Set</t>
  </si>
  <si>
    <t>Campbell Ltd</t>
  </si>
  <si>
    <t>Store_ID</t>
  </si>
  <si>
    <t>Region</t>
  </si>
  <si>
    <t>Store_Type</t>
  </si>
  <si>
    <t xml:space="preserve"> </t>
  </si>
  <si>
    <t>Clean_Store_ID</t>
  </si>
  <si>
    <t>Store_ID_Length</t>
  </si>
  <si>
    <t>Region_Store_Count</t>
  </si>
  <si>
    <t>Store_Key</t>
  </si>
  <si>
    <t>Validation</t>
  </si>
  <si>
    <t>STORE0</t>
  </si>
  <si>
    <t>East</t>
  </si>
  <si>
    <t>Washingtonfurt</t>
  </si>
  <si>
    <t>Flagship</t>
  </si>
  <si>
    <t>STORE1</t>
  </si>
  <si>
    <t>North</t>
  </si>
  <si>
    <t>Danielmouth</t>
  </si>
  <si>
    <t>STORE2</t>
  </si>
  <si>
    <t>South</t>
  </si>
  <si>
    <t>North Nancyview</t>
  </si>
  <si>
    <t>Outlet</t>
  </si>
  <si>
    <t>STORE3</t>
  </si>
  <si>
    <t>Hoodberg</t>
  </si>
  <si>
    <t>STORE4</t>
  </si>
  <si>
    <t>Port Sharon</t>
  </si>
  <si>
    <t>Online</t>
  </si>
  <si>
    <t>STORE5</t>
  </si>
  <si>
    <t>New Michaelchester</t>
  </si>
  <si>
    <t>STORE6</t>
  </si>
  <si>
    <t>Port Josephberg</t>
  </si>
  <si>
    <t>STORE7</t>
  </si>
  <si>
    <t>Williamsfurt</t>
  </si>
  <si>
    <t>STORE8</t>
  </si>
  <si>
    <t>West</t>
  </si>
  <si>
    <t>Thompsonborough</t>
  </si>
  <si>
    <t>STORE9</t>
  </si>
  <si>
    <t>East Johnstad</t>
  </si>
  <si>
    <t>STORE10</t>
  </si>
  <si>
    <t>East Davidville</t>
  </si>
  <si>
    <t>STORE11</t>
  </si>
  <si>
    <t>STORE12</t>
  </si>
  <si>
    <t>Sabrinatown</t>
  </si>
  <si>
    <t>STORE13</t>
  </si>
  <si>
    <t>STORE14</t>
  </si>
  <si>
    <t>STORE15</t>
  </si>
  <si>
    <t>East Jenniferstad</t>
  </si>
  <si>
    <t>STORE16</t>
  </si>
  <si>
    <t>New Jimmymouth</t>
  </si>
  <si>
    <t>STORE17</t>
  </si>
  <si>
    <t>Bensonhaven</t>
  </si>
  <si>
    <t>STORE18</t>
  </si>
  <si>
    <t>East Stevechester</t>
  </si>
  <si>
    <t>STORE19</t>
  </si>
  <si>
    <t>Vasquezborough</t>
  </si>
  <si>
    <t>Sales_ID</t>
  </si>
  <si>
    <t>Order_Date</t>
  </si>
  <si>
    <t>Quantity</t>
  </si>
  <si>
    <t>Unit_Price</t>
  </si>
  <si>
    <t>Discount</t>
  </si>
  <si>
    <t>Total_Amount</t>
  </si>
  <si>
    <t>Net_Sales</t>
  </si>
  <si>
    <t>Month</t>
  </si>
  <si>
    <t>Year</t>
  </si>
  <si>
    <t>Customer_Name</t>
  </si>
  <si>
    <t>SALE0</t>
  </si>
  <si>
    <t>SALE1</t>
  </si>
  <si>
    <t>SALE2</t>
  </si>
  <si>
    <t>SALE3</t>
  </si>
  <si>
    <t>SALE4</t>
  </si>
  <si>
    <t>SALE5</t>
  </si>
  <si>
    <t>SALE6</t>
  </si>
  <si>
    <t>SALE7</t>
  </si>
  <si>
    <t>SALE8</t>
  </si>
  <si>
    <t>SALE9</t>
  </si>
  <si>
    <t>SALE10</t>
  </si>
  <si>
    <t>SALE11</t>
  </si>
  <si>
    <t>SALE12</t>
  </si>
  <si>
    <t>SALE13</t>
  </si>
  <si>
    <t>SALE14</t>
  </si>
  <si>
    <t>SALE15</t>
  </si>
  <si>
    <t>SALE16</t>
  </si>
  <si>
    <t>SALE17</t>
  </si>
  <si>
    <t>SALE18</t>
  </si>
  <si>
    <t>SALE19</t>
  </si>
  <si>
    <t>SALE20</t>
  </si>
  <si>
    <t>SALE21</t>
  </si>
  <si>
    <t>SALE22</t>
  </si>
  <si>
    <t>SALE23</t>
  </si>
  <si>
    <t>SALE24</t>
  </si>
  <si>
    <t>SALE25</t>
  </si>
  <si>
    <t>SALE26</t>
  </si>
  <si>
    <t>SALE27</t>
  </si>
  <si>
    <t>SALE28</t>
  </si>
  <si>
    <t>SALE29</t>
  </si>
  <si>
    <t>SALE30</t>
  </si>
  <si>
    <t>SALE31</t>
  </si>
  <si>
    <t>SALE32</t>
  </si>
  <si>
    <t>SALE33</t>
  </si>
  <si>
    <t>SALE34</t>
  </si>
  <si>
    <t>SALE35</t>
  </si>
  <si>
    <t>PROD16</t>
  </si>
  <si>
    <t>SALE36</t>
  </si>
  <si>
    <t>SALE37</t>
  </si>
  <si>
    <t>SALE38</t>
  </si>
  <si>
    <t>SALE39</t>
  </si>
  <si>
    <t>SALE40</t>
  </si>
  <si>
    <t>SALE41</t>
  </si>
  <si>
    <t>SALE42</t>
  </si>
  <si>
    <t>SALE43</t>
  </si>
  <si>
    <t>SALE44</t>
  </si>
  <si>
    <t>SALE45</t>
  </si>
  <si>
    <t>SALE46</t>
  </si>
  <si>
    <t>SALE47</t>
  </si>
  <si>
    <t>SALE48</t>
  </si>
  <si>
    <t>SALE49</t>
  </si>
  <si>
    <t>SALE50</t>
  </si>
  <si>
    <t>SALE51</t>
  </si>
  <si>
    <t>SALE52</t>
  </si>
  <si>
    <t>SALE53</t>
  </si>
  <si>
    <t>SALE54</t>
  </si>
  <si>
    <t>SALE55</t>
  </si>
  <si>
    <t>SALE56</t>
  </si>
  <si>
    <t>SALE57</t>
  </si>
  <si>
    <t>SALE58</t>
  </si>
  <si>
    <t>SALE59</t>
  </si>
  <si>
    <t>SALE60</t>
  </si>
  <si>
    <t>SALE61</t>
  </si>
  <si>
    <t>SALE62</t>
  </si>
  <si>
    <t>SALE63</t>
  </si>
  <si>
    <t>SALE64</t>
  </si>
  <si>
    <t>SALE65</t>
  </si>
  <si>
    <t>SALE66</t>
  </si>
  <si>
    <t>SALE67</t>
  </si>
  <si>
    <t>SALE68</t>
  </si>
  <si>
    <t>SALE69</t>
  </si>
  <si>
    <t>SALE70</t>
  </si>
  <si>
    <t>SALE71</t>
  </si>
  <si>
    <t>SALE72</t>
  </si>
  <si>
    <t>SALE73</t>
  </si>
  <si>
    <t>SALE74</t>
  </si>
  <si>
    <t>SALE75</t>
  </si>
  <si>
    <t>SALE76</t>
  </si>
  <si>
    <t>SALE77</t>
  </si>
  <si>
    <t>SALE78</t>
  </si>
  <si>
    <t>SALE79</t>
  </si>
  <si>
    <t>SALE80</t>
  </si>
  <si>
    <t>SALE81</t>
  </si>
  <si>
    <t>SALE82</t>
  </si>
  <si>
    <t>SALE83</t>
  </si>
  <si>
    <t>SALE84</t>
  </si>
  <si>
    <t>SALE85</t>
  </si>
  <si>
    <t>SALE86</t>
  </si>
  <si>
    <t>SALE87</t>
  </si>
  <si>
    <t>SALE88</t>
  </si>
  <si>
    <t>SALE89</t>
  </si>
  <si>
    <t>SALE90</t>
  </si>
  <si>
    <t>SALE91</t>
  </si>
  <si>
    <t>SALE92</t>
  </si>
  <si>
    <t>SALE93</t>
  </si>
  <si>
    <t>SALE94</t>
  </si>
  <si>
    <t>SALE95</t>
  </si>
  <si>
    <t>SALE96</t>
  </si>
  <si>
    <t>SALE97</t>
  </si>
  <si>
    <t>PROD3</t>
  </si>
  <si>
    <t>SALE98</t>
  </si>
  <si>
    <t>SALE99</t>
  </si>
  <si>
    <t>SALE100</t>
  </si>
  <si>
    <t>SALE101</t>
  </si>
  <si>
    <t>SALE102</t>
  </si>
  <si>
    <t>SALE103</t>
  </si>
  <si>
    <t>SALE104</t>
  </si>
  <si>
    <t>SALE105</t>
  </si>
  <si>
    <t>SALE106</t>
  </si>
  <si>
    <t>SALE107</t>
  </si>
  <si>
    <t>SALE108</t>
  </si>
  <si>
    <t>SALE109</t>
  </si>
  <si>
    <t>SALE110</t>
  </si>
  <si>
    <t>SALE111</t>
  </si>
  <si>
    <t>SALE112</t>
  </si>
  <si>
    <t>SALE113</t>
  </si>
  <si>
    <t>SALE114</t>
  </si>
  <si>
    <t>SALE115</t>
  </si>
  <si>
    <t>SALE116</t>
  </si>
  <si>
    <t>SALE117</t>
  </si>
  <si>
    <t>SALE118</t>
  </si>
  <si>
    <t>SALE119</t>
  </si>
  <si>
    <t>SALE120</t>
  </si>
  <si>
    <t>SALE121</t>
  </si>
  <si>
    <t>SALE122</t>
  </si>
  <si>
    <t>SALE123</t>
  </si>
  <si>
    <t>SALE124</t>
  </si>
  <si>
    <t>SALE125</t>
  </si>
  <si>
    <t>SALE126</t>
  </si>
  <si>
    <t>SALE127</t>
  </si>
  <si>
    <t>SALE128</t>
  </si>
  <si>
    <t>SALE129</t>
  </si>
  <si>
    <t>SALE130</t>
  </si>
  <si>
    <t>SALE131</t>
  </si>
  <si>
    <t>SALE132</t>
  </si>
  <si>
    <t>SALE133</t>
  </si>
  <si>
    <t>SALE134</t>
  </si>
  <si>
    <t>SALE135</t>
  </si>
  <si>
    <t>SALE136</t>
  </si>
  <si>
    <t>SALE137</t>
  </si>
  <si>
    <t>SALE138</t>
  </si>
  <si>
    <t>SALE139</t>
  </si>
  <si>
    <t>SALE140</t>
  </si>
  <si>
    <t>SALE141</t>
  </si>
  <si>
    <t>SALE142</t>
  </si>
  <si>
    <t>SALE143</t>
  </si>
  <si>
    <t>SALE144</t>
  </si>
  <si>
    <t>SALE145</t>
  </si>
  <si>
    <t>SALE146</t>
  </si>
  <si>
    <t>SALE147</t>
  </si>
  <si>
    <t>SALE148</t>
  </si>
  <si>
    <t>SALE149</t>
  </si>
  <si>
    <t>SALE150</t>
  </si>
  <si>
    <t>SALE151</t>
  </si>
  <si>
    <t>SALE152</t>
  </si>
  <si>
    <t>SALE153</t>
  </si>
  <si>
    <t>SALE154</t>
  </si>
  <si>
    <t>SALE155</t>
  </si>
  <si>
    <t>SALE156</t>
  </si>
  <si>
    <t>SALE157</t>
  </si>
  <si>
    <t>SALE158</t>
  </si>
  <si>
    <t>SALE159</t>
  </si>
  <si>
    <t>SALE160</t>
  </si>
  <si>
    <t>SALE161</t>
  </si>
  <si>
    <t>SALE162</t>
  </si>
  <si>
    <t>SALE163</t>
  </si>
  <si>
    <t>SALE164</t>
  </si>
  <si>
    <t>SALE165</t>
  </si>
  <si>
    <t>SALE166</t>
  </si>
  <si>
    <t>SALE167</t>
  </si>
  <si>
    <t>SALE168</t>
  </si>
  <si>
    <t>SALE169</t>
  </si>
  <si>
    <t>SALE170</t>
  </si>
  <si>
    <t>SALE171</t>
  </si>
  <si>
    <t>SALE172</t>
  </si>
  <si>
    <t>SALE173</t>
  </si>
  <si>
    <t>SALE174</t>
  </si>
  <si>
    <t>SALE175</t>
  </si>
  <si>
    <t>SALE176</t>
  </si>
  <si>
    <t>SALE177</t>
  </si>
  <si>
    <t>SALE178</t>
  </si>
  <si>
    <t>SALE179</t>
  </si>
  <si>
    <t>SALE180</t>
  </si>
  <si>
    <t>SALE181</t>
  </si>
  <si>
    <t>SALE182</t>
  </si>
  <si>
    <t>SALE183</t>
  </si>
  <si>
    <t>SALE184</t>
  </si>
  <si>
    <t>SALE185</t>
  </si>
  <si>
    <t>SALE186</t>
  </si>
  <si>
    <t>SALE187</t>
  </si>
  <si>
    <t>SALE188</t>
  </si>
  <si>
    <t>SALE189</t>
  </si>
  <si>
    <t>SALE190</t>
  </si>
  <si>
    <t>SALE191</t>
  </si>
  <si>
    <t>SALE192</t>
  </si>
  <si>
    <t>SALE193</t>
  </si>
  <si>
    <t>SALE194</t>
  </si>
  <si>
    <t>SALE195</t>
  </si>
  <si>
    <t>SALE196</t>
  </si>
  <si>
    <t>SALE197</t>
  </si>
  <si>
    <t>SALE198</t>
  </si>
  <si>
    <t>SALE199</t>
  </si>
  <si>
    <t>SALE200</t>
  </si>
  <si>
    <t>SALE201</t>
  </si>
  <si>
    <t>SALE202</t>
  </si>
  <si>
    <t>SALE203</t>
  </si>
  <si>
    <t>SALE204</t>
  </si>
  <si>
    <t>SALE205</t>
  </si>
  <si>
    <t>SALE206</t>
  </si>
  <si>
    <t>SALE207</t>
  </si>
  <si>
    <t>SALE208</t>
  </si>
  <si>
    <t>SALE209</t>
  </si>
  <si>
    <t>SALE210</t>
  </si>
  <si>
    <t>SALE211</t>
  </si>
  <si>
    <t>SALE212</t>
  </si>
  <si>
    <t>SALE213</t>
  </si>
  <si>
    <t>SALE214</t>
  </si>
  <si>
    <t>SALE215</t>
  </si>
  <si>
    <t>SALE216</t>
  </si>
  <si>
    <t>SALE217</t>
  </si>
  <si>
    <t>SALE218</t>
  </si>
  <si>
    <t>SALE219</t>
  </si>
  <si>
    <t>SALE220</t>
  </si>
  <si>
    <t>SALE221</t>
  </si>
  <si>
    <t>SALE222</t>
  </si>
  <si>
    <t>SALE223</t>
  </si>
  <si>
    <t>SALE224</t>
  </si>
  <si>
    <t>SALE225</t>
  </si>
  <si>
    <t>SALE226</t>
  </si>
  <si>
    <t>SALE227</t>
  </si>
  <si>
    <t>SALE228</t>
  </si>
  <si>
    <t>SALE229</t>
  </si>
  <si>
    <t>SALE230</t>
  </si>
  <si>
    <t>SALE231</t>
  </si>
  <si>
    <t>SALE232</t>
  </si>
  <si>
    <t>SALE233</t>
  </si>
  <si>
    <t>SALE234</t>
  </si>
  <si>
    <t>SALE235</t>
  </si>
  <si>
    <t>SALE236</t>
  </si>
  <si>
    <t>SALE237</t>
  </si>
  <si>
    <t>SALE238</t>
  </si>
  <si>
    <t>SALE239</t>
  </si>
  <si>
    <t>SALE240</t>
  </si>
  <si>
    <t>SALE241</t>
  </si>
  <si>
    <t>SALE242</t>
  </si>
  <si>
    <t>SALE243</t>
  </si>
  <si>
    <t>SALE244</t>
  </si>
  <si>
    <t>SALE245</t>
  </si>
  <si>
    <t>SALE246</t>
  </si>
  <si>
    <t>SALE247</t>
  </si>
  <si>
    <t>SALE248</t>
  </si>
  <si>
    <t>SALE249</t>
  </si>
  <si>
    <t>SALE250</t>
  </si>
  <si>
    <t>SALE251</t>
  </si>
  <si>
    <t>SALE252</t>
  </si>
  <si>
    <t>SALE253</t>
  </si>
  <si>
    <t>SALE254</t>
  </si>
  <si>
    <t>SALE255</t>
  </si>
  <si>
    <t>SALE256</t>
  </si>
  <si>
    <t>SALE257</t>
  </si>
  <si>
    <t>SALE258</t>
  </si>
  <si>
    <t>SALE259</t>
  </si>
  <si>
    <t>SALE260</t>
  </si>
  <si>
    <t>SALE261</t>
  </si>
  <si>
    <t>SALE262</t>
  </si>
  <si>
    <t>SALE263</t>
  </si>
  <si>
    <t>SALE264</t>
  </si>
  <si>
    <t>SALE265</t>
  </si>
  <si>
    <t>SALE266</t>
  </si>
  <si>
    <t>SALE267</t>
  </si>
  <si>
    <t>SALE268</t>
  </si>
  <si>
    <t>SALE269</t>
  </si>
  <si>
    <t>SALE270</t>
  </si>
  <si>
    <t>SALE271</t>
  </si>
  <si>
    <t>SALE272</t>
  </si>
  <si>
    <t>SALE273</t>
  </si>
  <si>
    <t>SALE274</t>
  </si>
  <si>
    <t>SALE275</t>
  </si>
  <si>
    <t>SALE276</t>
  </si>
  <si>
    <t>SALE277</t>
  </si>
  <si>
    <t>SALE278</t>
  </si>
  <si>
    <t>SALE279</t>
  </si>
  <si>
    <t>SALE280</t>
  </si>
  <si>
    <t>SALE281</t>
  </si>
  <si>
    <t>SALE282</t>
  </si>
  <si>
    <t>SALE283</t>
  </si>
  <si>
    <t>SALE284</t>
  </si>
  <si>
    <t>SALE285</t>
  </si>
  <si>
    <t>SALE286</t>
  </si>
  <si>
    <t>SALE287</t>
  </si>
  <si>
    <t>SALE288</t>
  </si>
  <si>
    <t>SALE289</t>
  </si>
  <si>
    <t>SALE290</t>
  </si>
  <si>
    <t>SALE291</t>
  </si>
  <si>
    <t>SALE292</t>
  </si>
  <si>
    <t>SALE293</t>
  </si>
  <si>
    <t>SALE294</t>
  </si>
  <si>
    <t>SALE295</t>
  </si>
  <si>
    <t>SALE296</t>
  </si>
  <si>
    <t>SALE297</t>
  </si>
  <si>
    <t>SALE298</t>
  </si>
  <si>
    <t>SALE299</t>
  </si>
  <si>
    <t>SALE300</t>
  </si>
  <si>
    <t>SALE301</t>
  </si>
  <si>
    <t>SALE302</t>
  </si>
  <si>
    <t>SALE303</t>
  </si>
  <si>
    <t>SALE304</t>
  </si>
  <si>
    <t>SALE305</t>
  </si>
  <si>
    <t>SALE306</t>
  </si>
  <si>
    <t>SALE307</t>
  </si>
  <si>
    <t>SALE308</t>
  </si>
  <si>
    <t>SALE309</t>
  </si>
  <si>
    <t>SALE310</t>
  </si>
  <si>
    <t>SALE311</t>
  </si>
  <si>
    <t>SALE312</t>
  </si>
  <si>
    <t>SALE313</t>
  </si>
  <si>
    <t>SALE314</t>
  </si>
  <si>
    <t>SALE315</t>
  </si>
  <si>
    <t>SALE316</t>
  </si>
  <si>
    <t>SALE317</t>
  </si>
  <si>
    <t>SALE318</t>
  </si>
  <si>
    <t>SALE319</t>
  </si>
  <si>
    <t>SALE320</t>
  </si>
  <si>
    <t>SALE321</t>
  </si>
  <si>
    <t>SALE322</t>
  </si>
  <si>
    <t>SALE323</t>
  </si>
  <si>
    <t>SALE324</t>
  </si>
  <si>
    <t>SALE325</t>
  </si>
  <si>
    <t>SALE326</t>
  </si>
  <si>
    <t>SALE327</t>
  </si>
  <si>
    <t>SALE328</t>
  </si>
  <si>
    <t>SALE329</t>
  </si>
  <si>
    <t>SALE330</t>
  </si>
  <si>
    <t>SALE331</t>
  </si>
  <si>
    <t>SALE332</t>
  </si>
  <si>
    <t>SALE333</t>
  </si>
  <si>
    <t>SALE334</t>
  </si>
  <si>
    <t>SALE335</t>
  </si>
  <si>
    <t>SALE336</t>
  </si>
  <si>
    <t>SALE337</t>
  </si>
  <si>
    <t>SALE338</t>
  </si>
  <si>
    <t>SALE339</t>
  </si>
  <si>
    <t>SALE340</t>
  </si>
  <si>
    <t>SALE341</t>
  </si>
  <si>
    <t>SALE342</t>
  </si>
  <si>
    <t>SALE343</t>
  </si>
  <si>
    <t>SALE344</t>
  </si>
  <si>
    <t>SALE345</t>
  </si>
  <si>
    <t>SALE346</t>
  </si>
  <si>
    <t>SALE347</t>
  </si>
  <si>
    <t>SALE348</t>
  </si>
  <si>
    <t>SALE349</t>
  </si>
  <si>
    <t>SALE350</t>
  </si>
  <si>
    <t>SALE351</t>
  </si>
  <si>
    <t>SALE352</t>
  </si>
  <si>
    <t>SALE353</t>
  </si>
  <si>
    <t>SALE354</t>
  </si>
  <si>
    <t>SALE355</t>
  </si>
  <si>
    <t>SALE356</t>
  </si>
  <si>
    <t>SALE357</t>
  </si>
  <si>
    <t>SALE358</t>
  </si>
  <si>
    <t>SALE359</t>
  </si>
  <si>
    <t>SALE360</t>
  </si>
  <si>
    <t>SALE361</t>
  </si>
  <si>
    <t>SALE362</t>
  </si>
  <si>
    <t>SALE363</t>
  </si>
  <si>
    <t>SALE364</t>
  </si>
  <si>
    <t>SALE365</t>
  </si>
  <si>
    <t>SALE366</t>
  </si>
  <si>
    <t>SALE367</t>
  </si>
  <si>
    <t>SALE368</t>
  </si>
  <si>
    <t>SALE369</t>
  </si>
  <si>
    <t>SALE370</t>
  </si>
  <si>
    <t>SALE371</t>
  </si>
  <si>
    <t>SALE372</t>
  </si>
  <si>
    <t>SALE373</t>
  </si>
  <si>
    <t>SALE374</t>
  </si>
  <si>
    <t>SALE375</t>
  </si>
  <si>
    <t>SALE376</t>
  </si>
  <si>
    <t>SALE377</t>
  </si>
  <si>
    <t>SALE378</t>
  </si>
  <si>
    <t>SALE379</t>
  </si>
  <si>
    <t>SALE380</t>
  </si>
  <si>
    <t>SALE381</t>
  </si>
  <si>
    <t>SALE382</t>
  </si>
  <si>
    <t>SALE383</t>
  </si>
  <si>
    <t>SALE384</t>
  </si>
  <si>
    <t>SALE385</t>
  </si>
  <si>
    <t>SALE386</t>
  </si>
  <si>
    <t>SALE387</t>
  </si>
  <si>
    <t>SALE388</t>
  </si>
  <si>
    <t>SALE389</t>
  </si>
  <si>
    <t>SALE390</t>
  </si>
  <si>
    <t>SALE391</t>
  </si>
  <si>
    <t>SALE392</t>
  </si>
  <si>
    <t>SALE393</t>
  </si>
  <si>
    <t>SALE394</t>
  </si>
  <si>
    <t>SALE395</t>
  </si>
  <si>
    <t>SALE396</t>
  </si>
  <si>
    <t>SALE397</t>
  </si>
  <si>
    <t>SALE398</t>
  </si>
  <si>
    <t>SALE399</t>
  </si>
  <si>
    <t>SALE400</t>
  </si>
  <si>
    <t>SALE401</t>
  </si>
  <si>
    <t>SALE402</t>
  </si>
  <si>
    <t>SALE403</t>
  </si>
  <si>
    <t>SALE404</t>
  </si>
  <si>
    <t>SALE405</t>
  </si>
  <si>
    <t>SALE406</t>
  </si>
  <si>
    <t>SALE407</t>
  </si>
  <si>
    <t>SALE408</t>
  </si>
  <si>
    <t>SALE409</t>
  </si>
  <si>
    <t>SALE410</t>
  </si>
  <si>
    <t>SALE411</t>
  </si>
  <si>
    <t>SALE412</t>
  </si>
  <si>
    <t>SALE413</t>
  </si>
  <si>
    <t>SALE414</t>
  </si>
  <si>
    <t>SALE415</t>
  </si>
  <si>
    <t>SALE416</t>
  </si>
  <si>
    <t>SALE417</t>
  </si>
  <si>
    <t>SALE418</t>
  </si>
  <si>
    <t>SALE419</t>
  </si>
  <si>
    <t>SALE420</t>
  </si>
  <si>
    <t>SALE421</t>
  </si>
  <si>
    <t>SALE422</t>
  </si>
  <si>
    <t>SALE423</t>
  </si>
  <si>
    <t>SALE424</t>
  </si>
  <si>
    <t>SALE425</t>
  </si>
  <si>
    <t>SALE426</t>
  </si>
  <si>
    <t>SALE427</t>
  </si>
  <si>
    <t>SALE428</t>
  </si>
  <si>
    <t>SALE429</t>
  </si>
  <si>
    <t>SALE430</t>
  </si>
  <si>
    <t>SALE431</t>
  </si>
  <si>
    <t>SALE432</t>
  </si>
  <si>
    <t>SALE433</t>
  </si>
  <si>
    <t>SALE434</t>
  </si>
  <si>
    <t>SALE435</t>
  </si>
  <si>
    <t>SALE436</t>
  </si>
  <si>
    <t>SALE437</t>
  </si>
  <si>
    <t>SALE438</t>
  </si>
  <si>
    <t>SALE439</t>
  </si>
  <si>
    <t>SALE440</t>
  </si>
  <si>
    <t>SALE441</t>
  </si>
  <si>
    <t>SALE442</t>
  </si>
  <si>
    <t>SALE443</t>
  </si>
  <si>
    <t>SALE444</t>
  </si>
  <si>
    <t>SALE445</t>
  </si>
  <si>
    <t>SALE446</t>
  </si>
  <si>
    <t>SALE447</t>
  </si>
  <si>
    <t>SALE448</t>
  </si>
  <si>
    <t>SALE449</t>
  </si>
  <si>
    <t>SALE450</t>
  </si>
  <si>
    <t>SALE451</t>
  </si>
  <si>
    <t>SALE452</t>
  </si>
  <si>
    <t>SALE453</t>
  </si>
  <si>
    <t>SALE454</t>
  </si>
  <si>
    <t>SALE455</t>
  </si>
  <si>
    <t>SALE456</t>
  </si>
  <si>
    <t>SALE457</t>
  </si>
  <si>
    <t>SALE458</t>
  </si>
  <si>
    <t>SALE459</t>
  </si>
  <si>
    <t>SALE460</t>
  </si>
  <si>
    <t>SALE461</t>
  </si>
  <si>
    <t>SALE462</t>
  </si>
  <si>
    <t>SALE463</t>
  </si>
  <si>
    <t>SALE464</t>
  </si>
  <si>
    <t>SALE465</t>
  </si>
  <si>
    <t>SALE466</t>
  </si>
  <si>
    <t>SALE467</t>
  </si>
  <si>
    <t>SALE468</t>
  </si>
  <si>
    <t>SALE469</t>
  </si>
  <si>
    <t>SALE470</t>
  </si>
  <si>
    <t>SALE471</t>
  </si>
  <si>
    <t>SALE472</t>
  </si>
  <si>
    <t>SALE473</t>
  </si>
  <si>
    <t>SALE474</t>
  </si>
  <si>
    <t>SALE475</t>
  </si>
  <si>
    <t>SALE476</t>
  </si>
  <si>
    <t>SALE477</t>
  </si>
  <si>
    <t>SALE478</t>
  </si>
  <si>
    <t>SALE479</t>
  </si>
  <si>
    <t>SALE480</t>
  </si>
  <si>
    <t>SALE481</t>
  </si>
  <si>
    <t>SALE482</t>
  </si>
  <si>
    <t>SALE483</t>
  </si>
  <si>
    <t>SALE484</t>
  </si>
  <si>
    <t>SALE485</t>
  </si>
  <si>
    <t>SALE486</t>
  </si>
  <si>
    <t>SALE487</t>
  </si>
  <si>
    <t>SALE488</t>
  </si>
  <si>
    <t>SALE489</t>
  </si>
  <si>
    <t>SALE490</t>
  </si>
  <si>
    <t>SALE491</t>
  </si>
  <si>
    <t>SALE492</t>
  </si>
  <si>
    <t>SALE493</t>
  </si>
  <si>
    <t>SALE494</t>
  </si>
  <si>
    <t>SALE495</t>
  </si>
  <si>
    <t>SALE496</t>
  </si>
  <si>
    <t>SALE497</t>
  </si>
  <si>
    <t>SALE498</t>
  </si>
  <si>
    <t>SALE499</t>
  </si>
  <si>
    <t>SALE500</t>
  </si>
  <si>
    <t>SALE501</t>
  </si>
  <si>
    <t>SALE502</t>
  </si>
  <si>
    <t>SALE503</t>
  </si>
  <si>
    <t>SALE504</t>
  </si>
  <si>
    <t>SALE505</t>
  </si>
  <si>
    <t>SALE506</t>
  </si>
  <si>
    <t>SALE507</t>
  </si>
  <si>
    <t>SALE508</t>
  </si>
  <si>
    <t>SALE509</t>
  </si>
  <si>
    <t>SALE510</t>
  </si>
  <si>
    <t>SALE511</t>
  </si>
  <si>
    <t>SALE512</t>
  </si>
  <si>
    <t>SALE513</t>
  </si>
  <si>
    <t>SALE514</t>
  </si>
  <si>
    <t>SALE515</t>
  </si>
  <si>
    <t>SALE516</t>
  </si>
  <si>
    <t>SALE517</t>
  </si>
  <si>
    <t>SALE518</t>
  </si>
  <si>
    <t>SALE519</t>
  </si>
  <si>
    <t>SALE520</t>
  </si>
  <si>
    <t>SALE521</t>
  </si>
  <si>
    <t>SALE522</t>
  </si>
  <si>
    <t>SALE523</t>
  </si>
  <si>
    <t>SALE524</t>
  </si>
  <si>
    <t>SALE525</t>
  </si>
  <si>
    <t>SALE526</t>
  </si>
  <si>
    <t>SALE527</t>
  </si>
  <si>
    <t>SALE528</t>
  </si>
  <si>
    <t>SALE529</t>
  </si>
  <si>
    <t>SALE530</t>
  </si>
  <si>
    <t>SALE531</t>
  </si>
  <si>
    <t>SALE532</t>
  </si>
  <si>
    <t>SALE533</t>
  </si>
  <si>
    <t>SALE534</t>
  </si>
  <si>
    <t>SALE535</t>
  </si>
  <si>
    <t>SALE536</t>
  </si>
  <si>
    <t>SALE537</t>
  </si>
  <si>
    <t>SALE538</t>
  </si>
  <si>
    <t>SALE539</t>
  </si>
  <si>
    <t>SALE540</t>
  </si>
  <si>
    <t>SALE541</t>
  </si>
  <si>
    <t>SALE542</t>
  </si>
  <si>
    <t>SALE543</t>
  </si>
  <si>
    <t>SALE544</t>
  </si>
  <si>
    <t>SALE545</t>
  </si>
  <si>
    <t>SALE546</t>
  </si>
  <si>
    <t>SALE547</t>
  </si>
  <si>
    <t>SALE548</t>
  </si>
  <si>
    <t>SALE549</t>
  </si>
  <si>
    <t>SALE550</t>
  </si>
  <si>
    <t>SALE551</t>
  </si>
  <si>
    <t>SALE552</t>
  </si>
  <si>
    <t>SALE553</t>
  </si>
  <si>
    <t>SALE554</t>
  </si>
  <si>
    <t>SALE555</t>
  </si>
  <si>
    <t>SALE556</t>
  </si>
  <si>
    <t>SALE557</t>
  </si>
  <si>
    <t>SALE558</t>
  </si>
  <si>
    <t>SALE559</t>
  </si>
  <si>
    <t>SALE560</t>
  </si>
  <si>
    <t>SALE561</t>
  </si>
  <si>
    <t>SALE562</t>
  </si>
  <si>
    <t>SALE563</t>
  </si>
  <si>
    <t>SALE564</t>
  </si>
  <si>
    <t>SALE565</t>
  </si>
  <si>
    <t>SALE566</t>
  </si>
  <si>
    <t>SALE567</t>
  </si>
  <si>
    <t>SALE568</t>
  </si>
  <si>
    <t>SALE569</t>
  </si>
  <si>
    <t>SALE570</t>
  </si>
  <si>
    <t>SALE571</t>
  </si>
  <si>
    <t>SALE572</t>
  </si>
  <si>
    <t>SALE573</t>
  </si>
  <si>
    <t>SALE574</t>
  </si>
  <si>
    <t>SALE575</t>
  </si>
  <si>
    <t>SALE576</t>
  </si>
  <si>
    <t>SALE577</t>
  </si>
  <si>
    <t>SALE578</t>
  </si>
  <si>
    <t>SALE579</t>
  </si>
  <si>
    <t>SALE580</t>
  </si>
  <si>
    <t>SALE581</t>
  </si>
  <si>
    <t>SALE582</t>
  </si>
  <si>
    <t>SALE583</t>
  </si>
  <si>
    <t>SALE584</t>
  </si>
  <si>
    <t>SALE585</t>
  </si>
  <si>
    <t>SALE586</t>
  </si>
  <si>
    <t>SALE587</t>
  </si>
  <si>
    <t>SALE588</t>
  </si>
  <si>
    <t>SALE589</t>
  </si>
  <si>
    <t>SALE590</t>
  </si>
  <si>
    <t>SALE591</t>
  </si>
  <si>
    <t>SALE592</t>
  </si>
  <si>
    <t>SALE593</t>
  </si>
  <si>
    <t>SALE594</t>
  </si>
  <si>
    <t>SALE595</t>
  </si>
  <si>
    <t>SALE596</t>
  </si>
  <si>
    <t>SALE597</t>
  </si>
  <si>
    <t>SALE598</t>
  </si>
  <si>
    <t>SALE599</t>
  </si>
  <si>
    <t>SALE600</t>
  </si>
  <si>
    <t>SALE601</t>
  </si>
  <si>
    <t>SALE602</t>
  </si>
  <si>
    <t>SALE603</t>
  </si>
  <si>
    <t>SALE604</t>
  </si>
  <si>
    <t>SALE605</t>
  </si>
  <si>
    <t>SALE606</t>
  </si>
  <si>
    <t>SALE607</t>
  </si>
  <si>
    <t>SALE608</t>
  </si>
  <si>
    <t>SALE609</t>
  </si>
  <si>
    <t>SALE610</t>
  </si>
  <si>
    <t>SALE611</t>
  </si>
  <si>
    <t>SALE612</t>
  </si>
  <si>
    <t>SALE613</t>
  </si>
  <si>
    <t>SALE614</t>
  </si>
  <si>
    <t>SALE615</t>
  </si>
  <si>
    <t>SALE616</t>
  </si>
  <si>
    <t>SALE617</t>
  </si>
  <si>
    <t>SALE618</t>
  </si>
  <si>
    <t>SALE619</t>
  </si>
  <si>
    <t>SALE620</t>
  </si>
  <si>
    <t>SALE621</t>
  </si>
  <si>
    <t>SALE622</t>
  </si>
  <si>
    <t>SALE623</t>
  </si>
  <si>
    <t>SALE624</t>
  </si>
  <si>
    <t>SALE625</t>
  </si>
  <si>
    <t>SALE626</t>
  </si>
  <si>
    <t>SALE627</t>
  </si>
  <si>
    <t>SALE628</t>
  </si>
  <si>
    <t>SALE629</t>
  </si>
  <si>
    <t>SALE630</t>
  </si>
  <si>
    <t>SALE631</t>
  </si>
  <si>
    <t>SALE632</t>
  </si>
  <si>
    <t>SALE633</t>
  </si>
  <si>
    <t>SALE634</t>
  </si>
  <si>
    <t>SALE635</t>
  </si>
  <si>
    <t>SALE636</t>
  </si>
  <si>
    <t>SALE637</t>
  </si>
  <si>
    <t>SALE638</t>
  </si>
  <si>
    <t>SALE639</t>
  </si>
  <si>
    <t>SALE640</t>
  </si>
  <si>
    <t>SALE641</t>
  </si>
  <si>
    <t>SALE642</t>
  </si>
  <si>
    <t>SALE643</t>
  </si>
  <si>
    <t>SALE644</t>
  </si>
  <si>
    <t>SALE645</t>
  </si>
  <si>
    <t>SALE646</t>
  </si>
  <si>
    <t>SALE647</t>
  </si>
  <si>
    <t>SALE648</t>
  </si>
  <si>
    <t>SALE649</t>
  </si>
  <si>
    <t>SALE650</t>
  </si>
  <si>
    <t>SALE651</t>
  </si>
  <si>
    <t>SALE652</t>
  </si>
  <si>
    <t>SALE653</t>
  </si>
  <si>
    <t>SALE654</t>
  </si>
  <si>
    <t>SALE655</t>
  </si>
  <si>
    <t>SALE656</t>
  </si>
  <si>
    <t>SALE657</t>
  </si>
  <si>
    <t>SALE658</t>
  </si>
  <si>
    <t>SALE659</t>
  </si>
  <si>
    <t>SALE660</t>
  </si>
  <si>
    <t>SALE661</t>
  </si>
  <si>
    <t>SALE662</t>
  </si>
  <si>
    <t>SALE663</t>
  </si>
  <si>
    <t>SALE664</t>
  </si>
  <si>
    <t>SALE665</t>
  </si>
  <si>
    <t>SALE666</t>
  </si>
  <si>
    <t>SALE667</t>
  </si>
  <si>
    <t>SALE668</t>
  </si>
  <si>
    <t>SALE669</t>
  </si>
  <si>
    <t>SALE670</t>
  </si>
  <si>
    <t>SALE671</t>
  </si>
  <si>
    <t>SALE672</t>
  </si>
  <si>
    <t>SALE673</t>
  </si>
  <si>
    <t>SALE674</t>
  </si>
  <si>
    <t>SALE675</t>
  </si>
  <si>
    <t>SALE676</t>
  </si>
  <si>
    <t>SALE677</t>
  </si>
  <si>
    <t>SALE678</t>
  </si>
  <si>
    <t>SALE679</t>
  </si>
  <si>
    <t>SALE680</t>
  </si>
  <si>
    <t>SALE681</t>
  </si>
  <si>
    <t>SALE682</t>
  </si>
  <si>
    <t>SALE683</t>
  </si>
  <si>
    <t>SALE684</t>
  </si>
  <si>
    <t>SALE685</t>
  </si>
  <si>
    <t>SALE686</t>
  </si>
  <si>
    <t>SALE687</t>
  </si>
  <si>
    <t>SALE688</t>
  </si>
  <si>
    <t>SALE689</t>
  </si>
  <si>
    <t>SALE690</t>
  </si>
  <si>
    <t>SALE691</t>
  </si>
  <si>
    <t>SALE692</t>
  </si>
  <si>
    <t>SALE693</t>
  </si>
  <si>
    <t>SALE694</t>
  </si>
  <si>
    <t>SALE695</t>
  </si>
  <si>
    <t>SALE696</t>
  </si>
  <si>
    <t>SALE697</t>
  </si>
  <si>
    <t>SALE698</t>
  </si>
  <si>
    <t>SALE699</t>
  </si>
  <si>
    <t>SALE700</t>
  </si>
  <si>
    <t>SALE701</t>
  </si>
  <si>
    <t>SALE702</t>
  </si>
  <si>
    <t>SALE703</t>
  </si>
  <si>
    <t>SALE704</t>
  </si>
  <si>
    <t>SALE705</t>
  </si>
  <si>
    <t>SALE706</t>
  </si>
  <si>
    <t>SALE707</t>
  </si>
  <si>
    <t>SALE708</t>
  </si>
  <si>
    <t>SALE709</t>
  </si>
  <si>
    <t>SALE710</t>
  </si>
  <si>
    <t>SALE711</t>
  </si>
  <si>
    <t>SALE712</t>
  </si>
  <si>
    <t>SALE713</t>
  </si>
  <si>
    <t>SALE714</t>
  </si>
  <si>
    <t>SALE715</t>
  </si>
  <si>
    <t>SALE716</t>
  </si>
  <si>
    <t>SALE717</t>
  </si>
  <si>
    <t>SALE718</t>
  </si>
  <si>
    <t>SALE719</t>
  </si>
  <si>
    <t>SALE720</t>
  </si>
  <si>
    <t>SALE721</t>
  </si>
  <si>
    <t>SALE722</t>
  </si>
  <si>
    <t>SALE723</t>
  </si>
  <si>
    <t>SALE724</t>
  </si>
  <si>
    <t>SALE725</t>
  </si>
  <si>
    <t>SALE726</t>
  </si>
  <si>
    <t>SALE727</t>
  </si>
  <si>
    <t>SALE728</t>
  </si>
  <si>
    <t>SALE729</t>
  </si>
  <si>
    <t>SALE730</t>
  </si>
  <si>
    <t>SALE731</t>
  </si>
  <si>
    <t>SALE732</t>
  </si>
  <si>
    <t>SALE733</t>
  </si>
  <si>
    <t>SALE734</t>
  </si>
  <si>
    <t>SALE735</t>
  </si>
  <si>
    <t>SALE736</t>
  </si>
  <si>
    <t>SALE737</t>
  </si>
  <si>
    <t>SALE738</t>
  </si>
  <si>
    <t>SALE739</t>
  </si>
  <si>
    <t>SALE740</t>
  </si>
  <si>
    <t>SALE741</t>
  </si>
  <si>
    <t>SALE742</t>
  </si>
  <si>
    <t>SALE743</t>
  </si>
  <si>
    <t>SALE744</t>
  </si>
  <si>
    <t>SALE745</t>
  </si>
  <si>
    <t>SALE746</t>
  </si>
  <si>
    <t>SALE747</t>
  </si>
  <si>
    <t>SALE748</t>
  </si>
  <si>
    <t>SALE749</t>
  </si>
  <si>
    <t>SALE750</t>
  </si>
  <si>
    <t>SALE751</t>
  </si>
  <si>
    <t>SALE752</t>
  </si>
  <si>
    <t>SALE753</t>
  </si>
  <si>
    <t>SALE754</t>
  </si>
  <si>
    <t>SALE755</t>
  </si>
  <si>
    <t>SALE756</t>
  </si>
  <si>
    <t>SALE757</t>
  </si>
  <si>
    <t>SALE758</t>
  </si>
  <si>
    <t>SALE759</t>
  </si>
  <si>
    <t>SALE760</t>
  </si>
  <si>
    <t>SALE761</t>
  </si>
  <si>
    <t>SALE762</t>
  </si>
  <si>
    <t>SALE763</t>
  </si>
  <si>
    <t>SALE764</t>
  </si>
  <si>
    <t>SALE765</t>
  </si>
  <si>
    <t>SALE766</t>
  </si>
  <si>
    <t>SALE767</t>
  </si>
  <si>
    <t>SALE768</t>
  </si>
  <si>
    <t>SALE769</t>
  </si>
  <si>
    <t>SALE770</t>
  </si>
  <si>
    <t>SALE771</t>
  </si>
  <si>
    <t>SALE772</t>
  </si>
  <si>
    <t>SALE773</t>
  </si>
  <si>
    <t>SALE774</t>
  </si>
  <si>
    <t>SALE775</t>
  </si>
  <si>
    <t>SALE776</t>
  </si>
  <si>
    <t>SALE777</t>
  </si>
  <si>
    <t>SALE778</t>
  </si>
  <si>
    <t>SALE779</t>
  </si>
  <si>
    <t>SALE780</t>
  </si>
  <si>
    <t>SALE781</t>
  </si>
  <si>
    <t>SALE782</t>
  </si>
  <si>
    <t>SALE783</t>
  </si>
  <si>
    <t>SALE784</t>
  </si>
  <si>
    <t>SALE785</t>
  </si>
  <si>
    <t>SALE786</t>
  </si>
  <si>
    <t>SALE787</t>
  </si>
  <si>
    <t>SALE788</t>
  </si>
  <si>
    <t>SALE789</t>
  </si>
  <si>
    <t>SALE790</t>
  </si>
  <si>
    <t>SALE791</t>
  </si>
  <si>
    <t>SALE792</t>
  </si>
  <si>
    <t>SALE793</t>
  </si>
  <si>
    <t>SALE794</t>
  </si>
  <si>
    <t>SALE795</t>
  </si>
  <si>
    <t>SALE796</t>
  </si>
  <si>
    <t>SALE797</t>
  </si>
  <si>
    <t>SALE798</t>
  </si>
  <si>
    <t>SALE799</t>
  </si>
  <si>
    <t>SALE800</t>
  </si>
  <si>
    <t>SALE801</t>
  </si>
  <si>
    <t>SALE802</t>
  </si>
  <si>
    <t>SALE803</t>
  </si>
  <si>
    <t>SALE804</t>
  </si>
  <si>
    <t>SALE805</t>
  </si>
  <si>
    <t>SALE806</t>
  </si>
  <si>
    <t>SALE807</t>
  </si>
  <si>
    <t>SALE808</t>
  </si>
  <si>
    <t>SALE809</t>
  </si>
  <si>
    <t>SALE810</t>
  </si>
  <si>
    <t>SALE811</t>
  </si>
  <si>
    <t>SALE812</t>
  </si>
  <si>
    <t>SALE813</t>
  </si>
  <si>
    <t>SALE814</t>
  </si>
  <si>
    <t>SALE815</t>
  </si>
  <si>
    <t>SALE816</t>
  </si>
  <si>
    <t>SALE817</t>
  </si>
  <si>
    <t>SALE818</t>
  </si>
  <si>
    <t>SALE819</t>
  </si>
  <si>
    <t>SALE820</t>
  </si>
  <si>
    <t>SALE821</t>
  </si>
  <si>
    <t>SALE822</t>
  </si>
  <si>
    <t>SALE823</t>
  </si>
  <si>
    <t>SALE824</t>
  </si>
  <si>
    <t>SALE825</t>
  </si>
  <si>
    <t>SALE826</t>
  </si>
  <si>
    <t>SALE827</t>
  </si>
  <si>
    <t>SALE828</t>
  </si>
  <si>
    <t>SALE829</t>
  </si>
  <si>
    <t>SALE830</t>
  </si>
  <si>
    <t>SALE831</t>
  </si>
  <si>
    <t>SALE832</t>
  </si>
  <si>
    <t>SALE833</t>
  </si>
  <si>
    <t>SALE834</t>
  </si>
  <si>
    <t>SALE835</t>
  </si>
  <si>
    <t>SALE836</t>
  </si>
  <si>
    <t>SALE837</t>
  </si>
  <si>
    <t>SALE838</t>
  </si>
  <si>
    <t>SALE839</t>
  </si>
  <si>
    <t>SALE840</t>
  </si>
  <si>
    <t>SALE841</t>
  </si>
  <si>
    <t>SALE842</t>
  </si>
  <si>
    <t>SALE843</t>
  </si>
  <si>
    <t>SALE844</t>
  </si>
  <si>
    <t>SALE845</t>
  </si>
  <si>
    <t>SALE846</t>
  </si>
  <si>
    <t>SALE847</t>
  </si>
  <si>
    <t>SALE848</t>
  </si>
  <si>
    <t>SALE849</t>
  </si>
  <si>
    <t>SALE850</t>
  </si>
  <si>
    <t>SALE851</t>
  </si>
  <si>
    <t>SALE852</t>
  </si>
  <si>
    <t>SALE853</t>
  </si>
  <si>
    <t>SALE854</t>
  </si>
  <si>
    <t>SALE855</t>
  </si>
  <si>
    <t>SALE856</t>
  </si>
  <si>
    <t>SALE857</t>
  </si>
  <si>
    <t>SALE858</t>
  </si>
  <si>
    <t>SALE859</t>
  </si>
  <si>
    <t>SALE860</t>
  </si>
  <si>
    <t>SALE861</t>
  </si>
  <si>
    <t>SALE862</t>
  </si>
  <si>
    <t>SALE863</t>
  </si>
  <si>
    <t>SALE864</t>
  </si>
  <si>
    <t>SALE865</t>
  </si>
  <si>
    <t>SALE866</t>
  </si>
  <si>
    <t>SALE867</t>
  </si>
  <si>
    <t>SALE868</t>
  </si>
  <si>
    <t>SALE869</t>
  </si>
  <si>
    <t>SALE870</t>
  </si>
  <si>
    <t>SALE871</t>
  </si>
  <si>
    <t>SALE872</t>
  </si>
  <si>
    <t>SALE873</t>
  </si>
  <si>
    <t>SALE874</t>
  </si>
  <si>
    <t>SALE875</t>
  </si>
  <si>
    <t>SALE876</t>
  </si>
  <si>
    <t>SALE877</t>
  </si>
  <si>
    <t>SALE878</t>
  </si>
  <si>
    <t>SALE879</t>
  </si>
  <si>
    <t>SALE880</t>
  </si>
  <si>
    <t>SALE881</t>
  </si>
  <si>
    <t>SALE882</t>
  </si>
  <si>
    <t>SALE883</t>
  </si>
  <si>
    <t>SALE884</t>
  </si>
  <si>
    <t>SALE885</t>
  </si>
  <si>
    <t>SALE886</t>
  </si>
  <si>
    <t>SALE887</t>
  </si>
  <si>
    <t>SALE888</t>
  </si>
  <si>
    <t>SALE889</t>
  </si>
  <si>
    <t>SALE890</t>
  </si>
  <si>
    <t>SALE891</t>
  </si>
  <si>
    <t>SALE892</t>
  </si>
  <si>
    <t>SALE893</t>
  </si>
  <si>
    <t>SALE894</t>
  </si>
  <si>
    <t>SALE895</t>
  </si>
  <si>
    <t>SALE896</t>
  </si>
  <si>
    <t>SALE897</t>
  </si>
  <si>
    <t>SALE898</t>
  </si>
  <si>
    <t>SALE899</t>
  </si>
  <si>
    <t>SALE900</t>
  </si>
  <si>
    <t>SALE901</t>
  </si>
  <si>
    <t>SALE902</t>
  </si>
  <si>
    <t>SALE903</t>
  </si>
  <si>
    <t>SALE904</t>
  </si>
  <si>
    <t>SALE905</t>
  </si>
  <si>
    <t>SALE906</t>
  </si>
  <si>
    <t>SALE907</t>
  </si>
  <si>
    <t>SALE908</t>
  </si>
  <si>
    <t>SALE909</t>
  </si>
  <si>
    <t>SALE910</t>
  </si>
  <si>
    <t>SALE911</t>
  </si>
  <si>
    <t>SALE912</t>
  </si>
  <si>
    <t>SALE913</t>
  </si>
  <si>
    <t>SALE914</t>
  </si>
  <si>
    <t>SALE915</t>
  </si>
  <si>
    <t>SALE916</t>
  </si>
  <si>
    <t>SALE917</t>
  </si>
  <si>
    <t>SALE918</t>
  </si>
  <si>
    <t>SALE919</t>
  </si>
  <si>
    <t>SALE920</t>
  </si>
  <si>
    <t>SALE921</t>
  </si>
  <si>
    <t>SALE922</t>
  </si>
  <si>
    <t>SALE923</t>
  </si>
  <si>
    <t>SALE924</t>
  </si>
  <si>
    <t>SALE925</t>
  </si>
  <si>
    <t>SALE926</t>
  </si>
  <si>
    <t>SALE927</t>
  </si>
  <si>
    <t>SALE928</t>
  </si>
  <si>
    <t>SALE929</t>
  </si>
  <si>
    <t>SALE930</t>
  </si>
  <si>
    <t>SALE931</t>
  </si>
  <si>
    <t>SALE932</t>
  </si>
  <si>
    <t>SALE933</t>
  </si>
  <si>
    <t>SALE934</t>
  </si>
  <si>
    <t>SALE935</t>
  </si>
  <si>
    <t>SALE936</t>
  </si>
  <si>
    <t>SALE937</t>
  </si>
  <si>
    <t>SALE938</t>
  </si>
  <si>
    <t>SALE939</t>
  </si>
  <si>
    <t>SALE940</t>
  </si>
  <si>
    <t>SALE941</t>
  </si>
  <si>
    <t>SALE942</t>
  </si>
  <si>
    <t>SALE943</t>
  </si>
  <si>
    <t>SALE944</t>
  </si>
  <si>
    <t>SALE945</t>
  </si>
  <si>
    <t>SALE946</t>
  </si>
  <si>
    <t>SALE947</t>
  </si>
  <si>
    <t>SALE948</t>
  </si>
  <si>
    <t>SALE949</t>
  </si>
  <si>
    <t>SALE950</t>
  </si>
  <si>
    <t>SALE951</t>
  </si>
  <si>
    <t>SALE952</t>
  </si>
  <si>
    <t>SALE953</t>
  </si>
  <si>
    <t>SALE954</t>
  </si>
  <si>
    <t>SALE955</t>
  </si>
  <si>
    <t>SALE956</t>
  </si>
  <si>
    <t>SALE957</t>
  </si>
  <si>
    <t>SALE958</t>
  </si>
  <si>
    <t>SALE959</t>
  </si>
  <si>
    <t>SALE960</t>
  </si>
  <si>
    <t>SALE961</t>
  </si>
  <si>
    <t>SALE962</t>
  </si>
  <si>
    <t>SALE963</t>
  </si>
  <si>
    <t>SALE964</t>
  </si>
  <si>
    <t>SALE965</t>
  </si>
  <si>
    <t>SALE966</t>
  </si>
  <si>
    <t>SALE967</t>
  </si>
  <si>
    <t>SALE968</t>
  </si>
  <si>
    <t>SALE969</t>
  </si>
  <si>
    <t>SALE970</t>
  </si>
  <si>
    <t>SALE971</t>
  </si>
  <si>
    <t>SALE972</t>
  </si>
  <si>
    <t>SALE973</t>
  </si>
  <si>
    <t>SALE974</t>
  </si>
  <si>
    <t>SALE975</t>
  </si>
  <si>
    <t>SALE976</t>
  </si>
  <si>
    <t>SALE977</t>
  </si>
  <si>
    <t>SALE978</t>
  </si>
  <si>
    <t>SALE979</t>
  </si>
  <si>
    <t>SALE980</t>
  </si>
  <si>
    <t>SALE981</t>
  </si>
  <si>
    <t>SALE982</t>
  </si>
  <si>
    <t>SALE983</t>
  </si>
  <si>
    <t>SALE984</t>
  </si>
  <si>
    <t>SALE985</t>
  </si>
  <si>
    <t>SALE986</t>
  </si>
  <si>
    <t>SALE987</t>
  </si>
  <si>
    <t>SALE988</t>
  </si>
  <si>
    <t>SALE989</t>
  </si>
  <si>
    <t>SALE990</t>
  </si>
  <si>
    <t>SALE991</t>
  </si>
  <si>
    <t>SALE992</t>
  </si>
  <si>
    <t>SALE993</t>
  </si>
  <si>
    <t>SALE994</t>
  </si>
  <si>
    <t>SALE995</t>
  </si>
  <si>
    <t>SALE996</t>
  </si>
  <si>
    <t>SALE997</t>
  </si>
  <si>
    <t>SALE998</t>
  </si>
  <si>
    <t>SALE999</t>
  </si>
  <si>
    <t>SALE1000</t>
  </si>
  <si>
    <t>SALE1001</t>
  </si>
  <si>
    <t>SALE1002</t>
  </si>
  <si>
    <t>SALE1003</t>
  </si>
  <si>
    <t>SALE1004</t>
  </si>
  <si>
    <t>SALE1005</t>
  </si>
  <si>
    <t>SALE1006</t>
  </si>
  <si>
    <t>SALE1007</t>
  </si>
  <si>
    <t>SALE1008</t>
  </si>
  <si>
    <t>SALE1009</t>
  </si>
  <si>
    <t>SALE1010</t>
  </si>
  <si>
    <t>SALE1011</t>
  </si>
  <si>
    <t>SALE1012</t>
  </si>
  <si>
    <t>SALE1013</t>
  </si>
  <si>
    <t>SALE1014</t>
  </si>
  <si>
    <t>SALE1015</t>
  </si>
  <si>
    <t>SALE1016</t>
  </si>
  <si>
    <t>SALE1017</t>
  </si>
  <si>
    <t>SALE1018</t>
  </si>
  <si>
    <t>SALE1019</t>
  </si>
  <si>
    <t>SALE1020</t>
  </si>
  <si>
    <t>SALE1021</t>
  </si>
  <si>
    <t>SALE1022</t>
  </si>
  <si>
    <t>SALE1023</t>
  </si>
  <si>
    <t>SALE1024</t>
  </si>
  <si>
    <t>SALE1025</t>
  </si>
  <si>
    <t>SALE1026</t>
  </si>
  <si>
    <t>SALE1027</t>
  </si>
  <si>
    <t>SALE1028</t>
  </si>
  <si>
    <t>SALE1029</t>
  </si>
  <si>
    <t>SALE1030</t>
  </si>
  <si>
    <t>SALE1031</t>
  </si>
  <si>
    <t>SALE1032</t>
  </si>
  <si>
    <t>SALE1033</t>
  </si>
  <si>
    <t>SALE1034</t>
  </si>
  <si>
    <t>SALE1035</t>
  </si>
  <si>
    <t>SALE1036</t>
  </si>
  <si>
    <t>SALE1037</t>
  </si>
  <si>
    <t>SALE1038</t>
  </si>
  <si>
    <t>SALE1039</t>
  </si>
  <si>
    <t>SALE1040</t>
  </si>
  <si>
    <t>SALE1041</t>
  </si>
  <si>
    <t>SALE1042</t>
  </si>
  <si>
    <t>SALE1043</t>
  </si>
  <si>
    <t>SALE1044</t>
  </si>
  <si>
    <t>SALE1045</t>
  </si>
  <si>
    <t>SALE1046</t>
  </si>
  <si>
    <t>SALE1047</t>
  </si>
  <si>
    <t>SALE1048</t>
  </si>
  <si>
    <t>SALE1049</t>
  </si>
  <si>
    <t>SALE1050</t>
  </si>
  <si>
    <t>SALE1051</t>
  </si>
  <si>
    <t>SALE1052</t>
  </si>
  <si>
    <t>SALE1053</t>
  </si>
  <si>
    <t>SALE1054</t>
  </si>
  <si>
    <t>SALE1055</t>
  </si>
  <si>
    <t>SALE1056</t>
  </si>
  <si>
    <t>SALE1057</t>
  </si>
  <si>
    <t>SALE1058</t>
  </si>
  <si>
    <t>SALE1059</t>
  </si>
  <si>
    <t>SALE1060</t>
  </si>
  <si>
    <t>SALE1061</t>
  </si>
  <si>
    <t>SALE1062</t>
  </si>
  <si>
    <t>SALE1063</t>
  </si>
  <si>
    <t>SALE1064</t>
  </si>
  <si>
    <t>SALE1065</t>
  </si>
  <si>
    <t>SALE1066</t>
  </si>
  <si>
    <t>SALE1067</t>
  </si>
  <si>
    <t>SALE1068</t>
  </si>
  <si>
    <t>SALE1069</t>
  </si>
  <si>
    <t>SALE1070</t>
  </si>
  <si>
    <t>SALE1071</t>
  </si>
  <si>
    <t>SALE1072</t>
  </si>
  <si>
    <t>SALE1073</t>
  </si>
  <si>
    <t>SALE1074</t>
  </si>
  <si>
    <t>SALE1075</t>
  </si>
  <si>
    <t>SALE1076</t>
  </si>
  <si>
    <t>SALE1077</t>
  </si>
  <si>
    <t>SALE1078</t>
  </si>
  <si>
    <t>SALE1079</t>
  </si>
  <si>
    <t>SALE1080</t>
  </si>
  <si>
    <t>SALE1081</t>
  </si>
  <si>
    <t>SALE1082</t>
  </si>
  <si>
    <t>SALE1083</t>
  </si>
  <si>
    <t>SALE1084</t>
  </si>
  <si>
    <t>SALE1085</t>
  </si>
  <si>
    <t>SALE1086</t>
  </si>
  <si>
    <t>SALE1087</t>
  </si>
  <si>
    <t>SALE1088</t>
  </si>
  <si>
    <t>SALE1089</t>
  </si>
  <si>
    <t>SALE1090</t>
  </si>
  <si>
    <t>SALE1091</t>
  </si>
  <si>
    <t>SALE1092</t>
  </si>
  <si>
    <t>SALE1093</t>
  </si>
  <si>
    <t>SALE1094</t>
  </si>
  <si>
    <t>SALE1095</t>
  </si>
  <si>
    <t>SALE1096</t>
  </si>
  <si>
    <t>SALE1097</t>
  </si>
  <si>
    <t>SALE1098</t>
  </si>
  <si>
    <t>SALE1099</t>
  </si>
  <si>
    <t>SALE1100</t>
  </si>
  <si>
    <t>SALE1101</t>
  </si>
  <si>
    <t>SALE1102</t>
  </si>
  <si>
    <t>SALE1103</t>
  </si>
  <si>
    <t>SALE1104</t>
  </si>
  <si>
    <t>SALE1105</t>
  </si>
  <si>
    <t>SALE1106</t>
  </si>
  <si>
    <t>SALE1107</t>
  </si>
  <si>
    <t>SALE1108</t>
  </si>
  <si>
    <t>SALE1109</t>
  </si>
  <si>
    <t>SALE1110</t>
  </si>
  <si>
    <t>SALE1111</t>
  </si>
  <si>
    <t>SALE1112</t>
  </si>
  <si>
    <t>SALE1113</t>
  </si>
  <si>
    <t>SALE1114</t>
  </si>
  <si>
    <t>SALE1115</t>
  </si>
  <si>
    <t>SALE1116</t>
  </si>
  <si>
    <t>SALE1117</t>
  </si>
  <si>
    <t>SALE1118</t>
  </si>
  <si>
    <t>SALE1119</t>
  </si>
  <si>
    <t>SALE1120</t>
  </si>
  <si>
    <t>SALE1121</t>
  </si>
  <si>
    <t>SALE1122</t>
  </si>
  <si>
    <t>SALE1123</t>
  </si>
  <si>
    <t>SALE1124</t>
  </si>
  <si>
    <t>SALE1125</t>
  </si>
  <si>
    <t>SALE1126</t>
  </si>
  <si>
    <t>SALE1127</t>
  </si>
  <si>
    <t>SALE1128</t>
  </si>
  <si>
    <t>SALE1129</t>
  </si>
  <si>
    <t>SALE1130</t>
  </si>
  <si>
    <t>SALE1131</t>
  </si>
  <si>
    <t>SALE1132</t>
  </si>
  <si>
    <t>SALE1133</t>
  </si>
  <si>
    <t>SALE1134</t>
  </si>
  <si>
    <t>SALE1135</t>
  </si>
  <si>
    <t>SALE1136</t>
  </si>
  <si>
    <t>SALE1137</t>
  </si>
  <si>
    <t>SALE1138</t>
  </si>
  <si>
    <t>SALE1139</t>
  </si>
  <si>
    <t>SALE1140</t>
  </si>
  <si>
    <t>SALE1141</t>
  </si>
  <si>
    <t>SALE1142</t>
  </si>
  <si>
    <t>SALE1143</t>
  </si>
  <si>
    <t>SALE1144</t>
  </si>
  <si>
    <t>SALE1145</t>
  </si>
  <si>
    <t>SALE1146</t>
  </si>
  <si>
    <t>SALE1147</t>
  </si>
  <si>
    <t>SALE1148</t>
  </si>
  <si>
    <t>SALE1149</t>
  </si>
  <si>
    <t>SALE1150</t>
  </si>
  <si>
    <t>SALE1151</t>
  </si>
  <si>
    <t>SALE1152</t>
  </si>
  <si>
    <t>SALE1153</t>
  </si>
  <si>
    <t>SALE1154</t>
  </si>
  <si>
    <t>SALE1155</t>
  </si>
  <si>
    <t>SALE1156</t>
  </si>
  <si>
    <t>SALE1157</t>
  </si>
  <si>
    <t>SALE1158</t>
  </si>
  <si>
    <t>SALE1159</t>
  </si>
  <si>
    <t>SALE1160</t>
  </si>
  <si>
    <t>SALE1161</t>
  </si>
  <si>
    <t>SALE1162</t>
  </si>
  <si>
    <t>SALE1163</t>
  </si>
  <si>
    <t>SALE1164</t>
  </si>
  <si>
    <t>SALE1165</t>
  </si>
  <si>
    <t>SALE1166</t>
  </si>
  <si>
    <t>SALE1167</t>
  </si>
  <si>
    <t>SALE1168</t>
  </si>
  <si>
    <t>SALE1169</t>
  </si>
  <si>
    <t>SALE1170</t>
  </si>
  <si>
    <t>SALE1171</t>
  </si>
  <si>
    <t>SALE1172</t>
  </si>
  <si>
    <t>SALE1173</t>
  </si>
  <si>
    <t>SALE1174</t>
  </si>
  <si>
    <t>SALE1175</t>
  </si>
  <si>
    <t>SALE1176</t>
  </si>
  <si>
    <t>SALE1177</t>
  </si>
  <si>
    <t>SALE1178</t>
  </si>
  <si>
    <t>SALE1179</t>
  </si>
  <si>
    <t>SALE1180</t>
  </si>
  <si>
    <t>SALE1181</t>
  </si>
  <si>
    <t>SALE1182</t>
  </si>
  <si>
    <t>SALE1183</t>
  </si>
  <si>
    <t>SALE1184</t>
  </si>
  <si>
    <t>SALE1185</t>
  </si>
  <si>
    <t>SALE1186</t>
  </si>
  <si>
    <t>SALE1187</t>
  </si>
  <si>
    <t>SALE1188</t>
  </si>
  <si>
    <t>SALE1189</t>
  </si>
  <si>
    <t>SALE1190</t>
  </si>
  <si>
    <t>SALE1191</t>
  </si>
  <si>
    <t>SALE1192</t>
  </si>
  <si>
    <t>SALE1193</t>
  </si>
  <si>
    <t>SALE1194</t>
  </si>
  <si>
    <t>SALE1195</t>
  </si>
  <si>
    <t>SALE1196</t>
  </si>
  <si>
    <t>SALE1197</t>
  </si>
  <si>
    <t>SALE1198</t>
  </si>
  <si>
    <t>SALE1199</t>
  </si>
  <si>
    <t>SALE1200</t>
  </si>
  <si>
    <t>SALE1201</t>
  </si>
  <si>
    <t>SALE1202</t>
  </si>
  <si>
    <t>SALE1203</t>
  </si>
  <si>
    <t>SALE1204</t>
  </si>
  <si>
    <t>SALE1205</t>
  </si>
  <si>
    <t>SALE1206</t>
  </si>
  <si>
    <t>SALE1207</t>
  </si>
  <si>
    <t>SALE1208</t>
  </si>
  <si>
    <t>SALE1209</t>
  </si>
  <si>
    <t>SALE1210</t>
  </si>
  <si>
    <t>SALE1211</t>
  </si>
  <si>
    <t>SALE1212</t>
  </si>
  <si>
    <t>SALE1213</t>
  </si>
  <si>
    <t>SALE1214</t>
  </si>
  <si>
    <t>SALE1215</t>
  </si>
  <si>
    <t>SALE1216</t>
  </si>
  <si>
    <t>SALE1217</t>
  </si>
  <si>
    <t>SALE1218</t>
  </si>
  <si>
    <t>SALE1219</t>
  </si>
  <si>
    <t>SALE1220</t>
  </si>
  <si>
    <t>SALE1221</t>
  </si>
  <si>
    <t>SALE1222</t>
  </si>
  <si>
    <t>SALE1223</t>
  </si>
  <si>
    <t>SALE1224</t>
  </si>
  <si>
    <t>SALE1225</t>
  </si>
  <si>
    <t>SALE1226</t>
  </si>
  <si>
    <t>SALE1227</t>
  </si>
  <si>
    <t>SALE1228</t>
  </si>
  <si>
    <t>SALE1229</t>
  </si>
  <si>
    <t>SALE1230</t>
  </si>
  <si>
    <t>SALE1231</t>
  </si>
  <si>
    <t>SALE1232</t>
  </si>
  <si>
    <t>SALE1233</t>
  </si>
  <si>
    <t>SALE1234</t>
  </si>
  <si>
    <t>SALE1235</t>
  </si>
  <si>
    <t>SALE1236</t>
  </si>
  <si>
    <t>SALE1237</t>
  </si>
  <si>
    <t>SALE1238</t>
  </si>
  <si>
    <t>SALE1239</t>
  </si>
  <si>
    <t>SALE1240</t>
  </si>
  <si>
    <t>SALE1241</t>
  </si>
  <si>
    <t>SALE1242</t>
  </si>
  <si>
    <t>SALE1243</t>
  </si>
  <si>
    <t>SALE1244</t>
  </si>
  <si>
    <t>SALE1245</t>
  </si>
  <si>
    <t>SALE1246</t>
  </si>
  <si>
    <t>SALE1247</t>
  </si>
  <si>
    <t>SALE1248</t>
  </si>
  <si>
    <t>SALE1249</t>
  </si>
  <si>
    <t>SALE1250</t>
  </si>
  <si>
    <t>SALE1251</t>
  </si>
  <si>
    <t>SALE1252</t>
  </si>
  <si>
    <t>SALE1253</t>
  </si>
  <si>
    <t>SALE1254</t>
  </si>
  <si>
    <t>SALE1255</t>
  </si>
  <si>
    <t>SALE1256</t>
  </si>
  <si>
    <t>SALE1257</t>
  </si>
  <si>
    <t>SALE1258</t>
  </si>
  <si>
    <t>SALE1259</t>
  </si>
  <si>
    <t>SALE1260</t>
  </si>
  <si>
    <t>SALE1261</t>
  </si>
  <si>
    <t>SALE1262</t>
  </si>
  <si>
    <t>SALE1263</t>
  </si>
  <si>
    <t>SALE1264</t>
  </si>
  <si>
    <t>SALE1265</t>
  </si>
  <si>
    <t>SALE1266</t>
  </si>
  <si>
    <t>SALE1267</t>
  </si>
  <si>
    <t>SALE1268</t>
  </si>
  <si>
    <t>SALE1269</t>
  </si>
  <si>
    <t>SALE1270</t>
  </si>
  <si>
    <t>SALE1271</t>
  </si>
  <si>
    <t>SALE1272</t>
  </si>
  <si>
    <t>SALE1273</t>
  </si>
  <si>
    <t>SALE1274</t>
  </si>
  <si>
    <t>SALE1275</t>
  </si>
  <si>
    <t>SALE1276</t>
  </si>
  <si>
    <t>SALE1277</t>
  </si>
  <si>
    <t>SALE1278</t>
  </si>
  <si>
    <t>SALE1279</t>
  </si>
  <si>
    <t>SALE1280</t>
  </si>
  <si>
    <t>SALE1281</t>
  </si>
  <si>
    <t>SALE1282</t>
  </si>
  <si>
    <t>SALE1283</t>
  </si>
  <si>
    <t>SALE1284</t>
  </si>
  <si>
    <t>SALE1285</t>
  </si>
  <si>
    <t>SALE1286</t>
  </si>
  <si>
    <t>SALE1287</t>
  </si>
  <si>
    <t>SALE1288</t>
  </si>
  <si>
    <t>SALE1289</t>
  </si>
  <si>
    <t>SALE1290</t>
  </si>
  <si>
    <t>SALE1291</t>
  </si>
  <si>
    <t>SALE1292</t>
  </si>
  <si>
    <t>SALE1293</t>
  </si>
  <si>
    <t>SALE1294</t>
  </si>
  <si>
    <t>SALE1295</t>
  </si>
  <si>
    <t>SALE1296</t>
  </si>
  <si>
    <t>SALE1297</t>
  </si>
  <si>
    <t>SALE1298</t>
  </si>
  <si>
    <t>SALE1299</t>
  </si>
  <si>
    <t>SALE1300</t>
  </si>
  <si>
    <t>SALE1301</t>
  </si>
  <si>
    <t>SALE1302</t>
  </si>
  <si>
    <t>SALE1303</t>
  </si>
  <si>
    <t>SALE1304</t>
  </si>
  <si>
    <t>SALE1305</t>
  </si>
  <si>
    <t>SALE1306</t>
  </si>
  <si>
    <t>SALE1307</t>
  </si>
  <si>
    <t>SALE1308</t>
  </si>
  <si>
    <t>SALE1309</t>
  </si>
  <si>
    <t>SALE1310</t>
  </si>
  <si>
    <t>SALE1311</t>
  </si>
  <si>
    <t>SALE1312</t>
  </si>
  <si>
    <t>SALE1313</t>
  </si>
  <si>
    <t>SALE1314</t>
  </si>
  <si>
    <t>SALE1315</t>
  </si>
  <si>
    <t>SALE1316</t>
  </si>
  <si>
    <t>SALE1317</t>
  </si>
  <si>
    <t>SALE1318</t>
  </si>
  <si>
    <t>SALE1319</t>
  </si>
  <si>
    <t>SALE1320</t>
  </si>
  <si>
    <t>SALE1321</t>
  </si>
  <si>
    <t>SALE1322</t>
  </si>
  <si>
    <t>SALE1323</t>
  </si>
  <si>
    <t>SALE1324</t>
  </si>
  <si>
    <t>SALE1325</t>
  </si>
  <si>
    <t>SALE1326</t>
  </si>
  <si>
    <t>SALE1327</t>
  </si>
  <si>
    <t>SALE1328</t>
  </si>
  <si>
    <t>SALE1329</t>
  </si>
  <si>
    <t>SALE1330</t>
  </si>
  <si>
    <t>SALE1331</t>
  </si>
  <si>
    <t>SALE1332</t>
  </si>
  <si>
    <t>SALE1333</t>
  </si>
  <si>
    <t>SALE1334</t>
  </si>
  <si>
    <t>SALE1335</t>
  </si>
  <si>
    <t>SALE1336</t>
  </si>
  <si>
    <t>SALE1337</t>
  </si>
  <si>
    <t>SALE1338</t>
  </si>
  <si>
    <t>SALE1339</t>
  </si>
  <si>
    <t>SALE1340</t>
  </si>
  <si>
    <t>SALE1341</t>
  </si>
  <si>
    <t>SALE1342</t>
  </si>
  <si>
    <t>SALE1343</t>
  </si>
  <si>
    <t>SALE1344</t>
  </si>
  <si>
    <t>SALE1345</t>
  </si>
  <si>
    <t>SALE1346</t>
  </si>
  <si>
    <t>SALE1347</t>
  </si>
  <si>
    <t>SALE1348</t>
  </si>
  <si>
    <t>SALE1349</t>
  </si>
  <si>
    <t>SALE1350</t>
  </si>
  <si>
    <t>SALE1351</t>
  </si>
  <si>
    <t>SALE1352</t>
  </si>
  <si>
    <t>SALE1353</t>
  </si>
  <si>
    <t>SALE1354</t>
  </si>
  <si>
    <t>SALE1355</t>
  </si>
  <si>
    <t>SALE1356</t>
  </si>
  <si>
    <t>SALE1357</t>
  </si>
  <si>
    <t>SALE1358</t>
  </si>
  <si>
    <t>SALE1359</t>
  </si>
  <si>
    <t>SALE1360</t>
  </si>
  <si>
    <t>SALE1361</t>
  </si>
  <si>
    <t>SALE1362</t>
  </si>
  <si>
    <t>SALE1363</t>
  </si>
  <si>
    <t>SALE1364</t>
  </si>
  <si>
    <t>SALE1365</t>
  </si>
  <si>
    <t>SALE1366</t>
  </si>
  <si>
    <t>SALE1367</t>
  </si>
  <si>
    <t>SALE1368</t>
  </si>
  <si>
    <t>SALE1369</t>
  </si>
  <si>
    <t>SALE1370</t>
  </si>
  <si>
    <t>SALE1371</t>
  </si>
  <si>
    <t>SALE1372</t>
  </si>
  <si>
    <t>SALE1373</t>
  </si>
  <si>
    <t>SALE1374</t>
  </si>
  <si>
    <t>SALE1375</t>
  </si>
  <si>
    <t>SALE1376</t>
  </si>
  <si>
    <t>SALE1377</t>
  </si>
  <si>
    <t>SALE1378</t>
  </si>
  <si>
    <t>SALE1379</t>
  </si>
  <si>
    <t>SALE1380</t>
  </si>
  <si>
    <t>SALE1381</t>
  </si>
  <si>
    <t>SALE1382</t>
  </si>
  <si>
    <t>SALE1383</t>
  </si>
  <si>
    <t>SALE1384</t>
  </si>
  <si>
    <t>SALE1385</t>
  </si>
  <si>
    <t>SALE1386</t>
  </si>
  <si>
    <t>SALE1387</t>
  </si>
  <si>
    <t>SALE1388</t>
  </si>
  <si>
    <t>SALE1389</t>
  </si>
  <si>
    <t>SALE1390</t>
  </si>
  <si>
    <t>SALE1391</t>
  </si>
  <si>
    <t>SALE1392</t>
  </si>
  <si>
    <t>SALE1393</t>
  </si>
  <si>
    <t>SALE1394</t>
  </si>
  <si>
    <t>SALE1395</t>
  </si>
  <si>
    <t>SALE1396</t>
  </si>
  <si>
    <t>SALE1397</t>
  </si>
  <si>
    <t>SALE1398</t>
  </si>
  <si>
    <t>SALE1399</t>
  </si>
  <si>
    <t>SALE1400</t>
  </si>
  <si>
    <t>SALE1401</t>
  </si>
  <si>
    <t>SALE1402</t>
  </si>
  <si>
    <t>SALE1403</t>
  </si>
  <si>
    <t>SALE1404</t>
  </si>
  <si>
    <t>SALE1405</t>
  </si>
  <si>
    <t>SALE1406</t>
  </si>
  <si>
    <t>SALE1407</t>
  </si>
  <si>
    <t>SALE1408</t>
  </si>
  <si>
    <t>SALE1409</t>
  </si>
  <si>
    <t>SALE1410</t>
  </si>
  <si>
    <t>SALE1411</t>
  </si>
  <si>
    <t>SALE1412</t>
  </si>
  <si>
    <t>SALE1413</t>
  </si>
  <si>
    <t>SALE1414</t>
  </si>
  <si>
    <t>SALE1415</t>
  </si>
  <si>
    <t>SALE1416</t>
  </si>
  <si>
    <t>SALE1417</t>
  </si>
  <si>
    <t>SALE1418</t>
  </si>
  <si>
    <t>SALE1419</t>
  </si>
  <si>
    <t>SALE1420</t>
  </si>
  <si>
    <t>SALE1421</t>
  </si>
  <si>
    <t>SALE1422</t>
  </si>
  <si>
    <t>SALE1423</t>
  </si>
  <si>
    <t>SALE1424</t>
  </si>
  <si>
    <t>SALE1425</t>
  </si>
  <si>
    <t>SALE1426</t>
  </si>
  <si>
    <t>SALE1427</t>
  </si>
  <si>
    <t>SALE1428</t>
  </si>
  <si>
    <t>SALE1429</t>
  </si>
  <si>
    <t>SALE1430</t>
  </si>
  <si>
    <t>SALE1431</t>
  </si>
  <si>
    <t>SALE1432</t>
  </si>
  <si>
    <t>SALE1433</t>
  </si>
  <si>
    <t>SALE1434</t>
  </si>
  <si>
    <t>SALE1435</t>
  </si>
  <si>
    <t>SALE1436</t>
  </si>
  <si>
    <t>SALE1437</t>
  </si>
  <si>
    <t>SALE1438</t>
  </si>
  <si>
    <t>SALE1439</t>
  </si>
  <si>
    <t>SALE1440</t>
  </si>
  <si>
    <t>SALE1441</t>
  </si>
  <si>
    <t>SALE1442</t>
  </si>
  <si>
    <t>SALE1443</t>
  </si>
  <si>
    <t>SALE1444</t>
  </si>
  <si>
    <t>SALE1445</t>
  </si>
  <si>
    <t>SALE1446</t>
  </si>
  <si>
    <t>SALE1447</t>
  </si>
  <si>
    <t>SALE1448</t>
  </si>
  <si>
    <t>SALE1449</t>
  </si>
  <si>
    <t>SALE1450</t>
  </si>
  <si>
    <t>SALE1451</t>
  </si>
  <si>
    <t>SALE1452</t>
  </si>
  <si>
    <t>SALE1453</t>
  </si>
  <si>
    <t>SALE1454</t>
  </si>
  <si>
    <t>SALE1455</t>
  </si>
  <si>
    <t>SALE1456</t>
  </si>
  <si>
    <t>SALE1457</t>
  </si>
  <si>
    <t>SALE1458</t>
  </si>
  <si>
    <t>SALE1459</t>
  </si>
  <si>
    <t>SALE1460</t>
  </si>
  <si>
    <t>SALE1461</t>
  </si>
  <si>
    <t>SALE1462</t>
  </si>
  <si>
    <t>SALE1463</t>
  </si>
  <si>
    <t>SALE1464</t>
  </si>
  <si>
    <t>SALE1465</t>
  </si>
  <si>
    <t>SALE1466</t>
  </si>
  <si>
    <t>SALE1467</t>
  </si>
  <si>
    <t>SALE1468</t>
  </si>
  <si>
    <t>SALE1469</t>
  </si>
  <si>
    <t>SALE1470</t>
  </si>
  <si>
    <t>SALE1471</t>
  </si>
  <si>
    <t>SALE1472</t>
  </si>
  <si>
    <t>SALE1473</t>
  </si>
  <si>
    <t>SALE1474</t>
  </si>
  <si>
    <t>SALE1475</t>
  </si>
  <si>
    <t>SALE1476</t>
  </si>
  <si>
    <t>SALE1477</t>
  </si>
  <si>
    <t>SALE1478</t>
  </si>
  <si>
    <t>SALE1479</t>
  </si>
  <si>
    <t>SALE1480</t>
  </si>
  <si>
    <t>SALE1481</t>
  </si>
  <si>
    <t>SALE1482</t>
  </si>
  <si>
    <t>SALE1483</t>
  </si>
  <si>
    <t>SALE1484</t>
  </si>
  <si>
    <t>SALE1485</t>
  </si>
  <si>
    <t>SALE1486</t>
  </si>
  <si>
    <t>SALE1487</t>
  </si>
  <si>
    <t>SALE1488</t>
  </si>
  <si>
    <t>SALE1489</t>
  </si>
  <si>
    <t>SALE1490</t>
  </si>
  <si>
    <t>SALE1491</t>
  </si>
  <si>
    <t>SALE1492</t>
  </si>
  <si>
    <t>SALE1493</t>
  </si>
  <si>
    <t>SALE1494</t>
  </si>
  <si>
    <t>SALE1495</t>
  </si>
  <si>
    <t>SALE1496</t>
  </si>
  <si>
    <t>SALE1497</t>
  </si>
  <si>
    <t>SALE1498</t>
  </si>
  <si>
    <t>SALE1499</t>
  </si>
  <si>
    <t>SALE1500</t>
  </si>
  <si>
    <t>SALE1501</t>
  </si>
  <si>
    <t>SALE1502</t>
  </si>
  <si>
    <t>SALE1503</t>
  </si>
  <si>
    <t>SALE1504</t>
  </si>
  <si>
    <t>SALE1505</t>
  </si>
  <si>
    <t>SALE1506</t>
  </si>
  <si>
    <t>SALE1507</t>
  </si>
  <si>
    <t>SALE1508</t>
  </si>
  <si>
    <t>SALE1509</t>
  </si>
  <si>
    <t>SALE1510</t>
  </si>
  <si>
    <t>SALE1511</t>
  </si>
  <si>
    <t>SALE1512</t>
  </si>
  <si>
    <t>SALE1513</t>
  </si>
  <si>
    <t>SALE1514</t>
  </si>
  <si>
    <t>SALE1515</t>
  </si>
  <si>
    <t>SALE1516</t>
  </si>
  <si>
    <t>SALE1517</t>
  </si>
  <si>
    <t>SALE1518</t>
  </si>
  <si>
    <t>SALE1519</t>
  </si>
  <si>
    <t>SALE1520</t>
  </si>
  <si>
    <t>SALE1521</t>
  </si>
  <si>
    <t>SALE1522</t>
  </si>
  <si>
    <t>SALE1523</t>
  </si>
  <si>
    <t>SALE1524</t>
  </si>
  <si>
    <t>SALE1525</t>
  </si>
  <si>
    <t>SALE1526</t>
  </si>
  <si>
    <t>SALE1527</t>
  </si>
  <si>
    <t>SALE1528</t>
  </si>
  <si>
    <t>SALE1529</t>
  </si>
  <si>
    <t>SALE1530</t>
  </si>
  <si>
    <t>SALE1531</t>
  </si>
  <si>
    <t>SALE1532</t>
  </si>
  <si>
    <t>SALE1533</t>
  </si>
  <si>
    <t>SALE1534</t>
  </si>
  <si>
    <t>SALE1535</t>
  </si>
  <si>
    <t>SALE1536</t>
  </si>
  <si>
    <t>SALE1537</t>
  </si>
  <si>
    <t>SALE1538</t>
  </si>
  <si>
    <t>SALE1539</t>
  </si>
  <si>
    <t>SALE1540</t>
  </si>
  <si>
    <t>SALE1541</t>
  </si>
  <si>
    <t>SALE1542</t>
  </si>
  <si>
    <t>SALE1543</t>
  </si>
  <si>
    <t>SALE1544</t>
  </si>
  <si>
    <t>SALE1545</t>
  </si>
  <si>
    <t>SALE1546</t>
  </si>
  <si>
    <t>SALE1547</t>
  </si>
  <si>
    <t>SALE1548</t>
  </si>
  <si>
    <t>SALE1549</t>
  </si>
  <si>
    <t>SALE1550</t>
  </si>
  <si>
    <t>SALE1551</t>
  </si>
  <si>
    <t>SALE1552</t>
  </si>
  <si>
    <t>SALE1553</t>
  </si>
  <si>
    <t>SALE1554</t>
  </si>
  <si>
    <t>SALE1555</t>
  </si>
  <si>
    <t>SALE1556</t>
  </si>
  <si>
    <t>SALE1557</t>
  </si>
  <si>
    <t>SALE1558</t>
  </si>
  <si>
    <t>SALE1559</t>
  </si>
  <si>
    <t>SALE1560</t>
  </si>
  <si>
    <t>SALE1561</t>
  </si>
  <si>
    <t>SALE1562</t>
  </si>
  <si>
    <t>SALE1563</t>
  </si>
  <si>
    <t>SALE1564</t>
  </si>
  <si>
    <t>SALE1565</t>
  </si>
  <si>
    <t>SALE1566</t>
  </si>
  <si>
    <t>SALE1567</t>
  </si>
  <si>
    <t>SALE1568</t>
  </si>
  <si>
    <t>SALE1569</t>
  </si>
  <si>
    <t>SALE1570</t>
  </si>
  <si>
    <t>SALE1571</t>
  </si>
  <si>
    <t>SALE1572</t>
  </si>
  <si>
    <t>SALE1573</t>
  </si>
  <si>
    <t>SALE1574</t>
  </si>
  <si>
    <t>SALE1575</t>
  </si>
  <si>
    <t>SALE1576</t>
  </si>
  <si>
    <t>SALE1577</t>
  </si>
  <si>
    <t>SALE1578</t>
  </si>
  <si>
    <t>SALE1579</t>
  </si>
  <si>
    <t>SALE1580</t>
  </si>
  <si>
    <t>SALE1581</t>
  </si>
  <si>
    <t>SALE1582</t>
  </si>
  <si>
    <t>SALE1583</t>
  </si>
  <si>
    <t>SALE1584</t>
  </si>
  <si>
    <t>SALE1585</t>
  </si>
  <si>
    <t>SALE1586</t>
  </si>
  <si>
    <t>SALE1587</t>
  </si>
  <si>
    <t>SALE1588</t>
  </si>
  <si>
    <t>SALE1589</t>
  </si>
  <si>
    <t>SALE1590</t>
  </si>
  <si>
    <t>SALE1591</t>
  </si>
  <si>
    <t>SALE1592</t>
  </si>
  <si>
    <t>SALE1593</t>
  </si>
  <si>
    <t>SALE1594</t>
  </si>
  <si>
    <t>SALE1595</t>
  </si>
  <si>
    <t>SALE1596</t>
  </si>
  <si>
    <t>SALE1597</t>
  </si>
  <si>
    <t>SALE1598</t>
  </si>
  <si>
    <t>SALE1599</t>
  </si>
  <si>
    <t>SALE1600</t>
  </si>
  <si>
    <t>SALE1601</t>
  </si>
  <si>
    <t>SALE1602</t>
  </si>
  <si>
    <t>SALE1603</t>
  </si>
  <si>
    <t>SALE1604</t>
  </si>
  <si>
    <t>SALE1605</t>
  </si>
  <si>
    <t>SALE1606</t>
  </si>
  <si>
    <t>SALE1607</t>
  </si>
  <si>
    <t>SALE1608</t>
  </si>
  <si>
    <t>SALE1609</t>
  </si>
  <si>
    <t>SALE1610</t>
  </si>
  <si>
    <t>SALE1611</t>
  </si>
  <si>
    <t>SALE1612</t>
  </si>
  <si>
    <t>SALE1613</t>
  </si>
  <si>
    <t>SALE1614</t>
  </si>
  <si>
    <t>SALE1615</t>
  </si>
  <si>
    <t>SALE1616</t>
  </si>
  <si>
    <t>SALE1617</t>
  </si>
  <si>
    <t>SALE1618</t>
  </si>
  <si>
    <t>SALE1619</t>
  </si>
  <si>
    <t>SALE1620</t>
  </si>
  <si>
    <t>SALE1621</t>
  </si>
  <si>
    <t>SALE1622</t>
  </si>
  <si>
    <t>SALE1623</t>
  </si>
  <si>
    <t>SALE1624</t>
  </si>
  <si>
    <t>SALE1625</t>
  </si>
  <si>
    <t>SALE1626</t>
  </si>
  <si>
    <t>SALE1627</t>
  </si>
  <si>
    <t>SALE1628</t>
  </si>
  <si>
    <t>SALE1629</t>
  </si>
  <si>
    <t>SALE1630</t>
  </si>
  <si>
    <t>SALE1631</t>
  </si>
  <si>
    <t>SALE1632</t>
  </si>
  <si>
    <t>SALE1633</t>
  </si>
  <si>
    <t>SALE1634</t>
  </si>
  <si>
    <t>SALE1635</t>
  </si>
  <si>
    <t>SALE1636</t>
  </si>
  <si>
    <t>SALE1637</t>
  </si>
  <si>
    <t>SALE1638</t>
  </si>
  <si>
    <t>SALE1639</t>
  </si>
  <si>
    <t>SALE1640</t>
  </si>
  <si>
    <t>SALE1641</t>
  </si>
  <si>
    <t>SALE1642</t>
  </si>
  <si>
    <t>SALE1643</t>
  </si>
  <si>
    <t>SALE1644</t>
  </si>
  <si>
    <t>SALE1645</t>
  </si>
  <si>
    <t>SALE1646</t>
  </si>
  <si>
    <t>SALE1647</t>
  </si>
  <si>
    <t>SALE1648</t>
  </si>
  <si>
    <t>SALE1649</t>
  </si>
  <si>
    <t>SALE1650</t>
  </si>
  <si>
    <t>SALE1651</t>
  </si>
  <si>
    <t>SALE1652</t>
  </si>
  <si>
    <t>SALE1653</t>
  </si>
  <si>
    <t>SALE1654</t>
  </si>
  <si>
    <t>SALE1655</t>
  </si>
  <si>
    <t>SALE1656</t>
  </si>
  <si>
    <t>SALE1657</t>
  </si>
  <si>
    <t>SALE1658</t>
  </si>
  <si>
    <t>SALE1659</t>
  </si>
  <si>
    <t>SALE1660</t>
  </si>
  <si>
    <t>SALE1661</t>
  </si>
  <si>
    <t>SALE1662</t>
  </si>
  <si>
    <t>SALE1663</t>
  </si>
  <si>
    <t>SALE1664</t>
  </si>
  <si>
    <t>SALE1665</t>
  </si>
  <si>
    <t>SALE1666</t>
  </si>
  <si>
    <t>SALE1667</t>
  </si>
  <si>
    <t>SALE1668</t>
  </si>
  <si>
    <t>SALE1669</t>
  </si>
  <si>
    <t>SALE1670</t>
  </si>
  <si>
    <t>SALE1671</t>
  </si>
  <si>
    <t>SALE1672</t>
  </si>
  <si>
    <t>SALE1673</t>
  </si>
  <si>
    <t>SALE1674</t>
  </si>
  <si>
    <t>SALE1675</t>
  </si>
  <si>
    <t>SALE1676</t>
  </si>
  <si>
    <t>SALE1677</t>
  </si>
  <si>
    <t>SALE1678</t>
  </si>
  <si>
    <t>SALE1679</t>
  </si>
  <si>
    <t>SALE1680</t>
  </si>
  <si>
    <t>SALE1681</t>
  </si>
  <si>
    <t>SALE1682</t>
  </si>
  <si>
    <t>SALE1683</t>
  </si>
  <si>
    <t>SALE1684</t>
  </si>
  <si>
    <t>SALE1685</t>
  </si>
  <si>
    <t>SALE1686</t>
  </si>
  <si>
    <t>SALE1687</t>
  </si>
  <si>
    <t>SALE1688</t>
  </si>
  <si>
    <t>SALE1689</t>
  </si>
  <si>
    <t>SALE1690</t>
  </si>
  <si>
    <t>SALE1691</t>
  </si>
  <si>
    <t>SALE1692</t>
  </si>
  <si>
    <t>SALE1693</t>
  </si>
  <si>
    <t>SALE1694</t>
  </si>
  <si>
    <t>SALE1695</t>
  </si>
  <si>
    <t>SALE1696</t>
  </si>
  <si>
    <t>SALE1697</t>
  </si>
  <si>
    <t>SALE1698</t>
  </si>
  <si>
    <t>SALE1699</t>
  </si>
  <si>
    <t>SALE1700</t>
  </si>
  <si>
    <t>SALE1701</t>
  </si>
  <si>
    <t>SALE1702</t>
  </si>
  <si>
    <t>SALE1703</t>
  </si>
  <si>
    <t>SALE1704</t>
  </si>
  <si>
    <t>SALE1705</t>
  </si>
  <si>
    <t>SALE1706</t>
  </si>
  <si>
    <t>SALE1707</t>
  </si>
  <si>
    <t>SALE1708</t>
  </si>
  <si>
    <t>SALE1709</t>
  </si>
  <si>
    <t>SALE1710</t>
  </si>
  <si>
    <t>SALE1711</t>
  </si>
  <si>
    <t>SALE1712</t>
  </si>
  <si>
    <t>SALE1713</t>
  </si>
  <si>
    <t>SALE1714</t>
  </si>
  <si>
    <t>SALE1715</t>
  </si>
  <si>
    <t>SALE1716</t>
  </si>
  <si>
    <t>SALE1717</t>
  </si>
  <si>
    <t>SALE1718</t>
  </si>
  <si>
    <t>SALE1719</t>
  </si>
  <si>
    <t>SALE1720</t>
  </si>
  <si>
    <t>SALE1721</t>
  </si>
  <si>
    <t>SALE1722</t>
  </si>
  <si>
    <t>SALE1723</t>
  </si>
  <si>
    <t>SALE1724</t>
  </si>
  <si>
    <t>SALE1725</t>
  </si>
  <si>
    <t>SALE1726</t>
  </si>
  <si>
    <t>SALE1727</t>
  </si>
  <si>
    <t>SALE1728</t>
  </si>
  <si>
    <t>SALE1729</t>
  </si>
  <si>
    <t>SALE1730</t>
  </si>
  <si>
    <t>SALE1731</t>
  </si>
  <si>
    <t>SALE1732</t>
  </si>
  <si>
    <t>SALE1733</t>
  </si>
  <si>
    <t>SALE1734</t>
  </si>
  <si>
    <t>SALE1735</t>
  </si>
  <si>
    <t>SALE1736</t>
  </si>
  <si>
    <t>SALE1737</t>
  </si>
  <si>
    <t>SALE1738</t>
  </si>
  <si>
    <t>SALE1739</t>
  </si>
  <si>
    <t>SALE1740</t>
  </si>
  <si>
    <t>SALE1741</t>
  </si>
  <si>
    <t>SALE1742</t>
  </si>
  <si>
    <t>SALE1743</t>
  </si>
  <si>
    <t>SALE1744</t>
  </si>
  <si>
    <t>SALE1745</t>
  </si>
  <si>
    <t>SALE1746</t>
  </si>
  <si>
    <t>SALE1747</t>
  </si>
  <si>
    <t>SALE1748</t>
  </si>
  <si>
    <t>SALE1749</t>
  </si>
  <si>
    <t>SALE1750</t>
  </si>
  <si>
    <t>SALE1751</t>
  </si>
  <si>
    <t>SALE1752</t>
  </si>
  <si>
    <t>SALE1753</t>
  </si>
  <si>
    <t>SALE1754</t>
  </si>
  <si>
    <t>SALE1755</t>
  </si>
  <si>
    <t>SALE1756</t>
  </si>
  <si>
    <t>SALE1757</t>
  </si>
  <si>
    <t>SALE1758</t>
  </si>
  <si>
    <t>SALE1759</t>
  </si>
  <si>
    <t>SALE1760</t>
  </si>
  <si>
    <t>SALE1761</t>
  </si>
  <si>
    <t>SALE1762</t>
  </si>
  <si>
    <t>SALE1763</t>
  </si>
  <si>
    <t>SALE1764</t>
  </si>
  <si>
    <t>SALE1765</t>
  </si>
  <si>
    <t>SALE1766</t>
  </si>
  <si>
    <t>SALE1767</t>
  </si>
  <si>
    <t>SALE1768</t>
  </si>
  <si>
    <t>SALE1769</t>
  </si>
  <si>
    <t>SALE1770</t>
  </si>
  <si>
    <t>SALE1771</t>
  </si>
  <si>
    <t>SALE1772</t>
  </si>
  <si>
    <t>SALE1773</t>
  </si>
  <si>
    <t>SALE1774</t>
  </si>
  <si>
    <t>SALE1775</t>
  </si>
  <si>
    <t>SALE1776</t>
  </si>
  <si>
    <t>SALE1777</t>
  </si>
  <si>
    <t>SALE1778</t>
  </si>
  <si>
    <t>SALE1779</t>
  </si>
  <si>
    <t>SALE1780</t>
  </si>
  <si>
    <t>SALE1781</t>
  </si>
  <si>
    <t>SALE1782</t>
  </si>
  <si>
    <t>SALE1783</t>
  </si>
  <si>
    <t>SALE1784</t>
  </si>
  <si>
    <t>SALE1785</t>
  </si>
  <si>
    <t>SALE1786</t>
  </si>
  <si>
    <t>SALE1787</t>
  </si>
  <si>
    <t>SALE1788</t>
  </si>
  <si>
    <t>SALE1789</t>
  </si>
  <si>
    <t>SALE1790</t>
  </si>
  <si>
    <t>SALE1791</t>
  </si>
  <si>
    <t>SALE1792</t>
  </si>
  <si>
    <t>SALE1793</t>
  </si>
  <si>
    <t>SALE1794</t>
  </si>
  <si>
    <t>SALE1795</t>
  </si>
  <si>
    <t>SALE1796</t>
  </si>
  <si>
    <t>SALE1797</t>
  </si>
  <si>
    <t>SALE1798</t>
  </si>
  <si>
    <t>SALE1799</t>
  </si>
  <si>
    <t>SALE1800</t>
  </si>
  <si>
    <t>SALE1801</t>
  </si>
  <si>
    <t>SALE1802</t>
  </si>
  <si>
    <t>SALE1803</t>
  </si>
  <si>
    <t>SALE1804</t>
  </si>
  <si>
    <t>SALE1805</t>
  </si>
  <si>
    <t>SALE1806</t>
  </si>
  <si>
    <t>SALE1807</t>
  </si>
  <si>
    <t>SALE1808</t>
  </si>
  <si>
    <t>SALE1809</t>
  </si>
  <si>
    <t>SALE1810</t>
  </si>
  <si>
    <t>SALE1811</t>
  </si>
  <si>
    <t>SALE1812</t>
  </si>
  <si>
    <t>SALE1813</t>
  </si>
  <si>
    <t>SALE1814</t>
  </si>
  <si>
    <t>SALE1815</t>
  </si>
  <si>
    <t>SALE1816</t>
  </si>
  <si>
    <t>SALE1817</t>
  </si>
  <si>
    <t>SALE1818</t>
  </si>
  <si>
    <t>SALE1819</t>
  </si>
  <si>
    <t>SALE1820</t>
  </si>
  <si>
    <t>SALE1821</t>
  </si>
  <si>
    <t>SALE1822</t>
  </si>
  <si>
    <t>SALE1823</t>
  </si>
  <si>
    <t>SALE1824</t>
  </si>
  <si>
    <t>SALE1825</t>
  </si>
  <si>
    <t>SALE1826</t>
  </si>
  <si>
    <t>SALE1827</t>
  </si>
  <si>
    <t>SALE1828</t>
  </si>
  <si>
    <t>SALE1829</t>
  </si>
  <si>
    <t>SALE1830</t>
  </si>
  <si>
    <t>SALE1831</t>
  </si>
  <si>
    <t>SALE1832</t>
  </si>
  <si>
    <t>SALE1833</t>
  </si>
  <si>
    <t>SALE1834</t>
  </si>
  <si>
    <t>SALE1835</t>
  </si>
  <si>
    <t>SALE1836</t>
  </si>
  <si>
    <t>SALE1837</t>
  </si>
  <si>
    <t>SALE1838</t>
  </si>
  <si>
    <t>SALE1839</t>
  </si>
  <si>
    <t>SALE1840</t>
  </si>
  <si>
    <t>SALE1841</t>
  </si>
  <si>
    <t>SALE1842</t>
  </si>
  <si>
    <t>SALE1843</t>
  </si>
  <si>
    <t>SALE1844</t>
  </si>
  <si>
    <t>SALE1845</t>
  </si>
  <si>
    <t>SALE1846</t>
  </si>
  <si>
    <t>SALE1847</t>
  </si>
  <si>
    <t>SALE1848</t>
  </si>
  <si>
    <t>SALE1849</t>
  </si>
  <si>
    <t>SALE1850</t>
  </si>
  <si>
    <t>SALE1851</t>
  </si>
  <si>
    <t>SALE1852</t>
  </si>
  <si>
    <t>SALE1853</t>
  </si>
  <si>
    <t>SALE1854</t>
  </si>
  <si>
    <t>SALE1855</t>
  </si>
  <si>
    <t>SALE1856</t>
  </si>
  <si>
    <t>SALE1857</t>
  </si>
  <si>
    <t>SALE1858</t>
  </si>
  <si>
    <t>SALE1859</t>
  </si>
  <si>
    <t>SALE1860</t>
  </si>
  <si>
    <t>SALE1861</t>
  </si>
  <si>
    <t>SALE1862</t>
  </si>
  <si>
    <t>SALE1863</t>
  </si>
  <si>
    <t>SALE1864</t>
  </si>
  <si>
    <t>SALE1865</t>
  </si>
  <si>
    <t>SALE1866</t>
  </si>
  <si>
    <t>SALE1867</t>
  </si>
  <si>
    <t>SALE1868</t>
  </si>
  <si>
    <t>SALE1869</t>
  </si>
  <si>
    <t>SALE1870</t>
  </si>
  <si>
    <t>SALE1871</t>
  </si>
  <si>
    <t>SALE1872</t>
  </si>
  <si>
    <t>SALE1873</t>
  </si>
  <si>
    <t>SALE1874</t>
  </si>
  <si>
    <t>SALE1875</t>
  </si>
  <si>
    <t>SALE1876</t>
  </si>
  <si>
    <t>SALE1877</t>
  </si>
  <si>
    <t>SALE1878</t>
  </si>
  <si>
    <t>SALE1879</t>
  </si>
  <si>
    <t>SALE1880</t>
  </si>
  <si>
    <t>SALE1881</t>
  </si>
  <si>
    <t>SALE1882</t>
  </si>
  <si>
    <t>SALE1883</t>
  </si>
  <si>
    <t>SALE1884</t>
  </si>
  <si>
    <t>SALE1885</t>
  </si>
  <si>
    <t>SALE1886</t>
  </si>
  <si>
    <t>SALE1887</t>
  </si>
  <si>
    <t>SALE1888</t>
  </si>
  <si>
    <t>SALE1889</t>
  </si>
  <si>
    <t>SALE1890</t>
  </si>
  <si>
    <t>SALE1891</t>
  </si>
  <si>
    <t>SALE1892</t>
  </si>
  <si>
    <t>SALE1893</t>
  </si>
  <si>
    <t>SALE1894</t>
  </si>
  <si>
    <t>SALE1895</t>
  </si>
  <si>
    <t>SALE1896</t>
  </si>
  <si>
    <t>SALE1897</t>
  </si>
  <si>
    <t>SALE1898</t>
  </si>
  <si>
    <t>SALE1899</t>
  </si>
  <si>
    <t>SALE1900</t>
  </si>
  <si>
    <t>SALE1901</t>
  </si>
  <si>
    <t>SALE1902</t>
  </si>
  <si>
    <t>SALE1903</t>
  </si>
  <si>
    <t>SALE1904</t>
  </si>
  <si>
    <t>SALE1905</t>
  </si>
  <si>
    <t>SALE1906</t>
  </si>
  <si>
    <t>SALE1907</t>
  </si>
  <si>
    <t>SALE1908</t>
  </si>
  <si>
    <t>SALE1909</t>
  </si>
  <si>
    <t>SALE1910</t>
  </si>
  <si>
    <t>SALE1911</t>
  </si>
  <si>
    <t>SALE1912</t>
  </si>
  <si>
    <t>SALE1913</t>
  </si>
  <si>
    <t>SALE1914</t>
  </si>
  <si>
    <t>SALE1915</t>
  </si>
  <si>
    <t>SALE1916</t>
  </si>
  <si>
    <t>SALE1917</t>
  </si>
  <si>
    <t>SALE1918</t>
  </si>
  <si>
    <t>SALE1919</t>
  </si>
  <si>
    <t>SALE1920</t>
  </si>
  <si>
    <t>SALE1921</t>
  </si>
  <si>
    <t>SALE1922</t>
  </si>
  <si>
    <t>SALE1923</t>
  </si>
  <si>
    <t>SALE1924</t>
  </si>
  <si>
    <t>SALE1925</t>
  </si>
  <si>
    <t>SALE1926</t>
  </si>
  <si>
    <t>SALE1927</t>
  </si>
  <si>
    <t>SALE1928</t>
  </si>
  <si>
    <t>SALE1929</t>
  </si>
  <si>
    <t>SALE1930</t>
  </si>
  <si>
    <t>SALE1931</t>
  </si>
  <si>
    <t>SALE1932</t>
  </si>
  <si>
    <t>SALE1933</t>
  </si>
  <si>
    <t>SALE1934</t>
  </si>
  <si>
    <t>SALE1935</t>
  </si>
  <si>
    <t>SALE1936</t>
  </si>
  <si>
    <t>SALE1937</t>
  </si>
  <si>
    <t>SALE1938</t>
  </si>
  <si>
    <t>SALE1939</t>
  </si>
  <si>
    <t>SALE1940</t>
  </si>
  <si>
    <t>SALE1941</t>
  </si>
  <si>
    <t>SALE1942</t>
  </si>
  <si>
    <t>SALE1943</t>
  </si>
  <si>
    <t>SALE1944</t>
  </si>
  <si>
    <t>SALE1945</t>
  </si>
  <si>
    <t>SALE1946</t>
  </si>
  <si>
    <t>SALE1947</t>
  </si>
  <si>
    <t>SALE1948</t>
  </si>
  <si>
    <t>SALE1949</t>
  </si>
  <si>
    <t>SALE1950</t>
  </si>
  <si>
    <t>SALE1951</t>
  </si>
  <si>
    <t>SALE1952</t>
  </si>
  <si>
    <t>SALE1953</t>
  </si>
  <si>
    <t>SALE1954</t>
  </si>
  <si>
    <t>SALE1955</t>
  </si>
  <si>
    <t>SALE1956</t>
  </si>
  <si>
    <t>SALE1957</t>
  </si>
  <si>
    <t>SALE1958</t>
  </si>
  <si>
    <t>SALE1959</t>
  </si>
  <si>
    <t>SALE1960</t>
  </si>
  <si>
    <t>SALE1961</t>
  </si>
  <si>
    <t>SALE1962</t>
  </si>
  <si>
    <t>SALE1963</t>
  </si>
  <si>
    <t>SALE1964</t>
  </si>
  <si>
    <t>SALE1965</t>
  </si>
  <si>
    <t>SALE1966</t>
  </si>
  <si>
    <t>SALE1967</t>
  </si>
  <si>
    <t>SALE1968</t>
  </si>
  <si>
    <t>SALE1969</t>
  </si>
  <si>
    <t>SALE1970</t>
  </si>
  <si>
    <t>SALE1971</t>
  </si>
  <si>
    <t>SALE1972</t>
  </si>
  <si>
    <t>SALE1973</t>
  </si>
  <si>
    <t>SALE1974</t>
  </si>
  <si>
    <t>SALE1975</t>
  </si>
  <si>
    <t>SALE1976</t>
  </si>
  <si>
    <t>SALE1977</t>
  </si>
  <si>
    <t>SALE1978</t>
  </si>
  <si>
    <t>SALE1979</t>
  </si>
  <si>
    <t>SALE1980</t>
  </si>
  <si>
    <t>SALE1981</t>
  </si>
  <si>
    <t>SALE1982</t>
  </si>
  <si>
    <t>SALE1983</t>
  </si>
  <si>
    <t>SALE1984</t>
  </si>
  <si>
    <t>SALE1985</t>
  </si>
  <si>
    <t>SALE1986</t>
  </si>
  <si>
    <t>SALE1987</t>
  </si>
  <si>
    <t>SALE1988</t>
  </si>
  <si>
    <t>SALE1989</t>
  </si>
  <si>
    <t>SALE1990</t>
  </si>
  <si>
    <t>SALE1991</t>
  </si>
  <si>
    <t>SALE1992</t>
  </si>
  <si>
    <t>SALE1993</t>
  </si>
  <si>
    <t>SALE1994</t>
  </si>
  <si>
    <t>SALE1995</t>
  </si>
  <si>
    <t>SALE1996</t>
  </si>
  <si>
    <t>SALE1997</t>
  </si>
  <si>
    <t>SALE1998</t>
  </si>
  <si>
    <t>SALE1999</t>
  </si>
  <si>
    <t>COUNTA of Customer_ID</t>
  </si>
  <si>
    <t>COUNTA of Store_ID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</si>
</sst>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\ h:mm:ss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B050"/>
        <bgColor rgb="FF00B05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top"/>
    </xf>
    <xf borderId="2" fillId="2" fontId="1" numFmtId="0" xfId="0" applyBorder="1" applyFont="1"/>
    <xf borderId="2" fillId="3" fontId="2" numFmtId="0" xfId="0" applyBorder="1" applyFill="1" applyFont="1"/>
    <xf borderId="0" fillId="0" fontId="2" numFmtId="0" xfId="0" applyFont="1"/>
    <xf borderId="1" fillId="2" fontId="1" numFmtId="0" xfId="0" applyAlignment="1" applyBorder="1" applyFont="1">
      <alignment horizontal="left" vertical="top"/>
    </xf>
    <xf borderId="2" fillId="3" fontId="1" numFmtId="0" xfId="0" applyBorder="1" applyFont="1"/>
    <xf borderId="0" fillId="0" fontId="2" numFmtId="0" xfId="0" applyAlignment="1" applyFont="1">
      <alignment horizontal="left"/>
    </xf>
    <xf borderId="0" fillId="0" fontId="3" numFmtId="0" xfId="0" applyFont="1"/>
    <xf borderId="2" fillId="3" fontId="2" numFmtId="0" xfId="0" applyAlignment="1" applyBorder="1" applyFont="1">
      <alignment horizontal="left"/>
    </xf>
    <xf borderId="2" fillId="3" fontId="2" numFmtId="0" xfId="0" applyAlignment="1" applyBorder="1" applyFont="1">
      <alignment horizontal="center"/>
    </xf>
    <xf borderId="2" fillId="2" fontId="2" numFmtId="0" xfId="0" applyBorder="1" applyFon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pivotCacheDefinition" Target="pivotCache/pivotCacheDefinition2.xml"/><Relationship Id="rId10" Type="http://schemas.openxmlformats.org/officeDocument/2006/relationships/pivotCacheDefinition" Target="pivotCache/pivotCacheDefinition1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COUNTA of Customer_ID vs. Gender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CUSTOMER_PIVOT_TABLE!$B$1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CUSTOMER_PIVOT_TABLE!$A$2:$A$5</c:f>
            </c:strRef>
          </c:cat>
          <c:val>
            <c:numRef>
              <c:f>CUSTOMER_PIVOT_TABLE!$B$2:$B$5</c:f>
              <c:numCache/>
            </c:numRef>
          </c:val>
        </c:ser>
        <c:axId val="331058191"/>
        <c:axId val="781569519"/>
      </c:bar3DChart>
      <c:catAx>
        <c:axId val="3310581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Gender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81569519"/>
      </c:catAx>
      <c:valAx>
        <c:axId val="78156951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COUNTA of Customer_ID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3105819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COUNTA of Store_ID vs. Region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STORE_PIVOT_TABLE!$B$1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STORE_PIVOT_TABLE!$A$2:$A$6</c:f>
            </c:strRef>
          </c:cat>
          <c:val>
            <c:numRef>
              <c:f>STORE_PIVOT_TABLE!$B$2:$B$6</c:f>
              <c:numCache/>
            </c:numRef>
          </c:val>
        </c:ser>
        <c:axId val="1899922393"/>
        <c:axId val="1819519056"/>
      </c:bar3DChart>
      <c:catAx>
        <c:axId val="189992239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Region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19519056"/>
      </c:catAx>
      <c:valAx>
        <c:axId val="181951905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COUNTA of Store_ID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9992239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19050</xdr:colOff>
      <xdr:row>4</xdr:row>
      <xdr:rowOff>19050</xdr:rowOff>
    </xdr:from>
    <xdr:ext cx="5715000" cy="3533775"/>
    <xdr:graphicFrame>
      <xdr:nvGraphicFramePr>
        <xdr:cNvPr id="1856757516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419100</xdr:colOff>
      <xdr:row>2</xdr:row>
      <xdr:rowOff>180975</xdr:rowOff>
    </xdr:from>
    <xdr:ext cx="5715000" cy="3533775"/>
    <xdr:graphicFrame>
      <xdr:nvGraphicFramePr>
        <xdr:cNvPr id="617631867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H502" sheet="Customer_Dim"/>
  </cacheSource>
  <cacheFields>
    <cacheField name="Customer_ID" numFmtId="0">
      <sharedItems containsBlank="1">
        <s v="CUST1000"/>
        <s v="CUST1001"/>
        <s v="CUST1002"/>
        <s v="CUST1003"/>
        <s v="CUST1004"/>
        <s v="CUST1005"/>
        <s v="CUST1006"/>
        <s v="CUST1007"/>
        <s v="CUST1008"/>
        <s v="CUST1009"/>
        <s v="CUST1010"/>
        <s v="CUST1011"/>
        <s v="CUST1012"/>
        <s v="CUST1013"/>
        <s v="CUST1014"/>
        <s v="CUST1015"/>
        <s v="CUST1016"/>
        <s v="CUST1017"/>
        <s v="CUST1018"/>
        <s v="CUST1019"/>
        <s v="CUST1020"/>
        <s v="CUST1021"/>
        <s v="CUST1022"/>
        <s v="CUST1023"/>
        <s v="CUST1024"/>
        <s v="CUST1025"/>
        <s v="CUST1026"/>
        <s v="CUST1027"/>
        <s v="CUST1028"/>
        <s v="CUST1029"/>
        <s v="CUST1030"/>
        <s v="CUST1031"/>
        <s v="CUST1032"/>
        <s v="CUST1033"/>
        <s v="CUST1034"/>
        <s v="CUST1035"/>
        <s v="CUST1036"/>
        <s v="CUST1037"/>
        <s v="CUST1038"/>
        <s v="CUST1039"/>
        <s v="CUST1040"/>
        <s v="CUST1041"/>
        <s v="CUST1042"/>
        <s v="CUST1043"/>
        <s v="CUST1044"/>
        <s v="CUST1045"/>
        <s v="CUST1046"/>
        <s v="CUST1047"/>
        <s v="CUST1048"/>
        <s v="CUST1049"/>
        <s v="CUST1050"/>
        <s v="CUST1051"/>
        <s v="CUST1052"/>
        <s v="CUST1053"/>
        <s v="CUST1054"/>
        <s v="CUST1055"/>
        <s v="CUST1056"/>
        <s v="CUST1057"/>
        <s v="CUST1058"/>
        <s v="CUST1059"/>
        <s v="CUST1060"/>
        <s v="CUST1061"/>
        <s v="CUST1062"/>
        <s v="CUST1063"/>
        <s v="CUST1064"/>
        <s v="CUST1065"/>
        <s v="CUST1066"/>
        <s v="CUST1067"/>
        <s v="CUST1068"/>
        <s v="CUST1069"/>
        <s v="CUST1070"/>
        <s v="CUST1071"/>
        <s v="CUST1072"/>
        <s v="CUST1073"/>
        <s v="CUST1074"/>
        <s v="CUST1075"/>
        <s v="CUST1076"/>
        <s v="CUST1077"/>
        <s v="CUST1078"/>
        <s v="CUST1079"/>
        <s v="CUST1080"/>
        <s v="CUST1081"/>
        <s v="CUST1082"/>
        <s v="CUST1083"/>
        <s v="CUST1084"/>
        <s v="CUST1085"/>
        <s v="CUST1086"/>
        <s v="CUST1087"/>
        <s v="CUST1088"/>
        <s v="CUST1089"/>
        <s v="CUST1090"/>
        <s v="CUST1091"/>
        <s v="CUST1092"/>
        <s v="CUST1093"/>
        <s v="CUST1094"/>
        <s v="CUST1095"/>
        <s v="CUST1096"/>
        <s v="CUST1097"/>
        <s v="CUST1098"/>
        <s v="CUST1099"/>
        <s v="CUST1100"/>
        <s v="CUST1101"/>
        <s v="CUST1102"/>
        <s v="CUST1103"/>
        <s v="CUST1104"/>
        <s v="CUST1105"/>
        <s v="CUST1106"/>
        <s v="CUST1107"/>
        <s v="CUST1108"/>
        <s v="CUST1109"/>
        <s v="CUST1110"/>
        <s v="CUST1111"/>
        <s v="CUST1112"/>
        <s v="CUST1113"/>
        <s v="CUST1114"/>
        <s v="CUST1115"/>
        <s v="CUST1116"/>
        <s v="CUST1117"/>
        <s v="CUST1118"/>
        <s v="CUST1119"/>
        <s v="CUST1120"/>
        <s v="CUST1121"/>
        <s v="CUST1122"/>
        <s v="CUST1123"/>
        <s v="CUST1124"/>
        <s v="CUST1125"/>
        <s v="CUST1126"/>
        <s v="CUST1127"/>
        <s v="CUST1128"/>
        <s v="CUST1129"/>
        <s v="CUST1130"/>
        <s v="CUST1131"/>
        <s v="CUST1132"/>
        <s v="CUST1133"/>
        <s v="CUST1134"/>
        <s v="CUST1135"/>
        <s v="CUST1136"/>
        <s v="CUST1137"/>
        <s v="CUST1138"/>
        <s v="CUST1139"/>
        <s v="CUST1140"/>
        <s v="CUST1141"/>
        <s v="CUST1142"/>
        <s v="CUST1143"/>
        <s v="CUST1144"/>
        <s v="CUST1145"/>
        <s v="CUST1146"/>
        <s v="CUST1147"/>
        <s v="CUST1148"/>
        <s v="CUST1149"/>
        <s v="CUST1150"/>
        <s v="CUST1151"/>
        <s v="CUST1152"/>
        <s v="CUST1153"/>
        <s v="CUST1154"/>
        <s v="CUST1155"/>
        <s v="CUST1156"/>
        <s v="CUST1157"/>
        <s v="CUST1158"/>
        <s v="CUST1159"/>
        <s v="CUST1160"/>
        <s v="CUST1161"/>
        <s v="CUST1162"/>
        <s v="CUST1163"/>
        <s v="CUST1164"/>
        <s v="CUST1165"/>
        <s v="CUST1166"/>
        <s v="CUST1167"/>
        <s v="CUST1168"/>
        <s v="CUST1169"/>
        <s v="CUST1170"/>
        <s v="CUST1171"/>
        <s v="CUST1172"/>
        <s v="CUST1173"/>
        <s v="CUST1174"/>
        <s v="CUST1175"/>
        <s v="CUST1176"/>
        <s v="CUST1177"/>
        <s v="CUST1178"/>
        <s v="CUST1179"/>
        <s v="CUST1180"/>
        <s v="CUST1181"/>
        <s v="CUST1182"/>
        <s v="CUST1183"/>
        <s v="CUST1184"/>
        <s v="CUST1185"/>
        <s v="CUST1186"/>
        <s v="CUST1187"/>
        <s v="CUST1188"/>
        <s v="CUST1189"/>
        <s v="CUST1190"/>
        <s v="CUST1191"/>
        <s v="CUST1192"/>
        <s v="CUST1193"/>
        <s v="CUST1194"/>
        <s v="CUST1195"/>
        <s v="CUST1196"/>
        <s v="CUST1197"/>
        <s v="CUST1198"/>
        <s v="CUST1199"/>
        <s v="CUST1200"/>
        <s v="CUST1201"/>
        <s v="CUST1202"/>
        <s v="CUST1203"/>
        <s v="CUST1204"/>
        <s v="CUST1205"/>
        <s v="CUST1206"/>
        <s v="CUST1207"/>
        <s v="CUST1208"/>
        <s v="CUST1209"/>
        <s v="CUST1210"/>
        <s v="CUST1211"/>
        <s v="CUST1212"/>
        <s v="CUST1213"/>
        <s v="CUST1214"/>
        <s v="CUST1215"/>
        <s v="CUST1216"/>
        <s v="CUST1217"/>
        <s v="CUST1218"/>
        <s v="CUST1219"/>
        <s v="CUST1220"/>
        <s v="CUST1221"/>
        <s v="CUST1222"/>
        <s v="CUST1223"/>
        <s v="CUST1224"/>
        <s v="CUST1225"/>
        <s v="CUST1226"/>
        <s v="CUST1227"/>
        <s v="CUST1228"/>
        <s v="CUST1229"/>
        <s v="CUST1230"/>
        <s v="CUST1231"/>
        <s v="CUST1232"/>
        <s v="CUST1233"/>
        <s v="CUST1234"/>
        <s v="CUST1235"/>
        <s v="CUST1236"/>
        <s v="CUST1237"/>
        <s v="CUST1238"/>
        <s v="CUST1239"/>
        <s v="CUST1240"/>
        <s v="CUST1241"/>
        <s v="CUST1242"/>
        <s v="CUST1243"/>
        <s v="CUST1244"/>
        <s v="CUST1245"/>
        <s v="CUST1246"/>
        <s v="CUST1247"/>
        <s v="CUST1248"/>
        <s v="CUST1249"/>
        <s v="CUST1250"/>
        <s v="CUST1251"/>
        <s v="CUST1252"/>
        <s v="CUST1253"/>
        <s v="CUST1254"/>
        <s v="CUST1255"/>
        <s v="CUST1256"/>
        <s v="CUST1257"/>
        <s v="CUST1258"/>
        <s v="CUST1259"/>
        <s v="CUST1260"/>
        <s v="CUST1261"/>
        <s v="CUST1262"/>
        <s v="CUST1263"/>
        <s v="CUST1264"/>
        <s v="CUST1265"/>
        <s v="CUST1266"/>
        <s v="CUST1267"/>
        <s v="CUST1268"/>
        <s v="CUST1269"/>
        <s v="CUST1270"/>
        <s v="CUST1271"/>
        <s v="CUST1272"/>
        <s v="CUST1273"/>
        <s v="CUST1274"/>
        <s v="CUST1275"/>
        <s v="CUST1276"/>
        <s v="CUST1277"/>
        <s v="CUST1278"/>
        <s v="CUST1279"/>
        <s v="CUST1280"/>
        <s v="CUST1281"/>
        <s v="CUST1282"/>
        <s v="CUST1283"/>
        <s v="CUST1284"/>
        <s v="CUST1285"/>
        <s v="CUST1286"/>
        <s v="CUST1287"/>
        <s v="CUST1288"/>
        <s v="CUST1289"/>
        <s v="CUST1290"/>
        <s v="CUST1291"/>
        <s v="CUST1292"/>
        <s v="CUST1293"/>
        <s v="CUST1294"/>
        <s v="CUST1295"/>
        <s v="CUST1296"/>
        <s v="CUST1297"/>
        <s v="CUST1298"/>
        <s v="CUST1299"/>
        <s v="CUST1300"/>
        <s v="CUST1301"/>
        <s v="CUST1302"/>
        <s v="CUST1303"/>
        <s v="CUST1304"/>
        <s v="CUST1305"/>
        <s v="CUST1306"/>
        <s v="CUST1307"/>
        <s v="CUST1308"/>
        <s v="CUST1309"/>
        <s v="CUST1310"/>
        <s v="CUST1311"/>
        <s v="CUST1312"/>
        <s v="CUST1313"/>
        <s v="CUST1314"/>
        <s v="CUST1315"/>
        <s v="CUST1316"/>
        <s v="CUST1317"/>
        <s v="CUST1318"/>
        <s v="CUST1319"/>
        <s v="CUST1320"/>
        <s v="CUST1321"/>
        <s v="CUST1322"/>
        <s v="CUST1323"/>
        <s v="CUST1324"/>
        <s v="CUST1325"/>
        <s v="CUST1326"/>
        <s v="CUST1327"/>
        <s v="CUST1328"/>
        <s v="CUST1329"/>
        <s v="CUST1330"/>
        <s v="CUST1331"/>
        <s v="CUST1332"/>
        <s v="CUST1333"/>
        <s v="CUST1334"/>
        <s v="CUST1335"/>
        <s v="CUST1336"/>
        <s v="CUST1337"/>
        <s v="CUST1338"/>
        <s v="CUST1339"/>
        <s v="CUST1340"/>
        <s v="CUST1341"/>
        <s v="CUST1342"/>
        <s v="CUST1343"/>
        <s v="CUST1344"/>
        <s v="CUST1345"/>
        <s v="CUST1346"/>
        <s v="CUST1347"/>
        <s v="CUST1348"/>
        <s v="CUST1349"/>
        <s v="CUST1350"/>
        <s v="CUST1351"/>
        <s v="CUST1352"/>
        <s v="CUST1353"/>
        <s v="CUST1354"/>
        <s v="CUST1355"/>
        <s v="CUST1356"/>
        <s v="CUST1357"/>
        <s v="CUST1358"/>
        <s v="CUST1359"/>
        <s v="CUST1360"/>
        <s v="CUST1361"/>
        <s v="CUST1362"/>
        <s v="CUST1363"/>
        <s v="CUST1364"/>
        <s v="CUST1365"/>
        <s v="CUST1366"/>
        <s v="CUST1367"/>
        <s v="CUST1368"/>
        <s v="CUST1369"/>
        <s v="CUST1370"/>
        <s v="CUST1371"/>
        <s v="CUST1372"/>
        <s v="CUST1373"/>
        <s v="CUST1374"/>
        <s v="CUST1375"/>
        <s v="CUST1376"/>
        <s v="CUST1377"/>
        <s v="CUST1378"/>
        <s v="CUST1379"/>
        <s v="CUST1380"/>
        <s v="CUST1381"/>
        <s v="CUST1382"/>
        <s v="CUST1383"/>
        <s v="CUST1384"/>
        <s v="CUST1385"/>
        <s v="CUST1386"/>
        <s v="CUST1387"/>
        <s v="CUST1388"/>
        <s v="CUST1389"/>
        <s v="CUST1390"/>
        <s v="CUST1391"/>
        <s v="CUST1392"/>
        <s v="CUST1393"/>
        <s v="CUST1394"/>
        <s v="CUST1395"/>
        <s v="CUST1396"/>
        <s v="CUST1397"/>
        <s v="CUST1398"/>
        <s v="CUST1399"/>
        <s v="CUST1400"/>
        <s v="CUST1401"/>
        <s v="CUST1402"/>
        <s v="CUST1403"/>
        <s v="CUST1404"/>
        <s v="CUST1405"/>
        <s v="CUST1406"/>
        <s v="CUST1407"/>
        <s v="CUST1408"/>
        <s v="CUST1409"/>
        <s v="CUST1410"/>
        <s v="CUST1411"/>
        <s v="CUST1412"/>
        <s v="CUST1413"/>
        <s v="CUST1414"/>
        <s v="CUST1415"/>
        <s v="CUST1416"/>
        <s v="CUST1417"/>
        <s v="CUST1418"/>
        <s v="CUST1419"/>
        <s v="CUST1420"/>
        <s v="CUST1421"/>
        <s v="CUST1422"/>
        <s v="CUST1423"/>
        <s v="CUST1424"/>
        <s v="CUST1425"/>
        <s v="CUST1426"/>
        <s v="CUST1427"/>
        <s v="CUST1428"/>
        <s v="CUST1429"/>
        <s v="CUST1430"/>
        <s v="CUST1431"/>
        <s v="CUST1432"/>
        <s v="CUST1433"/>
        <s v="CUST1434"/>
        <s v="CUST1435"/>
        <s v="CUST1436"/>
        <s v="CUST1437"/>
        <s v="CUST1438"/>
        <s v="CUST1439"/>
        <s v="CUST1440"/>
        <s v="CUST1441"/>
        <s v="CUST1442"/>
        <s v="CUST1443"/>
        <s v="CUST1444"/>
        <s v="CUST1445"/>
        <s v="CUST1446"/>
        <s v="CUST1447"/>
        <s v="CUST1448"/>
        <s v="CUST1449"/>
        <s v="CUST1450"/>
        <s v="CUST1451"/>
        <s v="CUST1452"/>
        <s v="CUST1453"/>
        <s v="CUST1454"/>
        <s v="CUST1455"/>
        <s v="CUST1456"/>
        <s v="CUST1457"/>
        <s v="CUST1458"/>
        <s v="CUST1459"/>
        <s v="CUST1460"/>
        <s v="CUST1461"/>
        <s v="CUST1462"/>
        <s v="CUST1463"/>
        <s v="CUST1464"/>
        <s v="CUST1465"/>
        <s v="CUST1466"/>
        <s v="CUST1467"/>
        <s v="CUST1468"/>
        <s v="CUST1469"/>
        <s v="CUST1470"/>
        <s v="CUST1471"/>
        <s v="CUST1472"/>
        <s v="CUST1473"/>
        <s v="CUST1474"/>
        <s v="CUST1475"/>
        <s v="CUST1476"/>
        <s v="CUST1477"/>
        <s v="CUST1478"/>
        <s v="CUST1479"/>
        <s v="CUST1480"/>
        <s v="CUST1481"/>
        <s v="CUST1482"/>
        <s v="CUST1483"/>
        <s v="CUST1484"/>
        <s v="CUST1485"/>
        <s v="CUST1486"/>
        <s v="CUST1487"/>
        <s v="CUST1488"/>
        <s v="CUST1489"/>
        <s v="CUST1490"/>
        <s v="CUST1491"/>
        <s v="CUST1492"/>
        <s v="CUST1493"/>
        <s v="CUST1494"/>
        <s v="CUST1495"/>
        <s v="CUST1496"/>
        <s v="CUST1497"/>
        <s v="CUST1498"/>
        <s v="CUST1499"/>
        <m/>
      </sharedItems>
    </cacheField>
    <cacheField name="Name" numFmtId="0">
      <sharedItems containsBlank="1">
        <s v="  sheena bonilla  "/>
        <s v="Eugene Nelson"/>
        <s v="dr. Benjamin Price"/>
        <s v="jeremy harris"/>
        <s v="Caroline Collins"/>
        <s v="Christine Vaughn"/>
        <s v="Amber Jackson"/>
        <s v="Daniel Boyd"/>
        <s v="Melissa Howard"/>
        <s v="Ms. Maria Leach"/>
        <s v="Dominic Page"/>
        <s v="Brian Lopez"/>
        <s v="Kenneth Lambert"/>
        <s v="Nathan Hernandez"/>
        <s v="Ashley Cohen"/>
        <s v="Laura Alvarez"/>
        <s v="John Scott"/>
        <s v="Adam Cruz"/>
        <s v="Rhonda Moss"/>
        <s v="Michael Torres"/>
        <s v="Bridget Allen"/>
        <s v="Jeff Martinez"/>
        <s v="   paul fox"/>
        <s v="Jonathan Steele"/>
        <s v="Heather Collins"/>
        <s v="Diana Taylor"/>
        <s v="Amber Carlson"/>
        <s v="Leslie Johnson"/>
        <s v="Joshua Ryan"/>
        <s v="David Arnold"/>
        <s v="Jessica Acevedo"/>
        <s v="Sarah Vance"/>
        <s v="Mike Jennings"/>
        <s v="Robert Jones DDS"/>
        <s v="Christopher Olson"/>
        <s v="Rachel Myers"/>
        <s v="Thomas Phillips"/>
        <s v="Christopher Carter"/>
        <s v="Deanna Simpson"/>
        <s v="Tonya Reynolds"/>
        <s v="Eric Vega"/>
        <s v="James Gibbs"/>
        <s v="William Martin"/>
        <s v="Joseph Snow"/>
        <s v="Denise Williams"/>
        <s v="Jordan Jackson DDS"/>
        <s v="Michelle Garcia DDS"/>
        <s v="Gina Knight"/>
        <s v="April Mullins"/>
        <s v="Timothy Weaver"/>
        <s v="Matthew Hunter Jr."/>
        <s v="Sarah Rodgers"/>
        <s v="Debra Liu"/>
        <s v="Sharon Brown"/>
        <s v="Katherine Dorsey"/>
        <s v="Wayne Mcpherson"/>
        <s v="Christopher Sutton"/>
        <s v="Jay Patel"/>
        <s v="Cheryl Copeland"/>
        <s v="Alyssa Vargas"/>
        <s v="Dr. David Smith"/>
        <s v="Kristin Stein"/>
        <s v="James Bean"/>
        <s v="Michael Daniel"/>
        <s v="Mr. Mason Butler"/>
        <s v="Michael Thomas"/>
        <s v="Cody Diaz"/>
        <s v="Amber Mcclain"/>
        <s v="Mr. Mark Beasley"/>
        <s v="Roy Cole"/>
        <s v="Eric Singh"/>
        <s v="Andrea Perez"/>
        <s v="Tonya Burch"/>
        <s v="Christopher Brown"/>
        <s v="John Mayer"/>
        <s v="Rhonda Morales"/>
        <s v="Nathan Campbell"/>
        <s v="Katherine Young"/>
        <s v="Cody Blake"/>
        <s v="Molly Gardner"/>
        <s v="Jennifer Garcia"/>
        <s v="Krystal Ford"/>
        <s v="George Rosario"/>
        <s v="Thomas Robinson"/>
        <s v="Christy Hoffman"/>
        <s v="Richard Delgado"/>
        <s v="Tammy Miller MD"/>
        <s v="Melissa Duffy MD"/>
        <s v="Timothy Wright"/>
        <s v="Jamie Yoder"/>
        <s v="Oscar Moon"/>
        <s v="Donna Gregory"/>
        <s v="Robert Jackson"/>
        <s v="Christy Vasquez"/>
        <s v="David Patterson"/>
        <s v="Amy Fowler"/>
        <s v="Samantha Walker"/>
        <s v="David Cobb"/>
        <s v="Brittney Morgan"/>
        <s v="Sheila Wilson"/>
        <s v="Diane Watson"/>
        <s v="Colleen Maynard"/>
        <s v="Sarah Schneider"/>
        <s v="Steven Stein"/>
        <s v="Christopher Lester"/>
        <s v="Lance Baker"/>
        <s v="Howard Summers"/>
        <s v="Erica Carney"/>
        <s v="Travis Holland"/>
        <s v="Amy Walker"/>
        <s v="Ashley Griffin"/>
        <s v="Julie Farmer"/>
        <s v="David Cole"/>
        <s v="Edward Hall"/>
        <s v="Ryan Hernandez"/>
        <s v="Tyler Conrad"/>
        <s v="Anthony Phillips"/>
        <s v="Colleen Mccarthy"/>
        <s v="Earl Allen"/>
        <s v="Michael Jones"/>
        <s v="Jacob Hopkins"/>
        <s v="Joel Robinson"/>
        <s v="Michael Chang"/>
        <s v="Erin Hopkins"/>
        <s v="Donald Lee"/>
        <s v="Keith Miller"/>
        <s v="James Wolfe"/>
        <s v="John Mcknight"/>
        <s v="Susan Mcdonald"/>
        <s v="Jessica Mitchell"/>
        <s v="Jamie Reyes"/>
        <s v="Joseph Richards"/>
        <s v="Miguel Reynolds"/>
        <s v="Hayley Pope"/>
        <s v="Morgan Bowen"/>
        <s v="Matthew Hanna"/>
        <s v="Patrick Coleman"/>
        <s v="Rick Dominguez"/>
        <s v="Sean Roth"/>
        <s v="Brian Holder"/>
        <s v="Patty Francis"/>
        <s v="Cristian Wright"/>
        <s v="Maria Ramirez"/>
        <s v="Carlos Skinner"/>
        <s v="Justin Cross"/>
        <s v="Cameron Simpson"/>
        <s v="Edward Rivera"/>
        <s v="Rhonda Young"/>
        <s v="Theresa Campbell"/>
        <s v="Denise Griffin"/>
        <s v="Stephanie Conway"/>
        <s v="Michael Davies"/>
        <s v="Patrick Roberts"/>
        <s v="Joseph Faulkner"/>
        <s v="Julie Hale"/>
        <s v="Curtis Haynes"/>
        <s v="Maria Sanchez"/>
        <s v="Paul Zamora"/>
        <s v="Sean Powell"/>
        <s v="Brian Choi"/>
        <s v="John Lawson"/>
        <s v="Cynthia Morris"/>
        <s v="Mariah Brown"/>
        <s v="Joseph Jones"/>
        <s v="Daniel Rivas"/>
        <s v="Jason Wheeler"/>
        <s v="Patricia Gardner"/>
        <s v="Antonio Wade"/>
        <s v="Daniel Contreras"/>
        <s v="Steve Mclaughlin"/>
        <s v="Christopher Garcia DDS"/>
        <s v="Amy Wilson"/>
        <s v="Thomas Rhodes"/>
        <s v="Teresa Stokes"/>
        <s v="Maria Davis"/>
        <s v="Michelle Rogers"/>
        <s v="John Bradford"/>
        <s v="Curtis Lam"/>
        <s v="Michelle Myers"/>
        <s v="Nicholas Bradshaw"/>
        <s v="Wesley Thompson"/>
        <s v="Erin Ward"/>
        <s v="Melissa Hamilton"/>
        <s v="Mario Jacobs"/>
        <s v="Leonard Cochran"/>
        <s v="Brent Rivas"/>
        <s v="Jennifer Pruitt"/>
        <s v="Dr. Suzanne Bullock"/>
        <s v="Kimberly Brooks"/>
        <s v="Daniel Austin"/>
        <s v="Christopher Stewart"/>
        <s v="Todd Poole"/>
        <s v="Jacob Wood"/>
        <s v="David Roberts"/>
        <s v="Ashley Ferguson"/>
        <s v="Anthony Garcia"/>
        <s v="Megan Greer"/>
        <s v="Andrea Jacobs"/>
        <s v="Wanda Snyder"/>
        <s v="Carmen Price"/>
        <s v="Anna Perez"/>
        <s v="Mary Boyd"/>
        <s v="Christina Garcia"/>
        <s v="Sarah Brady"/>
        <s v="Tiffany Herrera"/>
        <s v="Michelle Carpenter"/>
        <s v="Ronald Jones"/>
        <s v="Jacqueline Pacheco"/>
        <s v="John Perez"/>
        <s v="Joan Johnson"/>
        <s v="Antonio Jones"/>
        <s v="Rodney Huffman"/>
        <s v="Blake Harrison"/>
        <s v="Stuart Johnson"/>
        <s v="Eric Todd"/>
        <s v="Steve Medina"/>
        <s v="Kathryn Garcia"/>
        <s v="Kathy Copeland"/>
        <s v="Julia Jackson"/>
        <s v="Jordan Wells"/>
        <s v="George Davis"/>
        <s v="Lisa Young"/>
        <s v="Alejandro Doyle"/>
        <s v="Robert Harris"/>
        <s v="Anthony Morgan"/>
        <s v="Elizabeth Stanley"/>
        <s v="Alexis Castaneda"/>
        <s v="Gregory Pham"/>
        <s v="Casey Flores"/>
        <s v="Tanner Thompson"/>
        <s v="Timothy Sanders"/>
        <s v="Timothy Juarez"/>
        <s v="Christy Hill"/>
        <s v="Michelle Gonzalez"/>
        <s v="Nathaniel Hill"/>
        <s v="Jon Ortiz"/>
        <s v="Joshua Wilson"/>
        <s v="Wesley Short"/>
        <s v="Steven Smith"/>
        <s v="Maria Hill"/>
        <s v="William Hull"/>
        <s v="Mr. William Horton"/>
        <s v="William Jackson"/>
        <s v="Brian Hammond"/>
        <s v="Nancy Page"/>
        <s v="Laura Soto"/>
        <s v="Mary Russell"/>
        <s v="Douglas Rhodes"/>
        <s v="Nicholas Webb"/>
        <s v="Lauren George"/>
        <s v="Veronica Newman"/>
        <s v="Tyler Garner"/>
        <s v="John Mccoy"/>
        <s v="Dr. Ashley Yates MD"/>
        <s v="Linda Kline"/>
        <s v="Damon Perez"/>
        <s v="Kristen Fischer"/>
        <s v="Christopher David"/>
        <s v="Sarah Stewart"/>
        <s v="Beth Allen"/>
        <s v="Russell Lamb"/>
        <s v="Carol Bishop"/>
        <s v="Katherine Cowan"/>
        <s v="Crystal Davis"/>
        <s v="Matthew Payne"/>
        <s v="Tracy Kelly"/>
        <s v="Cynthia Payne"/>
        <s v="Zachary Shelton"/>
        <s v="Kevin Orr"/>
        <s v="Tyrone Olson"/>
        <s v="Brian Garcia"/>
        <s v="Daisy Johnson DDS"/>
        <s v="Adam Rowland"/>
        <s v="Samantha Robinson"/>
        <s v="Sarah Lane"/>
        <s v="Shannon Miller"/>
        <s v="Arthur Warren"/>
        <s v="Jeffrey Gomez"/>
        <s v="Stephen Fowler"/>
        <s v="Aaron Luna"/>
        <s v="Antonio Leon"/>
        <s v="Brittany Watson"/>
        <s v="Kristi Lopez"/>
        <s v="Bryan Garcia"/>
        <s v="Hunter Sutton"/>
        <s v="Donna Guerra"/>
        <s v="Tommy Roberts"/>
        <s v="Cynthia Roberts"/>
        <s v="Misty Ferguson"/>
        <s v="Jennifer Figueroa"/>
        <s v="Chase Williams MD"/>
        <s v="James Powell"/>
        <s v="Ricardo Jones"/>
        <s v="Gloria Taylor"/>
        <s v="Lisa Chandler"/>
        <s v="Crystal Waters"/>
        <s v="Jared Moran"/>
        <s v="Jennifer Carr"/>
        <s v="Tracy Stephens"/>
        <s v="Stephanie Jacobs"/>
        <s v="Matthew Avery"/>
        <s v="Ryan Kane"/>
        <s v="Edward Cole"/>
        <s v="John Sloan"/>
        <s v="Miss Alexandria Li DVM"/>
        <s v="Roberta Green"/>
        <s v="Angela Robinson"/>
        <s v="Brandy Thompson"/>
        <s v="Jennifer Zamora"/>
        <s v="Stacy Collins"/>
        <s v="Kara Dodson"/>
        <s v="Kevin Larson"/>
        <s v="Jason Mullins"/>
        <s v="Elizabeth Jones"/>
        <s v="Elizabeth Johnson"/>
        <s v="William Rodriguez"/>
        <s v="Robert House"/>
        <s v="Tiffany Williams"/>
        <s v="Madison Wright"/>
        <s v="Casey Simpson"/>
        <s v="Jessica Gonzalez"/>
        <s v="Darren Burton"/>
        <s v="Samuel Arias"/>
        <s v="Kristy Dunlap"/>
        <s v="Alex Mann II"/>
        <s v="Andrew Smith"/>
        <s v="Robert King"/>
        <s v="Reginald Willis"/>
        <s v="Mario Harvey Jr."/>
        <s v="Victor Mcintosh"/>
        <s v="Pamela Mcguire"/>
        <s v="Maria Phillips"/>
        <s v="Dr. Lindsay Hanna"/>
        <s v="Teresa Johnson"/>
        <s v="Mr. Christopher Sims"/>
        <s v="Jennifer Woods"/>
        <s v="John Jones"/>
        <s v="Carol Lewis"/>
        <s v="Jasmine Snyder"/>
        <s v="Mrs. Susan Buckley"/>
        <s v="Eric Davis"/>
        <s v="Angela Williams"/>
        <s v="Michelle Cunningham"/>
        <s v="Ryan Moore"/>
        <s v="Evelyn Brown"/>
        <s v="Daniel Nelson"/>
        <s v="John Jordan"/>
        <s v="Justin Mason DDS"/>
        <s v="Sherry Cabrera"/>
        <s v="Heather Valenzuela"/>
        <s v="Charles Miller"/>
        <s v="Jeffrey Mccarthy"/>
        <s v="Michael Greene"/>
        <s v="   laura green"/>
        <s v="Ryan Torres"/>
        <s v="Carlos Flores"/>
        <s v="Steve Hunt"/>
        <s v="Manuel Castillo"/>
        <s v="Ashley Anderson"/>
        <s v="Melanie Lam"/>
        <s v="Denise Tate"/>
        <s v="Natalie Johnson"/>
        <s v="Joshua Smith DVM"/>
        <s v="Elizabeth Smith"/>
        <s v="Chloe Aguilar"/>
        <s v="Brandon Mcbride"/>
        <s v="Mallory Allen"/>
        <s v="Melinda Johnson"/>
        <s v="Miranda King"/>
        <s v="Gregory Allen"/>
        <s v="James Holloway Jr."/>
        <s v="Michael Garner"/>
        <s v="Jacqueline Anthony"/>
        <s v="James Orozco"/>
        <s v="Emma Wilson"/>
        <s v="Joshua Bell"/>
        <s v="Michele Burke"/>
        <s v="Charles Conley"/>
        <s v="Frank Stewart"/>
        <s v="Tanya Lopez"/>
        <s v="Shelley Ponce"/>
        <s v="Erika Padilla"/>
        <s v="Martha Brown"/>
        <s v="Kristine Higgins"/>
        <s v="Andrew Mason"/>
        <s v="Tammy Brennan"/>
        <s v="Melanie Mitchell"/>
        <s v="Timothy Gardner"/>
        <s v="Timothy Valenzuela"/>
        <s v="Cynthia Lopez"/>
        <s v="Daniel Bell"/>
        <s v="Heidi Tyler"/>
        <s v="Jacqueline Payne"/>
        <s v="Michael Mcneil"/>
        <s v="Alejandro Evans"/>
        <s v="Brandon Mcguire"/>
        <s v="Alexander Byrd"/>
        <s v="Charles Norman PhD"/>
        <s v="Jennifer Johnson"/>
        <s v="John Donaldson"/>
        <s v="Mark Rogers"/>
        <s v="Terry Moses"/>
        <s v="Cassandra Perez"/>
        <s v="Justin Ingram"/>
        <s v="David Ross"/>
        <s v="Eric Wolfe"/>
        <s v="David Lozano"/>
        <s v="Joseph Mendoza"/>
        <s v="Isabel Foster"/>
        <s v="Sarah Smith"/>
        <s v="Jackie Thompson"/>
        <s v="Katrina Perez"/>
        <s v="Shane Brown"/>
        <s v="Megan Ryan"/>
        <s v="Melissa Valentine"/>
        <s v="Tyler Cook"/>
        <s v="Jennifer Myers"/>
        <s v="Karen King"/>
        <s v="Luke Parks"/>
        <s v="Monica Miller"/>
        <s v="Dr. Tamara White MD"/>
        <s v="Holly Robinson"/>
        <s v="Brittany Edwards DDS"/>
        <s v="Rebecca Baker"/>
        <s v="Edwin Barnes"/>
        <s v="Bryce Hawkins"/>
        <s v="Jeanette Nichols"/>
        <s v="Jose Stewart"/>
        <s v="Samuel Mullins"/>
        <s v="Sean Vang"/>
        <s v="Kimberly Roberts"/>
        <s v="John Smith"/>
        <s v="Summer Weiss"/>
        <s v="Thomas Moore"/>
        <s v="Monique Castro"/>
        <s v="Lindsay Beasley"/>
        <s v="Sharon Simpson"/>
        <s v="Melinda Rivera"/>
        <s v="Monica Flynn"/>
        <s v="John Compton"/>
        <s v="Tammy Trevino"/>
        <s v="Dalton Walters"/>
        <s v="Kelli Smith"/>
        <s v="Adam Castro"/>
        <s v="Cheryl Carr"/>
        <s v="Gene Lee"/>
        <s v="Shannon Turner"/>
        <s v="Monica Wright"/>
        <s v="Eric Holmes"/>
        <s v="William Cortez"/>
        <s v="Shane Mills"/>
        <s v="Ashley Roberts"/>
        <s v="Jeffery Wolf"/>
        <s v="April Phillips"/>
        <s v="John Berg"/>
        <s v="Tyler Weber"/>
        <s v="Julie Powell"/>
        <s v="Christina Robertson"/>
        <s v="Kelly Garrett"/>
        <s v="Justin Johnson"/>
        <s v="Paul Cox"/>
        <s v="Beth Martin"/>
        <s v="Samantha Lee"/>
        <s v="David Pierce"/>
        <s v="Ronald Ross"/>
        <s v="Cynthia Parrish"/>
        <s v="Michael Foley"/>
        <s v="Gregory Curtis"/>
        <s v="James Foster"/>
        <s v="Manuel Fisher"/>
        <s v="Debra Mccullough"/>
        <s v="Philip Mendoza"/>
        <s v="Laura Mathews"/>
        <s v="Joshua Howard"/>
        <s v="Barbara Berry"/>
        <s v="Elizabeth Foster"/>
        <s v="Andrea Harris"/>
        <s v="Earl Smith DDS"/>
        <s v="Dylan Gutierrez"/>
        <s v="Jordan Medina"/>
        <s v="Bryan Tran"/>
        <s v="Sheri Joyce"/>
        <s v="Jessica Castro"/>
        <s v="Sara Ingram"/>
        <s v="Eric Lee"/>
        <s v="Amanda Medina"/>
        <s v="Zachary Andrade"/>
        <s v="Melinda Thomas"/>
        <s v="Scott Harris"/>
        <s v="Kaitlin Brown"/>
        <s v="Darrell Miller"/>
        <s v="Amanda Powell"/>
        <s v="Justin Lopez"/>
        <s v="James Berger"/>
        <s v="Christopher Ford"/>
        <s v="Sarah Marsh"/>
        <s v="Traci Gonzalez"/>
        <s v="Philip Pennington"/>
        <m/>
      </sharedItems>
    </cacheField>
    <cacheField name="Age" numFmtId="0">
      <sharedItems containsString="0" containsBlank="1" containsNumber="1" containsInteger="1">
        <n v="55.0"/>
        <n v="26.0"/>
        <n v="29.0"/>
        <n v="59.0"/>
        <n v="64.0"/>
        <n v="24.0"/>
        <n v="53.0"/>
        <n v="28.0"/>
        <n v="32.0"/>
        <n v="49.0"/>
        <n v="60.0"/>
        <n v="43.0"/>
        <n v="46.0"/>
        <n v="36.0"/>
        <n v="33.0"/>
        <n v="52.0"/>
        <n v="40.0"/>
        <n v="18.0"/>
        <n v="31.0"/>
        <n v="27.0"/>
        <n v="54.0"/>
        <n v="41.0"/>
        <n v="48.0"/>
        <n v="25.0"/>
        <n v="20.0"/>
        <n v="35.0"/>
        <n v="50.0"/>
        <n v="21.0"/>
        <n v="19.0"/>
        <n v="45.0"/>
        <n v="34.0"/>
        <n v="61.0"/>
        <n v="23.0"/>
        <n v="37.0"/>
        <n v="56.0"/>
        <n v="51.0"/>
        <n v="22.0"/>
        <n v="58.0"/>
        <n v="39.0"/>
        <n v="44.0"/>
        <n v="62.0"/>
        <n v="30.0"/>
        <n v="38.0"/>
        <n v="57.0"/>
        <n v="63.0"/>
        <n v="42.0"/>
        <n v="47.0"/>
        <m/>
      </sharedItems>
    </cacheField>
    <cacheField name="Gender" numFmtId="0">
      <sharedItems containsBlank="1">
        <s v="Male"/>
        <s v="Female"/>
        <m/>
      </sharedItems>
    </cacheField>
    <cacheField name="City" numFmtId="0">
      <sharedItems containsBlank="1">
        <s v="Donaldton"/>
        <s v="Phillipsmouth"/>
        <s v="Kylebury"/>
        <s v="Thomastown"/>
        <s v="Nicholasshire"/>
        <s v="East Amandamouth"/>
        <s v="Deborahborough"/>
        <s v="West Pamelafurt"/>
        <s v="Maynardton"/>
        <s v="Melissashire"/>
        <s v="Port Michaelburgh"/>
        <s v="East Krista"/>
        <s v="North Kathryn"/>
        <s v="New Becky"/>
        <s v="Lake Kristamouth"/>
        <s v="Lawsonhaven"/>
        <s v="South Christopher"/>
        <s v="Brandonville"/>
        <s v="South William"/>
        <s v="Gonzalezfort"/>
        <s v="Lake Shaneburgh"/>
        <s v="Smithburgh"/>
        <s v="Michaelton"/>
        <s v="Molinabury"/>
        <s v="Rogerschester"/>
        <s v="Vasqueztown"/>
        <s v="East Michellemouth"/>
        <s v="Mollyshire"/>
        <s v="New David"/>
        <s v="East Jennifer"/>
        <s v="Amybury"/>
        <s v="Johnsonville"/>
        <s v="Fostermouth"/>
        <s v="Tristanton"/>
        <s v="West Richard"/>
        <s v="Robertberg"/>
        <s v="Luisfurt"/>
        <s v="Brendastad"/>
        <s v="Brownport"/>
        <s v="Darleneton"/>
        <s v="Williamsonland"/>
        <s v="Mooneyshire"/>
        <s v="Ryanburgh"/>
        <s v="South Michaelfort"/>
        <s v="Christianstad"/>
        <s v="North Johnview"/>
        <s v="Perezbury"/>
        <s v="Lake Roberthaven"/>
        <s v="Dawsonbury"/>
        <s v="New Amy"/>
        <s v="Gregoryview"/>
        <s v="New Julia"/>
        <s v="South Timtown"/>
        <s v="East Andrea"/>
        <s v="Christopherland"/>
        <s v="Edwardsfort"/>
        <s v="Deborahberg"/>
        <s v="Morrisbury"/>
        <s v="Snowmouth"/>
        <s v="New Kathrynland"/>
        <s v="Schmidtchester"/>
        <s v="Jennifermouth"/>
        <s v="Stevensonton"/>
        <s v="New Jesse"/>
        <s v="Port Kathrynhaven"/>
        <s v="Woodmouth"/>
        <s v="South Aaronside"/>
        <s v="Brendaburgh"/>
        <s v="West Johnchester"/>
        <s v="North Cynthiatown"/>
        <s v="Port Lisa"/>
        <s v="South Shaun"/>
        <s v="Olsonhaven"/>
        <s v="Sandrastad"/>
        <s v="Longport"/>
        <s v="Lake Barryfurt"/>
        <s v="Rodrigueztown"/>
        <s v="North Valeriemouth"/>
        <s v="North Scottport"/>
        <s v="Nicoleborough"/>
        <s v="New Sean"/>
        <s v="South David"/>
        <s v="Leburgh"/>
        <s v="Nicholastown"/>
        <s v="Garyberg"/>
        <s v="West Theodorechester"/>
        <s v="Austinfurt"/>
        <s v="East Jenna"/>
        <s v="Ashleystad"/>
        <s v="New Gabrielleville"/>
        <s v="West Cody"/>
        <s v="South Amandahaven"/>
        <s v="Lake Brandy"/>
        <s v="Port Travisstad"/>
        <s v="New Amyport"/>
        <s v="West Bobbyshire"/>
        <s v="Timothyburgh"/>
        <s v="Lake Thomas"/>
        <s v="Lake Kaylahaven"/>
        <s v="South Dustin"/>
        <s v="North Codyport"/>
        <s v="Singletonmouth"/>
        <s v="Port Joshuachester"/>
        <s v="West Lauren"/>
        <s v="South Jenniferville"/>
        <s v="Port Victoria"/>
        <s v="East Linda"/>
        <s v="North Justin"/>
        <s v="Webstermouth"/>
        <s v="Smithland"/>
        <s v="New Dawnton"/>
        <s v="Rodriguezmouth"/>
        <s v="Lake Michael"/>
        <s v="New William"/>
        <s v="East Donna"/>
        <s v="North Curtischester"/>
        <s v="North Davidport"/>
        <s v="North Katherine"/>
        <s v="New Jenniferburgh"/>
        <s v="North Edwardton"/>
        <s v="lake tylerfort"/>
        <s v="Lake Danielport"/>
        <s v="Kathrynport"/>
        <s v="North Sabrina"/>
        <s v="Wongberg"/>
        <s v="West Jameston"/>
        <s v="Benjaminton"/>
        <s v="South Nathan"/>
        <s v="East Ellen"/>
        <s v="Matthewbury"/>
        <s v="   jonesbury "/>
        <s v="Wigginsville"/>
        <s v="Taylorberg"/>
        <s v="West Stephenville"/>
        <s v="Parksfort"/>
        <s v="Gonzalezbury"/>
        <s v="New Jeffrey"/>
        <s v="North Johnbury"/>
        <s v="Port Travis"/>
        <s v="South Brooke"/>
        <s v="Port Denise"/>
        <s v="West Brandon"/>
        <s v="Dwaynemouth"/>
        <s v="North Anthonychester"/>
        <s v="Michaelfort"/>
        <s v="Chungmouth"/>
        <s v="Lake Nathanfort"/>
        <s v="New Brian"/>
        <s v="West Markhaven"/>
        <s v="Port Frankmouth"/>
        <s v="Lake Stevenfort"/>
        <s v="Jaredville"/>
        <s v="New Leahfurt"/>
        <s v="Owensview"/>
        <s v="Estradaside"/>
        <s v="East Peterbury"/>
        <s v="North Larryfurt"/>
        <s v="South Kevin"/>
        <s v="Floydton"/>
        <s v="New Juliemouth"/>
        <s v="Hessmouth"/>
        <s v="Palmerbury"/>
        <s v="North Matthew"/>
        <s v="Dominiquefort"/>
        <s v="Carolview"/>
        <s v="South Ashleyton"/>
        <s v="New Jasonmouth"/>
        <s v="Robertview"/>
        <s v="Josephmouth"/>
        <s v="New Joseph"/>
        <s v="Morrisburgh"/>
        <s v="Port Richard"/>
        <s v="Avilahaven"/>
        <s v="East Jessicaborough"/>
        <s v="Anabury"/>
        <s v="Butlerberg"/>
        <s v="West Daniel"/>
        <s v="Murphyfurt"/>
        <s v="East Davidmouth"/>
        <s v="New Brianchester"/>
        <s v="Hutchinsonville"/>
        <s v="Port James"/>
        <s v="Port Sherryview"/>
        <s v="North Kellyberg"/>
        <s v="East Justin"/>
        <s v="Lake Blaketon"/>
        <s v="Kingfort"/>
        <s v="Lake Howardberg"/>
        <s v="Amandaside"/>
        <s v="Johnsonshire"/>
        <s v="Lake Samanthafort"/>
        <s v="Port Amanda"/>
        <s v="Sarahmouth"/>
        <s v="Taraberg"/>
        <s v="West John"/>
        <s v="Frostmouth"/>
        <s v="North Briannamouth"/>
        <s v="South Jerry"/>
        <s v="New Logan"/>
        <s v="Clarkeside"/>
        <s v="Johnsonland"/>
        <s v="New Dianebury"/>
        <s v="Lake Danielleton"/>
        <s v="Brownshire"/>
        <s v="South Emily"/>
        <s v="Kathrynview"/>
        <s v="Lake Josephport"/>
        <s v="Matthewborough"/>
        <s v="Garzafort"/>
        <s v="Lyonsfort"/>
        <s v="West Markport"/>
        <s v="Danielstad"/>
        <s v="East Josephside"/>
        <s v="Morrismouth"/>
        <s v="North Christinemouth"/>
        <s v="Edwardland"/>
        <s v="Phillipschester   "/>
        <s v="    lake lisa"/>
        <s v="Maybury"/>
        <s v="East Crystalton"/>
        <s v="East jeremy"/>
        <s v="New Anthonyfurt"/>
        <s v="Bethanyton"/>
        <s v="Pollardton"/>
        <s v="Port Lisashire"/>
        <s v="Aaronmouth"/>
        <s v="Grahamstad"/>
        <s v="Tammyton"/>
        <s v="Clarkport"/>
        <s v="Lake Mark"/>
        <s v="South Angelaport"/>
        <s v="North Larryport"/>
        <s v="Susanstad"/>
        <s v="Port Krista"/>
        <s v="Zamoraborough"/>
        <s v="Heathfort"/>
        <s v="Dawsonchester"/>
        <s v="New Tina"/>
        <s v="North Nicholas"/>
        <s v="West Julia"/>
        <s v="Rodriguezton"/>
        <s v="South Regina"/>
        <s v="Mikehaven"/>
        <s v="Lake Timothy"/>
        <s v="Garciamouth"/>
        <s v="New Daniel"/>
        <s v="Port Coreyfort"/>
        <s v="Robinborough"/>
        <s v="New Maria"/>
        <s v="Masseyland"/>
        <s v="Jasonton"/>
        <s v="Lake Christopher"/>
        <s v="Karenmouth"/>
        <s v="East Richard"/>
        <s v="South Kathrynmouth"/>
        <s v="North Jonathon"/>
        <s v="Lake Saramouth"/>
        <s v="New Ana"/>
        <s v="Sallymouth"/>
        <s v="Grahamfurt"/>
        <s v="West Jamieport"/>
        <s v="South Gina"/>
        <s v="Ryanberg"/>
        <s v="Emilytown"/>
        <s v="Ramosmouth"/>
        <s v="North Stephanie"/>
        <s v="Welchview"/>
        <s v="North Roy"/>
        <s v="Edwardborough"/>
        <s v="North Austinport"/>
        <s v="Ericshire"/>
        <s v="Lake Nicole"/>
        <s v="Port Mariastad"/>
        <s v="Gilltown"/>
        <s v="Morrisville"/>
        <s v="North Joshualand"/>
        <s v="Spencermouth"/>
        <s v="Garciaborough"/>
        <s v="Patrickshire"/>
        <s v="North Robert"/>
        <s v="Port Tonyfort"/>
        <s v="Millerfort"/>
        <s v="North Joseside"/>
        <s v="North Brookestad"/>
        <s v="Sherimouth"/>
        <s v="West Beverlymouth"/>
        <s v="Danielland"/>
        <s v="North Daniel"/>
        <s v="North Michelleport"/>
        <s v="Lake Brett"/>
        <s v="New Joshuatown"/>
        <s v="West Robinmouth"/>
        <s v="Lake Melissashire"/>
        <s v="West Bruceburgh"/>
        <s v="Lake Charlotte"/>
        <s v="East Johntown"/>
        <s v="Port Jenniferton"/>
        <s v="West Joseph"/>
        <s v="New Nicholasstad"/>
        <s v="West Patriciaview"/>
        <s v="Sarahland"/>
        <s v="Randychester"/>
        <s v="Joelside"/>
        <s v="Port Edwardmouth"/>
        <s v="Brianchester"/>
        <s v="Brownburgh"/>
        <s v="Anitaland"/>
        <s v="Port Chad"/>
        <s v="Lake James"/>
        <s v="Richardsport"/>
        <s v="Monicaview"/>
        <s v="West Mathewside"/>
        <s v="South Darrenland"/>
        <s v="Lake Alice"/>
        <s v="North Nicole"/>
        <s v="Whiteport"/>
        <s v="South Zacharychester"/>
        <s v="East Matthew"/>
        <s v="Cindyton"/>
        <s v="Kellybury"/>
        <s v="Jessicaport"/>
        <s v="Tiffanyshire"/>
        <s v="South Jasontown"/>
        <s v="North Kathytown"/>
        <s v="New Paulstad"/>
        <s v="Johnsonbury"/>
        <s v="Donaldsontown"/>
        <s v="West Brendamouth"/>
        <s v="North Michaelborough"/>
        <s v="Ryanport"/>
        <s v="Hudsonfort"/>
        <s v="Stevensbury"/>
        <s v="Johntown"/>
        <s v="Lake Alyssaburgh"/>
        <s v="Amandaborough"/>
        <s v="Cartershire"/>
        <s v="West Victoriaborough"/>
        <s v="North Jonathan"/>
        <s v="Port Crystalberg"/>
        <s v="Peggystad"/>
        <s v="Shannonview"/>
        <s v="New Angiefurt"/>
        <s v="Lake Allisonborough"/>
        <s v="North Samuel"/>
        <s v="Port Saramouth"/>
        <s v="Westbury"/>
        <s v="Guerreroport"/>
        <s v="North Johnfurt"/>
        <s v="North Richard"/>
        <s v="Nealview"/>
        <s v="West Johnmouth"/>
        <s v="East Michaelton"/>
        <s v="Andersonside"/>
        <s v="New Jessechester"/>
        <s v="Melvinton"/>
        <s v="Murphytown"/>
        <s v="Lake Johnside"/>
        <s v="Kellyside"/>
        <s v="North Theresa"/>
        <s v="Kaufmanfurt"/>
        <s v="West Mathew"/>
        <s v="West Bruce"/>
        <s v="Millston"/>
        <s v="Port Crystal"/>
        <s v="Vincentside"/>
        <s v="Simpsonfort"/>
        <s v="Andersonburgh"/>
        <s v="Port Richardshire"/>
        <s v="Chambersberg"/>
        <s v="Nathanshire"/>
        <s v="Fischerborough"/>
        <s v="West Jeffreyburgh"/>
        <s v="South Cassandrachester"/>
        <s v="Andrewsland"/>
        <s v="Novakstad"/>
        <s v="Jennifertown"/>
        <s v="North Michael"/>
        <s v="Lake Brandontown"/>
        <s v="West Laura"/>
        <s v="New Dawn"/>
        <s v="Stevensshire"/>
        <s v="Joseland"/>
        <s v="Deniseberg"/>
        <s v="Dawnstad"/>
        <s v="Gutierrezstad"/>
        <s v="Stewartchester"/>
        <s v="Cannonberg"/>
        <s v="Lake Morganland"/>
        <s v="Parkerview"/>
        <s v="Cheyenneborough"/>
        <s v="New Edward"/>
        <s v="Bookertown"/>
        <s v="Leahmouth"/>
        <s v="Lake Lisaland"/>
        <s v="South Angela"/>
        <s v="Garciaview"/>
        <s v="North Michaelfurt"/>
        <s v="Ashleymouth"/>
        <s v="Port Joshuaville"/>
        <s v="Kathleenport"/>
        <s v="South Edwin"/>
        <s v="West Rebecca"/>
        <s v="Andrewsfurt"/>
        <s v="East Patriciafort"/>
        <s v="Kramerview"/>
        <s v="Marthaborough"/>
        <s v="Kimburgh"/>
        <s v="West Mario"/>
        <s v="Lake David"/>
        <s v="New Benjamin"/>
        <s v="East Amy"/>
        <s v="Aliciahaven"/>
        <s v="New Katherine"/>
        <s v="Lake Alexandra"/>
        <s v="Lake Monique"/>
        <s v="Aguilarland"/>
        <s v="South Robert"/>
        <s v="Hartmouth"/>
        <s v="Davidchester"/>
        <s v="Josephchester"/>
        <s v="South Andrewport"/>
        <s v="Phyllisport"/>
        <s v="Williamsberg"/>
        <s v="New Sarah"/>
        <s v="Wesleyhaven"/>
        <s v="South Michellebury"/>
        <s v="Amberburgh"/>
        <s v="Justinberg"/>
        <s v="Jonesstad"/>
        <s v="North Maryfort"/>
        <s v="New Donnabury"/>
        <s v="Jessicaland"/>
        <s v="Mcfarlandmouth"/>
        <s v="West Jorge"/>
        <s v="Paulside"/>
        <s v="Smithville"/>
        <s v="Port Hannahport"/>
        <s v="Lake Meganstad"/>
        <s v="New Laura"/>
        <s v="Lake Carolyn"/>
        <s v="East Yvette"/>
        <s v="South Barbara"/>
        <s v="Hubbardborough"/>
        <s v="Port Taylorberg"/>
        <s v="Brandontown"/>
        <s v="Hughesview"/>
        <s v="East Julie"/>
        <s v="Burkefurt"/>
        <s v="Port Anthony"/>
        <s v="Grayland"/>
        <s v="Hartmanside"/>
        <s v="Espinozaberg"/>
        <s v="Oneillfurt"/>
        <s v="Bergermouth"/>
        <s v="East Audrey"/>
        <s v="Kanebury"/>
        <s v="Mcdanielfurt"/>
        <s v="Tylermouth"/>
        <s v="Chambersfurt"/>
        <s v="East Christopherhaven"/>
        <s v="Anthonymouth"/>
        <s v="West Kelseyberg"/>
        <s v="West Sarah"/>
        <s v="New Jamesview"/>
        <s v="Robinchester"/>
        <s v="Kelseybury"/>
        <s v="West Tylerfort"/>
        <s v="East Rodney"/>
        <s v="West Markton"/>
        <s v="East Dillonview"/>
        <s v="Lake April"/>
        <s v="East Patriciastad"/>
        <s v="South Davidport"/>
        <s v="Lake Elizabethside"/>
        <s v="North Nataliemouth"/>
        <s v="Kellyberg"/>
        <s v="Port Carol"/>
        <s v="Port Cheryl"/>
        <s v="Bryanmouth"/>
        <s v="North Seanfurt"/>
        <s v="Port William"/>
        <s v="Snyderfurt"/>
        <s v="East Valerieview"/>
        <m/>
      </sharedItems>
    </cacheField>
    <cacheField name="State" numFmtId="0">
      <sharedItems containsBlank="1">
        <s v="North Carolina"/>
        <s v="North Dakota"/>
        <s v="Alabama"/>
        <s v="Ohio"/>
        <s v="California"/>
        <s v="Oregon"/>
        <s v="South Dakota"/>
        <s v="West Virginia"/>
        <s v="New Hampshire"/>
        <s v="Pennsylvania"/>
        <s v="New York"/>
        <s v="Kansas"/>
        <s v="Montana"/>
        <s v="Nebraska"/>
        <s v="Washington"/>
        <s v="Georgia"/>
        <s v="New Jersey"/>
        <s v="Delaware"/>
        <s v="Oklahoma"/>
        <s v="Hawaii"/>
        <s v="Idaho"/>
        <s v="Missouri"/>
        <s v="Utah"/>
        <s v="Arizona"/>
        <s v="Maryland"/>
        <s v="Michigan"/>
        <s v="Alaska"/>
        <s v="Connecticut"/>
        <s v="Vermont"/>
        <s v="Nevada"/>
        <s v="Illinois"/>
        <s v="Minnesota"/>
        <s v="Rhode Island"/>
        <s v="New Mexico"/>
        <s v="Tennessee"/>
        <s v="Florida"/>
        <s v="Indiana"/>
        <s v="Iowa"/>
        <s v="Colorado"/>
        <s v="Virginia"/>
        <s v="Arkansas"/>
        <s v="Mississippi"/>
        <s v="South Carolina"/>
        <s v="Wisconsin"/>
        <s v="Louisiana"/>
        <s v="Texas"/>
        <s v="Maine"/>
        <s v="Kentucky"/>
        <s v="Massachusetts"/>
        <s v="Wyoming"/>
        <m/>
      </sharedItems>
    </cacheField>
    <cacheField name="COUNTRY" numFmtId="0">
      <sharedItems containsBlank="1">
        <s v="USA"/>
        <m/>
      </sharedItems>
    </cacheField>
    <cacheField name="Loyalty_Level" numFmtId="0">
      <sharedItems containsBlank="1">
        <m/>
        <s v="Platinum"/>
        <s v="Bronze"/>
        <s v="Silver"/>
        <s v="Gold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J21" sheet="Store_Dim"/>
  </cacheSource>
  <cacheFields>
    <cacheField name="Store_ID" numFmtId="0">
      <sharedItems>
        <s v="STORE0"/>
        <s v="STORE1"/>
        <s v="STORE2"/>
        <s v="STORE3"/>
        <s v="STORE4"/>
        <s v="STORE5"/>
        <s v="STORE6"/>
        <s v="STORE7"/>
        <s v="STORE8"/>
        <s v="STORE9"/>
        <s v="STORE10"/>
        <s v="STORE11"/>
        <s v="STORE12"/>
        <s v="STORE13"/>
        <s v="STORE14"/>
        <s v="STORE15"/>
        <s v="STORE16"/>
        <s v="STORE17"/>
        <s v="STORE18"/>
        <s v="STORE19"/>
      </sharedItems>
    </cacheField>
    <cacheField name="Region" numFmtId="0">
      <sharedItems>
        <s v="East"/>
        <s v="North"/>
        <s v="South"/>
        <s v="West"/>
      </sharedItems>
    </cacheField>
    <cacheField name="City" numFmtId="0">
      <sharedItems>
        <s v="Washingtonfurt"/>
        <s v="Danielmouth"/>
        <s v="North Nancyview"/>
        <s v="Hoodberg"/>
        <s v="Port Sharon"/>
        <s v="New Michaelchester"/>
        <s v="Port Josephberg"/>
        <s v="Williamsfurt"/>
        <s v="Thompsonborough"/>
        <s v="East Johnstad"/>
        <s v="East Davidville"/>
        <s v="Lake Michael"/>
        <s v="Sabrinatown"/>
        <s v="Johnsonville"/>
        <s v="Christopherland"/>
        <s v="East Jenniferstad"/>
        <s v="New Jimmymouth"/>
        <s v="Bensonhaven"/>
        <s v="East Stevechester"/>
        <s v="Vasquezborough"/>
      </sharedItems>
    </cacheField>
    <cacheField name="Store_Type" numFmtId="0">
      <sharedItems>
        <s v="Flagship"/>
        <s v="Outlet"/>
        <s v="Online"/>
      </sharedItems>
    </cacheField>
    <cacheField name=" " numFmtId="0">
      <sharedItems containsString="0" containsBlank="1">
        <m/>
      </sharedItems>
    </cacheField>
    <cacheField name="Clean_Store_ID" numFmtId="0">
      <sharedItems>
        <s v="STORE0"/>
        <s v="STORE1"/>
        <s v="STORE2"/>
        <s v="STORE3"/>
        <s v="STORE4"/>
        <s v="STORE5"/>
        <s v="STORE6"/>
        <s v="STORE7"/>
        <s v="STORE8"/>
        <s v="STORE9"/>
        <s v="STORE10"/>
        <s v="STORE11"/>
        <s v="STORE12"/>
        <s v="STORE13"/>
        <s v="STORE14"/>
        <s v="STORE15"/>
        <s v="STORE16"/>
        <s v="STORE17"/>
        <s v="STORE18"/>
        <s v="STORE19"/>
      </sharedItems>
    </cacheField>
    <cacheField name="Store_ID_Length" numFmtId="0">
      <sharedItems containsSemiMixedTypes="0" containsString="0" containsNumber="1" containsInteger="1">
        <n v="6.0"/>
        <n v="7.0"/>
      </sharedItems>
    </cacheField>
    <cacheField name="Region_Store_Count" numFmtId="0">
      <sharedItems containsSemiMixedTypes="0" containsString="0" containsNumber="1" containsInteger="1">
        <n v="6.0"/>
        <n v="2.0"/>
      </sharedItems>
    </cacheField>
    <cacheField name="Store_Key" numFmtId="0">
      <sharedItems>
        <s v="STORE0-Washingtonfurt"/>
        <s v="STORE1-Danielmouth"/>
        <s v="STORE2-North Nancyview"/>
        <s v="STORE3-Hoodberg"/>
        <s v="STORE4-Port Sharon"/>
        <s v="STORE5-New Michaelchester"/>
        <s v="STORE6-Port Josephberg"/>
        <s v="STORE7-Williamsfurt"/>
        <s v="STORE8-Thompsonborough"/>
        <s v="STORE9-East Johnstad"/>
        <s v="STORE10-East Davidville"/>
        <s v="STORE11-Lake Michael"/>
        <s v="STORE12-Sabrinatown"/>
        <s v="STORE13-Johnsonville"/>
        <s v="STORE14-Christopherland"/>
        <s v="STORE15-East Jenniferstad"/>
        <s v="STORE16-New Jimmymouth"/>
        <s v="STORE17-Bensonhaven"/>
        <s v="STORE18-East Stevechester"/>
        <s v="STORE19-Vasquezborough"/>
      </sharedItems>
    </cacheField>
    <cacheField name="Validation" numFmtId="0">
      <sharedItems>
        <s v="OK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CUSTOMER_PIVOT_TABLE" cacheId="0" dataCaption="" rowGrandTotals="0" compact="0" compactData="0">
  <location ref="A1:B4" firstHeaderRow="0" firstDataRow="1" firstDataCol="0"/>
  <pivotFields>
    <pivotField name="Customer_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t="default"/>
      </items>
    </pivotField>
    <pivotField name="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name="Gender" axis="axisRow" compact="0" outline="0" multipleItemSelectionAllowed="1" showAll="0" sortType="descending">
      <items>
        <item x="0"/>
        <item x="1"/>
        <item x="2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COUNTRY" compact="0" outline="0" multipleItemSelectionAllowed="1" showAll="0">
      <items>
        <item x="0"/>
        <item x="1"/>
        <item t="default"/>
      </items>
    </pivotField>
    <pivotField name="Loyalty_Level" compact="0" outline="0" multipleItemSelectionAllowed="1" showAll="0">
      <items>
        <item x="0"/>
        <item x="1"/>
        <item x="2"/>
        <item x="3"/>
        <item x="4"/>
        <item t="default"/>
      </items>
    </pivotField>
  </pivotFields>
  <rowFields>
    <field x="3"/>
  </rowFields>
  <dataFields>
    <dataField name="COUNTA of Customer_ID" fld="0" subtotal="count" baseField="0"/>
  </dataFields>
</pivotTableDefinition>
</file>

<file path=xl/pivotTables/pivotTable2.xml><?xml version="1.0" encoding="utf-8"?>
<pivotTableDefinition xmlns="http://schemas.openxmlformats.org/spreadsheetml/2006/main" name="STORE_PIVOT_TABLE" cacheId="1" dataCaption="" rowGrandTotals="0" compact="0" compactData="0">
  <location ref="A1:B5" firstHeaderRow="0" firstDataRow="1" firstDataCol="0"/>
  <pivotFields>
    <pivotField name="Store_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Region" axis="axisRow" compact="0" outline="0" multipleItemSelectionAllowed="1" showAll="0" sortType="ascending">
      <items>
        <item x="0"/>
        <item x="1"/>
        <item x="2"/>
        <item x="3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Store_Type" compact="0" outline="0" multipleItemSelectionAllowed="1" showAll="0">
      <items>
        <item x="0"/>
        <item x="1"/>
        <item x="2"/>
        <item t="default"/>
      </items>
    </pivotField>
    <pivotField name=" " compact="0" outline="0" multipleItemSelectionAllowed="1" showAll="0">
      <items>
        <item x="0"/>
        <item t="default"/>
      </items>
    </pivotField>
    <pivotField name="Clean_Store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Store_ID_Length" compact="0" outline="0" multipleItemSelectionAllowed="1" showAll="0">
      <items>
        <item x="0"/>
        <item x="1"/>
        <item t="default"/>
      </items>
    </pivotField>
    <pivotField name="Region_Store_Count" compact="0" outline="0" multipleItemSelectionAllowed="1" showAll="0">
      <items>
        <item x="0"/>
        <item x="1"/>
        <item t="default"/>
      </items>
    </pivotField>
    <pivotField name="Store_Ke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Validation" compact="0" outline="0" multipleItemSelectionAllowed="1" showAll="0">
      <items>
        <item x="0"/>
        <item t="default"/>
      </items>
    </pivotField>
  </pivotFields>
  <rowFields>
    <field x="1"/>
  </rowFields>
  <dataFields>
    <dataField name="COUNTA of Store_ID" fld="0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86"/>
    <col customWidth="1" min="2" max="2" width="16.86"/>
    <col customWidth="1" min="3" max="4" width="8.71"/>
    <col customWidth="1" min="5" max="5" width="24.29"/>
    <col customWidth="1" min="6" max="6" width="20.14"/>
    <col customWidth="1" min="7" max="7" width="12.14"/>
    <col customWidth="1" min="8" max="8" width="23.14"/>
    <col customWidth="1" min="9" max="9" width="16.71"/>
    <col customWidth="1" min="10" max="10" width="17.29"/>
    <col customWidth="1" min="11" max="11" width="20.71"/>
    <col customWidth="1" min="12" max="12" width="17.14"/>
    <col customWidth="1" min="13" max="13" width="14.29"/>
    <col customWidth="1" min="14" max="14" width="19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ht="14.25" customHeight="1">
      <c r="A2" s="4" t="s">
        <v>14</v>
      </c>
      <c r="B2" s="4" t="s">
        <v>15</v>
      </c>
      <c r="C2" s="4">
        <v>55.0</v>
      </c>
      <c r="D2" s="4" t="s">
        <v>16</v>
      </c>
      <c r="E2" s="4" t="s">
        <v>17</v>
      </c>
      <c r="F2" s="4" t="s">
        <v>18</v>
      </c>
      <c r="G2" s="4" t="s">
        <v>19</v>
      </c>
      <c r="I2" s="4" t="str">
        <f t="shared" ref="I2:I501" si="2">PROPER(B2)</f>
        <v>  Sheena Bonilla  </v>
      </c>
      <c r="J2" s="4" t="str">
        <f t="shared" ref="J2:K2" si="1">TRIM(PROPER(E2))</f>
        <v>Donaldton</v>
      </c>
      <c r="K2" s="4" t="str">
        <f t="shared" si="1"/>
        <v>North Carolina</v>
      </c>
      <c r="L2" s="4" t="str">
        <f t="shared" ref="L2:L501" si="4">TRIM(PROPER(D2))</f>
        <v>Male</v>
      </c>
      <c r="M2" s="4" t="str">
        <f t="shared" ref="M2:M501" si="5">IF(H2="","Standard",H2)</f>
        <v>Standard</v>
      </c>
      <c r="N2" s="4" t="str">
        <f t="shared" ref="N2:N501" si="6">IF(OR(C2&lt;18,C2&gt;70),"Check","OK")</f>
        <v>OK</v>
      </c>
    </row>
    <row r="3" ht="14.25" customHeight="1">
      <c r="A3" s="4" t="s">
        <v>20</v>
      </c>
      <c r="B3" s="4" t="s">
        <v>21</v>
      </c>
      <c r="C3" s="4">
        <v>26.0</v>
      </c>
      <c r="D3" s="4" t="s">
        <v>22</v>
      </c>
      <c r="E3" s="4" t="s">
        <v>23</v>
      </c>
      <c r="F3" s="4" t="s">
        <v>24</v>
      </c>
      <c r="G3" s="4" t="s">
        <v>19</v>
      </c>
      <c r="H3" s="4" t="s">
        <v>25</v>
      </c>
      <c r="I3" s="4" t="str">
        <f t="shared" si="2"/>
        <v>Eugene Nelson</v>
      </c>
      <c r="J3" s="4" t="str">
        <f t="shared" ref="J3:K3" si="3">TRIM(PROPER(E3))</f>
        <v>Phillipsmouth</v>
      </c>
      <c r="K3" s="4" t="str">
        <f t="shared" si="3"/>
        <v>North Dakota</v>
      </c>
      <c r="L3" s="4" t="str">
        <f t="shared" si="4"/>
        <v>Female</v>
      </c>
      <c r="M3" s="4" t="str">
        <f t="shared" si="5"/>
        <v>Platinum</v>
      </c>
      <c r="N3" s="4" t="str">
        <f t="shared" si="6"/>
        <v>OK</v>
      </c>
    </row>
    <row r="4" ht="14.25" customHeight="1">
      <c r="A4" s="4" t="s">
        <v>26</v>
      </c>
      <c r="B4" s="4" t="s">
        <v>27</v>
      </c>
      <c r="C4" s="4">
        <v>29.0</v>
      </c>
      <c r="D4" s="4" t="s">
        <v>22</v>
      </c>
      <c r="E4" s="4" t="s">
        <v>28</v>
      </c>
      <c r="F4" s="4" t="s">
        <v>29</v>
      </c>
      <c r="G4" s="4" t="s">
        <v>19</v>
      </c>
      <c r="H4" s="4" t="s">
        <v>25</v>
      </c>
      <c r="I4" s="4" t="str">
        <f t="shared" si="2"/>
        <v>Dr. Benjamin Price</v>
      </c>
      <c r="J4" s="4" t="str">
        <f t="shared" ref="J4:K4" si="7">TRIM(PROPER(E4))</f>
        <v>Kylebury</v>
      </c>
      <c r="K4" s="4" t="str">
        <f t="shared" si="7"/>
        <v>Alabama</v>
      </c>
      <c r="L4" s="4" t="str">
        <f t="shared" si="4"/>
        <v>Female</v>
      </c>
      <c r="M4" s="4" t="str">
        <f t="shared" si="5"/>
        <v>Platinum</v>
      </c>
      <c r="N4" s="4" t="str">
        <f t="shared" si="6"/>
        <v>OK</v>
      </c>
    </row>
    <row r="5" ht="14.25" customHeight="1">
      <c r="A5" s="4" t="s">
        <v>30</v>
      </c>
      <c r="B5" s="4" t="s">
        <v>31</v>
      </c>
      <c r="C5" s="4">
        <v>59.0</v>
      </c>
      <c r="D5" s="4" t="s">
        <v>22</v>
      </c>
      <c r="E5" s="4" t="s">
        <v>32</v>
      </c>
      <c r="F5" s="4" t="s">
        <v>33</v>
      </c>
      <c r="G5" s="4" t="s">
        <v>19</v>
      </c>
      <c r="H5" s="4" t="s">
        <v>34</v>
      </c>
      <c r="I5" s="4" t="str">
        <f t="shared" si="2"/>
        <v>Jeremy Harris</v>
      </c>
      <c r="J5" s="4" t="str">
        <f t="shared" ref="J5:K5" si="8">TRIM(PROPER(E5))</f>
        <v>Thomastown</v>
      </c>
      <c r="K5" s="4" t="str">
        <f t="shared" si="8"/>
        <v>Ohio</v>
      </c>
      <c r="L5" s="4" t="str">
        <f t="shared" si="4"/>
        <v>Female</v>
      </c>
      <c r="M5" s="4" t="str">
        <f t="shared" si="5"/>
        <v>Bronze</v>
      </c>
      <c r="N5" s="4" t="str">
        <f t="shared" si="6"/>
        <v>OK</v>
      </c>
    </row>
    <row r="6" ht="14.25" customHeight="1">
      <c r="A6" s="4" t="s">
        <v>35</v>
      </c>
      <c r="B6" s="4" t="s">
        <v>36</v>
      </c>
      <c r="C6" s="4">
        <v>64.0</v>
      </c>
      <c r="D6" s="4" t="s">
        <v>22</v>
      </c>
      <c r="E6" s="4" t="s">
        <v>37</v>
      </c>
      <c r="F6" s="4" t="s">
        <v>38</v>
      </c>
      <c r="G6" s="4" t="s">
        <v>19</v>
      </c>
      <c r="H6" s="4" t="s">
        <v>39</v>
      </c>
      <c r="I6" s="4" t="str">
        <f t="shared" si="2"/>
        <v>Caroline Collins</v>
      </c>
      <c r="J6" s="4" t="str">
        <f t="shared" ref="J6:K6" si="9">TRIM(PROPER(E6))</f>
        <v>Nicholasshire</v>
      </c>
      <c r="K6" s="4" t="str">
        <f t="shared" si="9"/>
        <v>California</v>
      </c>
      <c r="L6" s="4" t="str">
        <f t="shared" si="4"/>
        <v>Female</v>
      </c>
      <c r="M6" s="4" t="str">
        <f t="shared" si="5"/>
        <v>Silver</v>
      </c>
      <c r="N6" s="4" t="str">
        <f t="shared" si="6"/>
        <v>OK</v>
      </c>
    </row>
    <row r="7" ht="14.25" customHeight="1">
      <c r="A7" s="4" t="s">
        <v>40</v>
      </c>
      <c r="B7" s="4" t="s">
        <v>41</v>
      </c>
      <c r="C7" s="4">
        <v>24.0</v>
      </c>
      <c r="D7" s="4" t="s">
        <v>16</v>
      </c>
      <c r="E7" s="4" t="s">
        <v>42</v>
      </c>
      <c r="F7" s="4" t="s">
        <v>43</v>
      </c>
      <c r="G7" s="4" t="s">
        <v>19</v>
      </c>
      <c r="H7" s="4" t="s">
        <v>34</v>
      </c>
      <c r="I7" s="4" t="str">
        <f t="shared" si="2"/>
        <v>Christine Vaughn</v>
      </c>
      <c r="J7" s="4" t="str">
        <f t="shared" ref="J7:K7" si="10">TRIM(PROPER(E7))</f>
        <v>East Amandamouth</v>
      </c>
      <c r="K7" s="4" t="str">
        <f t="shared" si="10"/>
        <v>Oregon</v>
      </c>
      <c r="L7" s="4" t="str">
        <f t="shared" si="4"/>
        <v>Male</v>
      </c>
      <c r="M7" s="4" t="str">
        <f t="shared" si="5"/>
        <v>Bronze</v>
      </c>
      <c r="N7" s="4" t="str">
        <f t="shared" si="6"/>
        <v>OK</v>
      </c>
    </row>
    <row r="8" ht="14.25" customHeight="1">
      <c r="A8" s="4" t="s">
        <v>44</v>
      </c>
      <c r="B8" s="4" t="s">
        <v>45</v>
      </c>
      <c r="C8" s="4">
        <v>29.0</v>
      </c>
      <c r="D8" s="4" t="s">
        <v>22</v>
      </c>
      <c r="E8" s="4" t="s">
        <v>46</v>
      </c>
      <c r="F8" s="4" t="s">
        <v>47</v>
      </c>
      <c r="G8" s="4" t="s">
        <v>19</v>
      </c>
      <c r="H8" s="4" t="s">
        <v>25</v>
      </c>
      <c r="I8" s="4" t="str">
        <f t="shared" si="2"/>
        <v>Amber Jackson</v>
      </c>
      <c r="J8" s="4" t="str">
        <f t="shared" ref="J8:K8" si="11">TRIM(PROPER(E8))</f>
        <v>Deborahborough</v>
      </c>
      <c r="K8" s="4" t="str">
        <f t="shared" si="11"/>
        <v>South Dakota</v>
      </c>
      <c r="L8" s="4" t="str">
        <f t="shared" si="4"/>
        <v>Female</v>
      </c>
      <c r="M8" s="4" t="str">
        <f t="shared" si="5"/>
        <v>Platinum</v>
      </c>
      <c r="N8" s="4" t="str">
        <f t="shared" si="6"/>
        <v>OK</v>
      </c>
    </row>
    <row r="9" ht="14.25" customHeight="1">
      <c r="A9" s="4" t="s">
        <v>48</v>
      </c>
      <c r="B9" s="4" t="s">
        <v>49</v>
      </c>
      <c r="C9" s="4">
        <v>29.0</v>
      </c>
      <c r="D9" s="4" t="s">
        <v>22</v>
      </c>
      <c r="E9" s="4" t="s">
        <v>50</v>
      </c>
      <c r="F9" s="4" t="s">
        <v>51</v>
      </c>
      <c r="G9" s="4" t="s">
        <v>19</v>
      </c>
      <c r="H9" s="4" t="s">
        <v>34</v>
      </c>
      <c r="I9" s="4" t="str">
        <f t="shared" si="2"/>
        <v>Daniel Boyd</v>
      </c>
      <c r="J9" s="4" t="str">
        <f t="shared" ref="J9:K9" si="12">TRIM(PROPER(E9))</f>
        <v>West Pamelafurt</v>
      </c>
      <c r="K9" s="4" t="str">
        <f t="shared" si="12"/>
        <v>West Virginia</v>
      </c>
      <c r="L9" s="4" t="str">
        <f t="shared" si="4"/>
        <v>Female</v>
      </c>
      <c r="M9" s="4" t="str">
        <f t="shared" si="5"/>
        <v>Bronze</v>
      </c>
      <c r="N9" s="4" t="str">
        <f t="shared" si="6"/>
        <v>OK</v>
      </c>
    </row>
    <row r="10" ht="14.25" customHeight="1">
      <c r="A10" s="4" t="s">
        <v>52</v>
      </c>
      <c r="B10" s="4" t="s">
        <v>53</v>
      </c>
      <c r="C10" s="4">
        <v>53.0</v>
      </c>
      <c r="D10" s="4" t="s">
        <v>22</v>
      </c>
      <c r="E10" s="4" t="s">
        <v>54</v>
      </c>
      <c r="F10" s="4" t="s">
        <v>55</v>
      </c>
      <c r="G10" s="4" t="s">
        <v>19</v>
      </c>
      <c r="H10" s="4" t="s">
        <v>56</v>
      </c>
      <c r="I10" s="4" t="str">
        <f t="shared" si="2"/>
        <v>Melissa Howard</v>
      </c>
      <c r="J10" s="4" t="str">
        <f t="shared" ref="J10:K10" si="13">TRIM(PROPER(E10))</f>
        <v>Maynardton</v>
      </c>
      <c r="K10" s="4" t="str">
        <f t="shared" si="13"/>
        <v>New Hampshire</v>
      </c>
      <c r="L10" s="4" t="str">
        <f t="shared" si="4"/>
        <v>Female</v>
      </c>
      <c r="M10" s="4" t="str">
        <f t="shared" si="5"/>
        <v>Gold</v>
      </c>
      <c r="N10" s="4" t="str">
        <f t="shared" si="6"/>
        <v>OK</v>
      </c>
    </row>
    <row r="11" ht="14.25" customHeight="1">
      <c r="A11" s="4" t="s">
        <v>57</v>
      </c>
      <c r="B11" s="4" t="s">
        <v>58</v>
      </c>
      <c r="C11" s="4">
        <v>64.0</v>
      </c>
      <c r="D11" s="4" t="s">
        <v>16</v>
      </c>
      <c r="E11" s="4" t="s">
        <v>59</v>
      </c>
      <c r="F11" s="4" t="s">
        <v>60</v>
      </c>
      <c r="G11" s="4" t="s">
        <v>19</v>
      </c>
      <c r="H11" s="4" t="s">
        <v>25</v>
      </c>
      <c r="I11" s="4" t="str">
        <f t="shared" si="2"/>
        <v>Ms. Maria Leach</v>
      </c>
      <c r="J11" s="4" t="str">
        <f t="shared" ref="J11:K11" si="14">TRIM(PROPER(E11))</f>
        <v>Melissashire</v>
      </c>
      <c r="K11" s="4" t="str">
        <f t="shared" si="14"/>
        <v>Pennsylvania</v>
      </c>
      <c r="L11" s="4" t="str">
        <f t="shared" si="4"/>
        <v>Male</v>
      </c>
      <c r="M11" s="4" t="str">
        <f t="shared" si="5"/>
        <v>Platinum</v>
      </c>
      <c r="N11" s="4" t="str">
        <f t="shared" si="6"/>
        <v>OK</v>
      </c>
    </row>
    <row r="12" ht="14.25" customHeight="1">
      <c r="A12" s="4" t="s">
        <v>61</v>
      </c>
      <c r="B12" s="4" t="s">
        <v>62</v>
      </c>
      <c r="C12" s="4">
        <v>53.0</v>
      </c>
      <c r="D12" s="4" t="s">
        <v>16</v>
      </c>
      <c r="E12" s="4" t="s">
        <v>63</v>
      </c>
      <c r="F12" s="4" t="s">
        <v>60</v>
      </c>
      <c r="G12" s="4" t="s">
        <v>19</v>
      </c>
      <c r="H12" s="4" t="s">
        <v>34</v>
      </c>
      <c r="I12" s="4" t="str">
        <f t="shared" si="2"/>
        <v>Dominic Page</v>
      </c>
      <c r="J12" s="4" t="str">
        <f t="shared" ref="J12:K12" si="15">TRIM(PROPER(E12))</f>
        <v>Port Michaelburgh</v>
      </c>
      <c r="K12" s="4" t="str">
        <f t="shared" si="15"/>
        <v>Pennsylvania</v>
      </c>
      <c r="L12" s="4" t="str">
        <f t="shared" si="4"/>
        <v>Male</v>
      </c>
      <c r="M12" s="4" t="str">
        <f t="shared" si="5"/>
        <v>Bronze</v>
      </c>
      <c r="N12" s="4" t="str">
        <f t="shared" si="6"/>
        <v>OK</v>
      </c>
    </row>
    <row r="13" ht="14.25" customHeight="1">
      <c r="A13" s="4" t="s">
        <v>64</v>
      </c>
      <c r="B13" s="4" t="s">
        <v>65</v>
      </c>
      <c r="C13" s="4">
        <v>28.0</v>
      </c>
      <c r="D13" s="4" t="s">
        <v>22</v>
      </c>
      <c r="E13" s="4" t="s">
        <v>66</v>
      </c>
      <c r="F13" s="4" t="s">
        <v>67</v>
      </c>
      <c r="G13" s="4" t="s">
        <v>19</v>
      </c>
      <c r="H13" s="4" t="s">
        <v>56</v>
      </c>
      <c r="I13" s="4" t="str">
        <f t="shared" si="2"/>
        <v>Brian Lopez</v>
      </c>
      <c r="J13" s="4" t="str">
        <f t="shared" ref="J13:K13" si="16">TRIM(PROPER(E13))</f>
        <v>East Krista</v>
      </c>
      <c r="K13" s="4" t="str">
        <f t="shared" si="16"/>
        <v>New York</v>
      </c>
      <c r="L13" s="4" t="str">
        <f t="shared" si="4"/>
        <v>Female</v>
      </c>
      <c r="M13" s="4" t="str">
        <f t="shared" si="5"/>
        <v>Gold</v>
      </c>
      <c r="N13" s="4" t="str">
        <f t="shared" si="6"/>
        <v>OK</v>
      </c>
    </row>
    <row r="14" ht="14.25" customHeight="1">
      <c r="A14" s="4" t="s">
        <v>68</v>
      </c>
      <c r="B14" s="4" t="s">
        <v>69</v>
      </c>
      <c r="C14" s="4">
        <v>55.0</v>
      </c>
      <c r="D14" s="4" t="s">
        <v>22</v>
      </c>
      <c r="E14" s="4" t="s">
        <v>70</v>
      </c>
      <c r="F14" s="4" t="s">
        <v>71</v>
      </c>
      <c r="G14" s="4" t="s">
        <v>19</v>
      </c>
      <c r="H14" s="4" t="s">
        <v>25</v>
      </c>
      <c r="I14" s="4" t="str">
        <f t="shared" si="2"/>
        <v>Kenneth Lambert</v>
      </c>
      <c r="J14" s="4" t="str">
        <f t="shared" ref="J14:K14" si="17">TRIM(PROPER(E14))</f>
        <v>North Kathryn</v>
      </c>
      <c r="K14" s="4" t="str">
        <f t="shared" si="17"/>
        <v>Kansas</v>
      </c>
      <c r="L14" s="4" t="str">
        <f t="shared" si="4"/>
        <v>Female</v>
      </c>
      <c r="M14" s="4" t="str">
        <f t="shared" si="5"/>
        <v>Platinum</v>
      </c>
      <c r="N14" s="4" t="str">
        <f t="shared" si="6"/>
        <v>OK</v>
      </c>
    </row>
    <row r="15" ht="14.25" customHeight="1">
      <c r="A15" s="4" t="s">
        <v>72</v>
      </c>
      <c r="B15" s="4" t="s">
        <v>73</v>
      </c>
      <c r="C15" s="4">
        <v>32.0</v>
      </c>
      <c r="D15" s="4" t="s">
        <v>22</v>
      </c>
      <c r="E15" s="4" t="s">
        <v>74</v>
      </c>
      <c r="F15" s="4" t="s">
        <v>75</v>
      </c>
      <c r="G15" s="4" t="s">
        <v>19</v>
      </c>
      <c r="H15" s="4" t="s">
        <v>39</v>
      </c>
      <c r="I15" s="4" t="str">
        <f t="shared" si="2"/>
        <v>Nathan Hernandez</v>
      </c>
      <c r="J15" s="4" t="str">
        <f t="shared" ref="J15:K15" si="18">TRIM(PROPER(E15))</f>
        <v>New Becky</v>
      </c>
      <c r="K15" s="4" t="str">
        <f t="shared" si="18"/>
        <v>Montana</v>
      </c>
      <c r="L15" s="4" t="str">
        <f t="shared" si="4"/>
        <v>Female</v>
      </c>
      <c r="M15" s="4" t="str">
        <f t="shared" si="5"/>
        <v>Silver</v>
      </c>
      <c r="N15" s="4" t="str">
        <f t="shared" si="6"/>
        <v>OK</v>
      </c>
    </row>
    <row r="16" ht="14.25" customHeight="1">
      <c r="A16" s="4" t="s">
        <v>76</v>
      </c>
      <c r="B16" s="4" t="s">
        <v>77</v>
      </c>
      <c r="C16" s="4">
        <v>53.0</v>
      </c>
      <c r="D16" s="4" t="s">
        <v>22</v>
      </c>
      <c r="E16" s="4" t="s">
        <v>78</v>
      </c>
      <c r="F16" s="4" t="s">
        <v>79</v>
      </c>
      <c r="G16" s="4" t="s">
        <v>19</v>
      </c>
      <c r="H16" s="4" t="s">
        <v>39</v>
      </c>
      <c r="I16" s="4" t="str">
        <f t="shared" si="2"/>
        <v>Ashley Cohen</v>
      </c>
      <c r="J16" s="4" t="str">
        <f t="shared" ref="J16:K16" si="19">TRIM(PROPER(E16))</f>
        <v>Lake Kristamouth</v>
      </c>
      <c r="K16" s="4" t="str">
        <f t="shared" si="19"/>
        <v>Nebraska</v>
      </c>
      <c r="L16" s="4" t="str">
        <f t="shared" si="4"/>
        <v>Female</v>
      </c>
      <c r="M16" s="4" t="str">
        <f t="shared" si="5"/>
        <v>Silver</v>
      </c>
      <c r="N16" s="4" t="str">
        <f t="shared" si="6"/>
        <v>OK</v>
      </c>
    </row>
    <row r="17" ht="14.25" customHeight="1">
      <c r="A17" s="4" t="s">
        <v>80</v>
      </c>
      <c r="B17" s="4" t="s">
        <v>81</v>
      </c>
      <c r="C17" s="4">
        <v>49.0</v>
      </c>
      <c r="D17" s="4" t="s">
        <v>22</v>
      </c>
      <c r="E17" s="4" t="s">
        <v>82</v>
      </c>
      <c r="F17" s="4" t="s">
        <v>83</v>
      </c>
      <c r="G17" s="4" t="s">
        <v>19</v>
      </c>
      <c r="H17" s="4" t="s">
        <v>25</v>
      </c>
      <c r="I17" s="4" t="str">
        <f t="shared" si="2"/>
        <v>Laura Alvarez</v>
      </c>
      <c r="J17" s="4" t="str">
        <f t="shared" ref="J17:K17" si="20">TRIM(PROPER(E17))</f>
        <v>Lawsonhaven</v>
      </c>
      <c r="K17" s="4" t="str">
        <f t="shared" si="20"/>
        <v>Washington</v>
      </c>
      <c r="L17" s="4" t="str">
        <f t="shared" si="4"/>
        <v>Female</v>
      </c>
      <c r="M17" s="4" t="str">
        <f t="shared" si="5"/>
        <v>Platinum</v>
      </c>
      <c r="N17" s="4" t="str">
        <f t="shared" si="6"/>
        <v>OK</v>
      </c>
    </row>
    <row r="18" ht="14.25" customHeight="1">
      <c r="A18" s="4" t="s">
        <v>84</v>
      </c>
      <c r="B18" s="4" t="s">
        <v>85</v>
      </c>
      <c r="C18" s="4">
        <v>24.0</v>
      </c>
      <c r="D18" s="4" t="s">
        <v>22</v>
      </c>
      <c r="E18" s="4" t="s">
        <v>86</v>
      </c>
      <c r="F18" s="4" t="s">
        <v>60</v>
      </c>
      <c r="G18" s="4" t="s">
        <v>19</v>
      </c>
      <c r="H18" s="4" t="s">
        <v>34</v>
      </c>
      <c r="I18" s="4" t="str">
        <f t="shared" si="2"/>
        <v>John Scott</v>
      </c>
      <c r="J18" s="4" t="str">
        <f t="shared" ref="J18:K18" si="21">TRIM(PROPER(E18))</f>
        <v>South Christopher</v>
      </c>
      <c r="K18" s="4" t="str">
        <f t="shared" si="21"/>
        <v>Pennsylvania</v>
      </c>
      <c r="L18" s="4" t="str">
        <f t="shared" si="4"/>
        <v>Female</v>
      </c>
      <c r="M18" s="4" t="str">
        <f t="shared" si="5"/>
        <v>Bronze</v>
      </c>
      <c r="N18" s="4" t="str">
        <f t="shared" si="6"/>
        <v>OK</v>
      </c>
    </row>
    <row r="19" ht="14.25" customHeight="1">
      <c r="A19" s="4" t="s">
        <v>87</v>
      </c>
      <c r="B19" s="4" t="s">
        <v>88</v>
      </c>
      <c r="C19" s="4">
        <v>60.0</v>
      </c>
      <c r="D19" s="4" t="s">
        <v>22</v>
      </c>
      <c r="E19" s="4" t="s">
        <v>89</v>
      </c>
      <c r="F19" s="4" t="s">
        <v>90</v>
      </c>
      <c r="G19" s="4" t="s">
        <v>19</v>
      </c>
      <c r="H19" s="4" t="s">
        <v>25</v>
      </c>
      <c r="I19" s="4" t="str">
        <f t="shared" si="2"/>
        <v>Adam Cruz</v>
      </c>
      <c r="J19" s="4" t="str">
        <f t="shared" ref="J19:K19" si="22">TRIM(PROPER(E19))</f>
        <v>Brandonville</v>
      </c>
      <c r="K19" s="4" t="str">
        <f t="shared" si="22"/>
        <v>Georgia</v>
      </c>
      <c r="L19" s="4" t="str">
        <f t="shared" si="4"/>
        <v>Female</v>
      </c>
      <c r="M19" s="4" t="str">
        <f t="shared" si="5"/>
        <v>Platinum</v>
      </c>
      <c r="N19" s="4" t="str">
        <f t="shared" si="6"/>
        <v>OK</v>
      </c>
    </row>
    <row r="20" ht="14.25" customHeight="1">
      <c r="A20" s="4" t="s">
        <v>91</v>
      </c>
      <c r="B20" s="4" t="s">
        <v>92</v>
      </c>
      <c r="C20" s="4">
        <v>43.0</v>
      </c>
      <c r="D20" s="4" t="s">
        <v>16</v>
      </c>
      <c r="E20" s="4" t="s">
        <v>93</v>
      </c>
      <c r="F20" s="4" t="s">
        <v>71</v>
      </c>
      <c r="G20" s="4" t="s">
        <v>19</v>
      </c>
      <c r="I20" s="4" t="str">
        <f t="shared" si="2"/>
        <v>Rhonda Moss</v>
      </c>
      <c r="J20" s="4" t="str">
        <f t="shared" ref="J20:K20" si="23">TRIM(PROPER(E20))</f>
        <v>South William</v>
      </c>
      <c r="K20" s="4" t="str">
        <f t="shared" si="23"/>
        <v>Kansas</v>
      </c>
      <c r="L20" s="4" t="str">
        <f t="shared" si="4"/>
        <v>Male</v>
      </c>
      <c r="M20" s="4" t="str">
        <f t="shared" si="5"/>
        <v>Standard</v>
      </c>
      <c r="N20" s="4" t="str">
        <f t="shared" si="6"/>
        <v>OK</v>
      </c>
    </row>
    <row r="21" ht="14.25" customHeight="1">
      <c r="A21" s="4" t="s">
        <v>94</v>
      </c>
      <c r="B21" s="4" t="s">
        <v>95</v>
      </c>
      <c r="C21" s="4">
        <v>46.0</v>
      </c>
      <c r="D21" s="4" t="s">
        <v>22</v>
      </c>
      <c r="E21" s="4" t="s">
        <v>96</v>
      </c>
      <c r="F21" s="4" t="s">
        <v>97</v>
      </c>
      <c r="G21" s="4" t="s">
        <v>19</v>
      </c>
      <c r="H21" s="4" t="s">
        <v>25</v>
      </c>
      <c r="I21" s="4" t="str">
        <f t="shared" si="2"/>
        <v>Michael Torres</v>
      </c>
      <c r="J21" s="4" t="str">
        <f t="shared" ref="J21:K21" si="24">TRIM(PROPER(E21))</f>
        <v>Gonzalezfort</v>
      </c>
      <c r="K21" s="4" t="str">
        <f t="shared" si="24"/>
        <v>New Jersey</v>
      </c>
      <c r="L21" s="4" t="str">
        <f t="shared" si="4"/>
        <v>Female</v>
      </c>
      <c r="M21" s="4" t="str">
        <f t="shared" si="5"/>
        <v>Platinum</v>
      </c>
      <c r="N21" s="4" t="str">
        <f t="shared" si="6"/>
        <v>OK</v>
      </c>
    </row>
    <row r="22" ht="14.25" customHeight="1">
      <c r="A22" s="4" t="s">
        <v>98</v>
      </c>
      <c r="B22" s="4" t="s">
        <v>99</v>
      </c>
      <c r="C22" s="4">
        <v>59.0</v>
      </c>
      <c r="D22" s="4" t="s">
        <v>16</v>
      </c>
      <c r="E22" s="4" t="s">
        <v>100</v>
      </c>
      <c r="F22" s="4" t="s">
        <v>101</v>
      </c>
      <c r="G22" s="4" t="s">
        <v>19</v>
      </c>
      <c r="H22" s="4" t="s">
        <v>39</v>
      </c>
      <c r="I22" s="4" t="str">
        <f t="shared" si="2"/>
        <v>Bridget Allen</v>
      </c>
      <c r="J22" s="4" t="str">
        <f t="shared" ref="J22:K22" si="25">TRIM(PROPER(E22))</f>
        <v>Lake Shaneburgh</v>
      </c>
      <c r="K22" s="4" t="str">
        <f t="shared" si="25"/>
        <v>Delaware</v>
      </c>
      <c r="L22" s="4" t="str">
        <f t="shared" si="4"/>
        <v>Male</v>
      </c>
      <c r="M22" s="4" t="str">
        <f t="shared" si="5"/>
        <v>Silver</v>
      </c>
      <c r="N22" s="4" t="str">
        <f t="shared" si="6"/>
        <v>OK</v>
      </c>
    </row>
    <row r="23" ht="14.25" customHeight="1">
      <c r="A23" s="4" t="s">
        <v>102</v>
      </c>
      <c r="B23" s="4" t="s">
        <v>103</v>
      </c>
      <c r="C23" s="4">
        <v>36.0</v>
      </c>
      <c r="D23" s="4" t="s">
        <v>22</v>
      </c>
      <c r="E23" s="4" t="s">
        <v>104</v>
      </c>
      <c r="F23" s="4" t="s">
        <v>105</v>
      </c>
      <c r="G23" s="4" t="s">
        <v>19</v>
      </c>
      <c r="H23" s="4" t="s">
        <v>56</v>
      </c>
      <c r="I23" s="4" t="str">
        <f t="shared" si="2"/>
        <v>Jeff Martinez</v>
      </c>
      <c r="J23" s="4" t="str">
        <f t="shared" ref="J23:K23" si="26">TRIM(PROPER(E23))</f>
        <v>Smithburgh</v>
      </c>
      <c r="K23" s="4" t="str">
        <f t="shared" si="26"/>
        <v>Oklahoma</v>
      </c>
      <c r="L23" s="4" t="str">
        <f t="shared" si="4"/>
        <v>Female</v>
      </c>
      <c r="M23" s="4" t="str">
        <f t="shared" si="5"/>
        <v>Gold</v>
      </c>
      <c r="N23" s="4" t="str">
        <f t="shared" si="6"/>
        <v>OK</v>
      </c>
    </row>
    <row r="24" ht="14.25" customHeight="1">
      <c r="A24" s="4" t="s">
        <v>106</v>
      </c>
      <c r="B24" s="4" t="s">
        <v>107</v>
      </c>
      <c r="C24" s="4">
        <v>33.0</v>
      </c>
      <c r="D24" s="4" t="s">
        <v>22</v>
      </c>
      <c r="E24" s="4" t="s">
        <v>108</v>
      </c>
      <c r="F24" s="4" t="s">
        <v>109</v>
      </c>
      <c r="G24" s="4" t="s">
        <v>19</v>
      </c>
      <c r="H24" s="4" t="s">
        <v>39</v>
      </c>
      <c r="I24" s="4" t="str">
        <f t="shared" si="2"/>
        <v>   Paul Fox</v>
      </c>
      <c r="J24" s="4" t="str">
        <f t="shared" ref="J24:K24" si="27">TRIM(PROPER(E24))</f>
        <v>Michaelton</v>
      </c>
      <c r="K24" s="4" t="str">
        <f t="shared" si="27"/>
        <v>Hawaii</v>
      </c>
      <c r="L24" s="4" t="str">
        <f t="shared" si="4"/>
        <v>Female</v>
      </c>
      <c r="M24" s="4" t="str">
        <f t="shared" si="5"/>
        <v>Silver</v>
      </c>
      <c r="N24" s="4" t="str">
        <f t="shared" si="6"/>
        <v>OK</v>
      </c>
    </row>
    <row r="25" ht="14.25" customHeight="1">
      <c r="A25" s="4" t="s">
        <v>110</v>
      </c>
      <c r="B25" s="4" t="s">
        <v>111</v>
      </c>
      <c r="C25" s="4">
        <v>52.0</v>
      </c>
      <c r="D25" s="4" t="s">
        <v>22</v>
      </c>
      <c r="E25" s="4" t="s">
        <v>112</v>
      </c>
      <c r="F25" s="4" t="s">
        <v>43</v>
      </c>
      <c r="G25" s="4" t="s">
        <v>19</v>
      </c>
      <c r="H25" s="4" t="s">
        <v>39</v>
      </c>
      <c r="I25" s="4" t="str">
        <f t="shared" si="2"/>
        <v>Jonathan Steele</v>
      </c>
      <c r="J25" s="4" t="str">
        <f t="shared" ref="J25:K25" si="28">TRIM(PROPER(E25))</f>
        <v>Molinabury</v>
      </c>
      <c r="K25" s="4" t="str">
        <f t="shared" si="28"/>
        <v>Oregon</v>
      </c>
      <c r="L25" s="4" t="str">
        <f t="shared" si="4"/>
        <v>Female</v>
      </c>
      <c r="M25" s="4" t="str">
        <f t="shared" si="5"/>
        <v>Silver</v>
      </c>
      <c r="N25" s="4" t="str">
        <f t="shared" si="6"/>
        <v>OK</v>
      </c>
    </row>
    <row r="26" ht="14.25" customHeight="1">
      <c r="A26" s="4" t="s">
        <v>113</v>
      </c>
      <c r="B26" s="4" t="s">
        <v>114</v>
      </c>
      <c r="C26" s="4">
        <v>40.0</v>
      </c>
      <c r="D26" s="4" t="s">
        <v>16</v>
      </c>
      <c r="E26" s="4" t="s">
        <v>115</v>
      </c>
      <c r="F26" s="4" t="s">
        <v>116</v>
      </c>
      <c r="G26" s="4" t="s">
        <v>19</v>
      </c>
      <c r="H26" s="4" t="s">
        <v>25</v>
      </c>
      <c r="I26" s="4" t="str">
        <f t="shared" si="2"/>
        <v>Heather Collins</v>
      </c>
      <c r="J26" s="4" t="str">
        <f t="shared" ref="J26:K26" si="29">TRIM(PROPER(E26))</f>
        <v>Rogerschester</v>
      </c>
      <c r="K26" s="4" t="str">
        <f t="shared" si="29"/>
        <v>Idaho</v>
      </c>
      <c r="L26" s="4" t="str">
        <f t="shared" si="4"/>
        <v>Male</v>
      </c>
      <c r="M26" s="4" t="str">
        <f t="shared" si="5"/>
        <v>Platinum</v>
      </c>
      <c r="N26" s="4" t="str">
        <f t="shared" si="6"/>
        <v>OK</v>
      </c>
    </row>
    <row r="27" ht="14.25" customHeight="1">
      <c r="A27" s="4" t="s">
        <v>117</v>
      </c>
      <c r="B27" s="4" t="s">
        <v>118</v>
      </c>
      <c r="C27" s="4">
        <v>59.0</v>
      </c>
      <c r="D27" s="4" t="s">
        <v>22</v>
      </c>
      <c r="E27" s="4" t="s">
        <v>119</v>
      </c>
      <c r="F27" s="4" t="s">
        <v>38</v>
      </c>
      <c r="G27" s="4" t="s">
        <v>19</v>
      </c>
      <c r="H27" s="4" t="s">
        <v>34</v>
      </c>
      <c r="I27" s="4" t="str">
        <f t="shared" si="2"/>
        <v>Diana Taylor</v>
      </c>
      <c r="J27" s="4" t="str">
        <f t="shared" ref="J27:K27" si="30">TRIM(PROPER(E27))</f>
        <v>Vasqueztown</v>
      </c>
      <c r="K27" s="4" t="str">
        <f t="shared" si="30"/>
        <v>California</v>
      </c>
      <c r="L27" s="4" t="str">
        <f t="shared" si="4"/>
        <v>Female</v>
      </c>
      <c r="M27" s="4" t="str">
        <f t="shared" si="5"/>
        <v>Bronze</v>
      </c>
      <c r="N27" s="4" t="str">
        <f t="shared" si="6"/>
        <v>OK</v>
      </c>
    </row>
    <row r="28" ht="14.25" customHeight="1">
      <c r="A28" s="4" t="s">
        <v>120</v>
      </c>
      <c r="B28" s="4" t="s">
        <v>121</v>
      </c>
      <c r="C28" s="4">
        <v>18.0</v>
      </c>
      <c r="D28" s="4" t="s">
        <v>22</v>
      </c>
      <c r="E28" s="4" t="s">
        <v>122</v>
      </c>
      <c r="F28" s="4" t="s">
        <v>123</v>
      </c>
      <c r="G28" s="4" t="s">
        <v>19</v>
      </c>
      <c r="H28" s="4" t="s">
        <v>56</v>
      </c>
      <c r="I28" s="4" t="str">
        <f t="shared" si="2"/>
        <v>Amber Carlson</v>
      </c>
      <c r="J28" s="4" t="str">
        <f t="shared" ref="J28:K28" si="31">TRIM(PROPER(E28))</f>
        <v>East Michellemouth</v>
      </c>
      <c r="K28" s="4" t="str">
        <f t="shared" si="31"/>
        <v>Missouri</v>
      </c>
      <c r="L28" s="4" t="str">
        <f t="shared" si="4"/>
        <v>Female</v>
      </c>
      <c r="M28" s="4" t="str">
        <f t="shared" si="5"/>
        <v>Gold</v>
      </c>
      <c r="N28" s="4" t="str">
        <f t="shared" si="6"/>
        <v>OK</v>
      </c>
    </row>
    <row r="29" ht="14.25" customHeight="1">
      <c r="A29" s="4" t="s">
        <v>124</v>
      </c>
      <c r="B29" s="4" t="s">
        <v>125</v>
      </c>
      <c r="C29" s="4">
        <v>31.0</v>
      </c>
      <c r="D29" s="4" t="s">
        <v>16</v>
      </c>
      <c r="E29" s="4" t="s">
        <v>126</v>
      </c>
      <c r="F29" s="4" t="s">
        <v>127</v>
      </c>
      <c r="G29" s="4" t="s">
        <v>19</v>
      </c>
      <c r="I29" s="4" t="str">
        <f t="shared" si="2"/>
        <v>Leslie Johnson</v>
      </c>
      <c r="J29" s="4" t="str">
        <f t="shared" ref="J29:K29" si="32">TRIM(PROPER(E29))</f>
        <v>Mollyshire</v>
      </c>
      <c r="K29" s="4" t="str">
        <f t="shared" si="32"/>
        <v>Utah</v>
      </c>
      <c r="L29" s="4" t="str">
        <f t="shared" si="4"/>
        <v>Male</v>
      </c>
      <c r="M29" s="4" t="str">
        <f t="shared" si="5"/>
        <v>Standard</v>
      </c>
      <c r="N29" s="4" t="str">
        <f t="shared" si="6"/>
        <v>OK</v>
      </c>
    </row>
    <row r="30" ht="14.25" customHeight="1">
      <c r="A30" s="4" t="s">
        <v>128</v>
      </c>
      <c r="B30" s="4" t="s">
        <v>129</v>
      </c>
      <c r="C30" s="4">
        <v>27.0</v>
      </c>
      <c r="D30" s="4" t="s">
        <v>22</v>
      </c>
      <c r="E30" s="4" t="s">
        <v>130</v>
      </c>
      <c r="F30" s="4" t="s">
        <v>97</v>
      </c>
      <c r="G30" s="4" t="s">
        <v>19</v>
      </c>
      <c r="H30" s="4" t="s">
        <v>25</v>
      </c>
      <c r="I30" s="4" t="str">
        <f t="shared" si="2"/>
        <v>Joshua Ryan</v>
      </c>
      <c r="J30" s="4" t="str">
        <f t="shared" ref="J30:K30" si="33">TRIM(PROPER(E30))</f>
        <v>New David</v>
      </c>
      <c r="K30" s="4" t="str">
        <f t="shared" si="33"/>
        <v>New Jersey</v>
      </c>
      <c r="L30" s="4" t="str">
        <f t="shared" si="4"/>
        <v>Female</v>
      </c>
      <c r="M30" s="4" t="str">
        <f t="shared" si="5"/>
        <v>Platinum</v>
      </c>
      <c r="N30" s="4" t="str">
        <f t="shared" si="6"/>
        <v>OK</v>
      </c>
    </row>
    <row r="31" ht="14.25" customHeight="1">
      <c r="A31" s="4" t="s">
        <v>131</v>
      </c>
      <c r="B31" s="4" t="s">
        <v>132</v>
      </c>
      <c r="C31" s="4">
        <v>54.0</v>
      </c>
      <c r="D31" s="4" t="s">
        <v>22</v>
      </c>
      <c r="E31" s="4" t="s">
        <v>133</v>
      </c>
      <c r="F31" s="4" t="s">
        <v>38</v>
      </c>
      <c r="G31" s="4" t="s">
        <v>19</v>
      </c>
      <c r="H31" s="4" t="s">
        <v>39</v>
      </c>
      <c r="I31" s="4" t="str">
        <f t="shared" si="2"/>
        <v>David Arnold</v>
      </c>
      <c r="J31" s="4" t="str">
        <f t="shared" ref="J31:K31" si="34">TRIM(PROPER(E31))</f>
        <v>East Jennifer</v>
      </c>
      <c r="K31" s="4" t="str">
        <f t="shared" si="34"/>
        <v>California</v>
      </c>
      <c r="L31" s="4" t="str">
        <f t="shared" si="4"/>
        <v>Female</v>
      </c>
      <c r="M31" s="4" t="str">
        <f t="shared" si="5"/>
        <v>Silver</v>
      </c>
      <c r="N31" s="4" t="str">
        <f t="shared" si="6"/>
        <v>OK</v>
      </c>
    </row>
    <row r="32" ht="14.25" customHeight="1">
      <c r="A32" s="4" t="s">
        <v>134</v>
      </c>
      <c r="B32" s="4" t="s">
        <v>135</v>
      </c>
      <c r="C32" s="4">
        <v>64.0</v>
      </c>
      <c r="D32" s="4" t="s">
        <v>22</v>
      </c>
      <c r="E32" s="4" t="s">
        <v>136</v>
      </c>
      <c r="F32" s="4" t="s">
        <v>60</v>
      </c>
      <c r="G32" s="4" t="s">
        <v>19</v>
      </c>
      <c r="H32" s="4" t="s">
        <v>34</v>
      </c>
      <c r="I32" s="4" t="str">
        <f t="shared" si="2"/>
        <v>Jessica Acevedo</v>
      </c>
      <c r="J32" s="4" t="str">
        <f t="shared" ref="J32:K32" si="35">TRIM(PROPER(E32))</f>
        <v>Amybury</v>
      </c>
      <c r="K32" s="4" t="str">
        <f t="shared" si="35"/>
        <v>Pennsylvania</v>
      </c>
      <c r="L32" s="4" t="str">
        <f t="shared" si="4"/>
        <v>Female</v>
      </c>
      <c r="M32" s="4" t="str">
        <f t="shared" si="5"/>
        <v>Bronze</v>
      </c>
      <c r="N32" s="4" t="str">
        <f t="shared" si="6"/>
        <v>OK</v>
      </c>
    </row>
    <row r="33" ht="14.25" customHeight="1">
      <c r="A33" s="4" t="s">
        <v>137</v>
      </c>
      <c r="B33" s="4" t="s">
        <v>138</v>
      </c>
      <c r="C33" s="4">
        <v>41.0</v>
      </c>
      <c r="D33" s="4" t="s">
        <v>16</v>
      </c>
      <c r="E33" s="4" t="s">
        <v>139</v>
      </c>
      <c r="F33" s="4" t="s">
        <v>43</v>
      </c>
      <c r="G33" s="4" t="s">
        <v>19</v>
      </c>
      <c r="H33" s="4" t="s">
        <v>39</v>
      </c>
      <c r="I33" s="4" t="str">
        <f t="shared" si="2"/>
        <v>Sarah Vance</v>
      </c>
      <c r="J33" s="4" t="str">
        <f t="shared" ref="J33:K33" si="36">TRIM(PROPER(E33))</f>
        <v>Johnsonville</v>
      </c>
      <c r="K33" s="4" t="str">
        <f t="shared" si="36"/>
        <v>Oregon</v>
      </c>
      <c r="L33" s="4" t="str">
        <f t="shared" si="4"/>
        <v>Male</v>
      </c>
      <c r="M33" s="4" t="str">
        <f t="shared" si="5"/>
        <v>Silver</v>
      </c>
      <c r="N33" s="4" t="str">
        <f t="shared" si="6"/>
        <v>OK</v>
      </c>
    </row>
    <row r="34" ht="14.25" customHeight="1">
      <c r="A34" s="4" t="s">
        <v>140</v>
      </c>
      <c r="B34" s="4" t="s">
        <v>141</v>
      </c>
      <c r="C34" s="4">
        <v>48.0</v>
      </c>
      <c r="D34" s="4" t="s">
        <v>22</v>
      </c>
      <c r="E34" s="4" t="s">
        <v>142</v>
      </c>
      <c r="F34" s="4" t="s">
        <v>143</v>
      </c>
      <c r="G34" s="4" t="s">
        <v>19</v>
      </c>
      <c r="H34" s="4" t="s">
        <v>56</v>
      </c>
      <c r="I34" s="4" t="str">
        <f t="shared" si="2"/>
        <v>Mike Jennings</v>
      </c>
      <c r="J34" s="4" t="str">
        <f t="shared" ref="J34:K34" si="37">TRIM(PROPER(E34))</f>
        <v>Fostermouth</v>
      </c>
      <c r="K34" s="4" t="str">
        <f t="shared" si="37"/>
        <v>Arizona</v>
      </c>
      <c r="L34" s="4" t="str">
        <f t="shared" si="4"/>
        <v>Female</v>
      </c>
      <c r="M34" s="4" t="str">
        <f t="shared" si="5"/>
        <v>Gold</v>
      </c>
      <c r="N34" s="4" t="str">
        <f t="shared" si="6"/>
        <v>OK</v>
      </c>
    </row>
    <row r="35" ht="14.25" customHeight="1">
      <c r="A35" s="4" t="s">
        <v>144</v>
      </c>
      <c r="B35" s="4" t="s">
        <v>145</v>
      </c>
      <c r="C35" s="4">
        <v>25.0</v>
      </c>
      <c r="D35" s="4" t="s">
        <v>16</v>
      </c>
      <c r="E35" s="4" t="s">
        <v>146</v>
      </c>
      <c r="F35" s="4" t="s">
        <v>105</v>
      </c>
      <c r="G35" s="4" t="s">
        <v>19</v>
      </c>
      <c r="H35" s="4" t="s">
        <v>25</v>
      </c>
      <c r="I35" s="4" t="str">
        <f t="shared" si="2"/>
        <v>Robert Jones Dds</v>
      </c>
      <c r="J35" s="4" t="str">
        <f t="shared" ref="J35:K35" si="38">TRIM(PROPER(E35))</f>
        <v>Tristanton</v>
      </c>
      <c r="K35" s="4" t="str">
        <f t="shared" si="38"/>
        <v>Oklahoma</v>
      </c>
      <c r="L35" s="4" t="str">
        <f t="shared" si="4"/>
        <v>Male</v>
      </c>
      <c r="M35" s="4" t="str">
        <f t="shared" si="5"/>
        <v>Platinum</v>
      </c>
      <c r="N35" s="4" t="str">
        <f t="shared" si="6"/>
        <v>OK</v>
      </c>
    </row>
    <row r="36" ht="14.25" customHeight="1">
      <c r="A36" s="4" t="s">
        <v>147</v>
      </c>
      <c r="B36" s="4" t="s">
        <v>148</v>
      </c>
      <c r="C36" s="4">
        <v>27.0</v>
      </c>
      <c r="D36" s="4" t="s">
        <v>22</v>
      </c>
      <c r="E36" s="4" t="s">
        <v>149</v>
      </c>
      <c r="F36" s="4" t="s">
        <v>150</v>
      </c>
      <c r="G36" s="4" t="s">
        <v>19</v>
      </c>
      <c r="H36" s="4" t="s">
        <v>25</v>
      </c>
      <c r="I36" s="4" t="str">
        <f t="shared" si="2"/>
        <v>Christopher Olson</v>
      </c>
      <c r="J36" s="4" t="str">
        <f t="shared" ref="J36:K36" si="39">TRIM(PROPER(E36))</f>
        <v>West Richard</v>
      </c>
      <c r="K36" s="4" t="str">
        <f t="shared" si="39"/>
        <v>Maryland</v>
      </c>
      <c r="L36" s="4" t="str">
        <f t="shared" si="4"/>
        <v>Female</v>
      </c>
      <c r="M36" s="4" t="str">
        <f t="shared" si="5"/>
        <v>Platinum</v>
      </c>
      <c r="N36" s="4" t="str">
        <f t="shared" si="6"/>
        <v>OK</v>
      </c>
    </row>
    <row r="37" ht="14.25" customHeight="1">
      <c r="A37" s="4" t="s">
        <v>151</v>
      </c>
      <c r="B37" s="4" t="s">
        <v>152</v>
      </c>
      <c r="C37" s="4">
        <v>52.0</v>
      </c>
      <c r="D37" s="4" t="s">
        <v>16</v>
      </c>
      <c r="E37" s="4" t="s">
        <v>153</v>
      </c>
      <c r="F37" s="4" t="s">
        <v>24</v>
      </c>
      <c r="G37" s="4" t="s">
        <v>19</v>
      </c>
      <c r="H37" s="4" t="s">
        <v>39</v>
      </c>
      <c r="I37" s="4" t="str">
        <f t="shared" si="2"/>
        <v>Rachel Myers</v>
      </c>
      <c r="J37" s="4" t="str">
        <f t="shared" ref="J37:K37" si="40">TRIM(PROPER(E37))</f>
        <v>Robertberg</v>
      </c>
      <c r="K37" s="4" t="str">
        <f t="shared" si="40"/>
        <v>North Dakota</v>
      </c>
      <c r="L37" s="4" t="str">
        <f t="shared" si="4"/>
        <v>Male</v>
      </c>
      <c r="M37" s="4" t="str">
        <f t="shared" si="5"/>
        <v>Silver</v>
      </c>
      <c r="N37" s="4" t="str">
        <f t="shared" si="6"/>
        <v>OK</v>
      </c>
    </row>
    <row r="38" ht="14.25" customHeight="1">
      <c r="A38" s="4" t="s">
        <v>154</v>
      </c>
      <c r="B38" s="4" t="s">
        <v>155</v>
      </c>
      <c r="C38" s="4">
        <v>20.0</v>
      </c>
      <c r="D38" s="4" t="s">
        <v>22</v>
      </c>
      <c r="E38" s="4" t="s">
        <v>156</v>
      </c>
      <c r="F38" s="4" t="s">
        <v>90</v>
      </c>
      <c r="G38" s="4" t="s">
        <v>19</v>
      </c>
      <c r="H38" s="4" t="s">
        <v>56</v>
      </c>
      <c r="I38" s="4" t="str">
        <f t="shared" si="2"/>
        <v>Thomas Phillips</v>
      </c>
      <c r="J38" s="4" t="str">
        <f t="shared" ref="J38:K38" si="41">TRIM(PROPER(E38))</f>
        <v>Luisfurt</v>
      </c>
      <c r="K38" s="4" t="str">
        <f t="shared" si="41"/>
        <v>Georgia</v>
      </c>
      <c r="L38" s="4" t="str">
        <f t="shared" si="4"/>
        <v>Female</v>
      </c>
      <c r="M38" s="4" t="str">
        <f t="shared" si="5"/>
        <v>Gold</v>
      </c>
      <c r="N38" s="4" t="str">
        <f t="shared" si="6"/>
        <v>OK</v>
      </c>
    </row>
    <row r="39" ht="14.25" customHeight="1">
      <c r="A39" s="4" t="s">
        <v>157</v>
      </c>
      <c r="B39" s="4" t="s">
        <v>158</v>
      </c>
      <c r="C39" s="4">
        <v>27.0</v>
      </c>
      <c r="D39" s="4" t="s">
        <v>22</v>
      </c>
      <c r="E39" s="4" t="s">
        <v>159</v>
      </c>
      <c r="F39" s="4" t="s">
        <v>47</v>
      </c>
      <c r="G39" s="4" t="s">
        <v>19</v>
      </c>
      <c r="I39" s="4" t="str">
        <f t="shared" si="2"/>
        <v>Christopher Carter</v>
      </c>
      <c r="J39" s="4" t="str">
        <f t="shared" ref="J39:K39" si="42">TRIM(PROPER(E39))</f>
        <v>Brendastad</v>
      </c>
      <c r="K39" s="4" t="str">
        <f t="shared" si="42"/>
        <v>South Dakota</v>
      </c>
      <c r="L39" s="4" t="str">
        <f t="shared" si="4"/>
        <v>Female</v>
      </c>
      <c r="M39" s="4" t="str">
        <f t="shared" si="5"/>
        <v>Standard</v>
      </c>
      <c r="N39" s="4" t="str">
        <f t="shared" si="6"/>
        <v>OK</v>
      </c>
    </row>
    <row r="40" ht="14.25" customHeight="1">
      <c r="A40" s="4" t="s">
        <v>160</v>
      </c>
      <c r="B40" s="4" t="s">
        <v>161</v>
      </c>
      <c r="C40" s="4">
        <v>35.0</v>
      </c>
      <c r="D40" s="4" t="s">
        <v>22</v>
      </c>
      <c r="E40" s="4" t="s">
        <v>162</v>
      </c>
      <c r="F40" s="4" t="s">
        <v>24</v>
      </c>
      <c r="G40" s="4" t="s">
        <v>19</v>
      </c>
      <c r="H40" s="4" t="s">
        <v>34</v>
      </c>
      <c r="I40" s="4" t="str">
        <f t="shared" si="2"/>
        <v>Deanna Simpson</v>
      </c>
      <c r="J40" s="4" t="str">
        <f t="shared" ref="J40:K40" si="43">TRIM(PROPER(E40))</f>
        <v>Brownport</v>
      </c>
      <c r="K40" s="4" t="str">
        <f t="shared" si="43"/>
        <v>North Dakota</v>
      </c>
      <c r="L40" s="4" t="str">
        <f t="shared" si="4"/>
        <v>Female</v>
      </c>
      <c r="M40" s="4" t="str">
        <f t="shared" si="5"/>
        <v>Bronze</v>
      </c>
      <c r="N40" s="4" t="str">
        <f t="shared" si="6"/>
        <v>OK</v>
      </c>
    </row>
    <row r="41" ht="14.25" customHeight="1">
      <c r="A41" s="4" t="s">
        <v>163</v>
      </c>
      <c r="B41" s="4" t="s">
        <v>164</v>
      </c>
      <c r="C41" s="4">
        <v>55.0</v>
      </c>
      <c r="D41" s="4" t="s">
        <v>22</v>
      </c>
      <c r="E41" s="4" t="s">
        <v>165</v>
      </c>
      <c r="F41" s="4" t="s">
        <v>166</v>
      </c>
      <c r="G41" s="4" t="s">
        <v>19</v>
      </c>
      <c r="H41" s="4" t="s">
        <v>56</v>
      </c>
      <c r="I41" s="4" t="str">
        <f t="shared" si="2"/>
        <v>Tonya Reynolds</v>
      </c>
      <c r="J41" s="4" t="str">
        <f t="shared" ref="J41:K41" si="44">TRIM(PROPER(E41))</f>
        <v>Darleneton</v>
      </c>
      <c r="K41" s="4" t="str">
        <f t="shared" si="44"/>
        <v>Michigan</v>
      </c>
      <c r="L41" s="4" t="str">
        <f t="shared" si="4"/>
        <v>Female</v>
      </c>
      <c r="M41" s="4" t="str">
        <f t="shared" si="5"/>
        <v>Gold</v>
      </c>
      <c r="N41" s="4" t="str">
        <f t="shared" si="6"/>
        <v>OK</v>
      </c>
    </row>
    <row r="42" ht="14.25" customHeight="1">
      <c r="A42" s="4" t="s">
        <v>167</v>
      </c>
      <c r="B42" s="4" t="s">
        <v>168</v>
      </c>
      <c r="C42" s="4">
        <v>50.0</v>
      </c>
      <c r="D42" s="4" t="s">
        <v>16</v>
      </c>
      <c r="E42" s="4" t="s">
        <v>169</v>
      </c>
      <c r="F42" s="4" t="s">
        <v>71</v>
      </c>
      <c r="G42" s="4" t="s">
        <v>19</v>
      </c>
      <c r="H42" s="4" t="s">
        <v>56</v>
      </c>
      <c r="I42" s="4" t="str">
        <f t="shared" si="2"/>
        <v>Eric Vega</v>
      </c>
      <c r="J42" s="4" t="str">
        <f t="shared" ref="J42:K42" si="45">TRIM(PROPER(E42))</f>
        <v>Williamsonland</v>
      </c>
      <c r="K42" s="4" t="str">
        <f t="shared" si="45"/>
        <v>Kansas</v>
      </c>
      <c r="L42" s="4" t="str">
        <f t="shared" si="4"/>
        <v>Male</v>
      </c>
      <c r="M42" s="4" t="str">
        <f t="shared" si="5"/>
        <v>Gold</v>
      </c>
      <c r="N42" s="4" t="str">
        <f t="shared" si="6"/>
        <v>OK</v>
      </c>
    </row>
    <row r="43" ht="14.25" customHeight="1">
      <c r="A43" s="4" t="s">
        <v>170</v>
      </c>
      <c r="B43" s="4" t="s">
        <v>171</v>
      </c>
      <c r="C43" s="4">
        <v>21.0</v>
      </c>
      <c r="D43" s="4" t="s">
        <v>16</v>
      </c>
      <c r="E43" s="4" t="s">
        <v>172</v>
      </c>
      <c r="F43" s="4" t="s">
        <v>173</v>
      </c>
      <c r="G43" s="4" t="s">
        <v>19</v>
      </c>
      <c r="H43" s="4" t="s">
        <v>25</v>
      </c>
      <c r="I43" s="4" t="str">
        <f t="shared" si="2"/>
        <v>James Gibbs</v>
      </c>
      <c r="J43" s="4" t="str">
        <f t="shared" ref="J43:K43" si="46">TRIM(PROPER(E43))</f>
        <v>Mooneyshire</v>
      </c>
      <c r="K43" s="4" t="str">
        <f t="shared" si="46"/>
        <v>Alaska</v>
      </c>
      <c r="L43" s="4" t="str">
        <f t="shared" si="4"/>
        <v>Male</v>
      </c>
      <c r="M43" s="4" t="str">
        <f t="shared" si="5"/>
        <v>Platinum</v>
      </c>
      <c r="N43" s="4" t="str">
        <f t="shared" si="6"/>
        <v>OK</v>
      </c>
    </row>
    <row r="44" ht="14.25" customHeight="1">
      <c r="A44" s="4" t="s">
        <v>174</v>
      </c>
      <c r="B44" s="4" t="s">
        <v>175</v>
      </c>
      <c r="C44" s="4">
        <v>19.0</v>
      </c>
      <c r="D44" s="4" t="s">
        <v>16</v>
      </c>
      <c r="E44" s="4" t="s">
        <v>176</v>
      </c>
      <c r="F44" s="4" t="s">
        <v>177</v>
      </c>
      <c r="G44" s="4" t="s">
        <v>19</v>
      </c>
      <c r="H44" s="4" t="s">
        <v>25</v>
      </c>
      <c r="I44" s="4" t="str">
        <f t="shared" si="2"/>
        <v>William Martin</v>
      </c>
      <c r="J44" s="4" t="str">
        <f t="shared" ref="J44:K44" si="47">TRIM(PROPER(E44))</f>
        <v>Ryanburgh</v>
      </c>
      <c r="K44" s="4" t="str">
        <f t="shared" si="47"/>
        <v>Connecticut</v>
      </c>
      <c r="L44" s="4" t="str">
        <f t="shared" si="4"/>
        <v>Male</v>
      </c>
      <c r="M44" s="4" t="str">
        <f t="shared" si="5"/>
        <v>Platinum</v>
      </c>
      <c r="N44" s="4" t="str">
        <f t="shared" si="6"/>
        <v>OK</v>
      </c>
    </row>
    <row r="45" ht="14.25" customHeight="1">
      <c r="A45" s="4" t="s">
        <v>178</v>
      </c>
      <c r="B45" s="4" t="s">
        <v>179</v>
      </c>
      <c r="C45" s="4">
        <v>45.0</v>
      </c>
      <c r="D45" s="4" t="s">
        <v>16</v>
      </c>
      <c r="E45" s="4" t="s">
        <v>180</v>
      </c>
      <c r="F45" s="4" t="s">
        <v>181</v>
      </c>
      <c r="G45" s="4" t="s">
        <v>19</v>
      </c>
      <c r="H45" s="4" t="s">
        <v>56</v>
      </c>
      <c r="I45" s="4" t="str">
        <f t="shared" si="2"/>
        <v>Joseph Snow</v>
      </c>
      <c r="J45" s="4" t="str">
        <f t="shared" ref="J45:K45" si="48">TRIM(PROPER(E45))</f>
        <v>South Michaelfort</v>
      </c>
      <c r="K45" s="4" t="str">
        <f t="shared" si="48"/>
        <v>Vermont</v>
      </c>
      <c r="L45" s="4" t="str">
        <f t="shared" si="4"/>
        <v>Male</v>
      </c>
      <c r="M45" s="4" t="str">
        <f t="shared" si="5"/>
        <v>Gold</v>
      </c>
      <c r="N45" s="4" t="str">
        <f t="shared" si="6"/>
        <v>OK</v>
      </c>
    </row>
    <row r="46" ht="14.25" customHeight="1">
      <c r="A46" s="4" t="s">
        <v>182</v>
      </c>
      <c r="B46" s="4" t="s">
        <v>183</v>
      </c>
      <c r="C46" s="4">
        <v>34.0</v>
      </c>
      <c r="D46" s="4" t="s">
        <v>16</v>
      </c>
      <c r="E46" s="4" t="s">
        <v>184</v>
      </c>
      <c r="F46" s="4" t="s">
        <v>109</v>
      </c>
      <c r="G46" s="4" t="s">
        <v>19</v>
      </c>
      <c r="H46" s="4" t="s">
        <v>34</v>
      </c>
      <c r="I46" s="4" t="str">
        <f t="shared" si="2"/>
        <v>Denise Williams</v>
      </c>
      <c r="J46" s="4" t="str">
        <f t="shared" ref="J46:K46" si="49">TRIM(PROPER(E46))</f>
        <v>Christianstad</v>
      </c>
      <c r="K46" s="4" t="str">
        <f t="shared" si="49"/>
        <v>Hawaii</v>
      </c>
      <c r="L46" s="4" t="str">
        <f t="shared" si="4"/>
        <v>Male</v>
      </c>
      <c r="M46" s="4" t="str">
        <f t="shared" si="5"/>
        <v>Bronze</v>
      </c>
      <c r="N46" s="4" t="str">
        <f t="shared" si="6"/>
        <v>OK</v>
      </c>
    </row>
    <row r="47" ht="14.25" customHeight="1">
      <c r="A47" s="4" t="s">
        <v>185</v>
      </c>
      <c r="B47" s="4" t="s">
        <v>186</v>
      </c>
      <c r="C47" s="4">
        <v>54.0</v>
      </c>
      <c r="D47" s="4" t="s">
        <v>16</v>
      </c>
      <c r="E47" s="4" t="s">
        <v>187</v>
      </c>
      <c r="F47" s="4" t="s">
        <v>143</v>
      </c>
      <c r="G47" s="4" t="s">
        <v>19</v>
      </c>
      <c r="H47" s="4" t="s">
        <v>56</v>
      </c>
      <c r="I47" s="4" t="str">
        <f t="shared" si="2"/>
        <v>Jordan Jackson Dds</v>
      </c>
      <c r="J47" s="4" t="str">
        <f t="shared" ref="J47:K47" si="50">TRIM(PROPER(E47))</f>
        <v>North Johnview</v>
      </c>
      <c r="K47" s="4" t="str">
        <f t="shared" si="50"/>
        <v>Arizona</v>
      </c>
      <c r="L47" s="4" t="str">
        <f t="shared" si="4"/>
        <v>Male</v>
      </c>
      <c r="M47" s="4" t="str">
        <f t="shared" si="5"/>
        <v>Gold</v>
      </c>
      <c r="N47" s="4" t="str">
        <f t="shared" si="6"/>
        <v>OK</v>
      </c>
    </row>
    <row r="48" ht="14.25" customHeight="1">
      <c r="A48" s="4" t="s">
        <v>188</v>
      </c>
      <c r="B48" s="4" t="s">
        <v>189</v>
      </c>
      <c r="C48" s="4">
        <v>55.0</v>
      </c>
      <c r="D48" s="4" t="s">
        <v>22</v>
      </c>
      <c r="E48" s="4" t="s">
        <v>190</v>
      </c>
      <c r="F48" s="4" t="s">
        <v>33</v>
      </c>
      <c r="G48" s="4" t="s">
        <v>19</v>
      </c>
      <c r="H48" s="4" t="s">
        <v>25</v>
      </c>
      <c r="I48" s="4" t="str">
        <f t="shared" si="2"/>
        <v>Michelle Garcia Dds</v>
      </c>
      <c r="J48" s="4" t="str">
        <f t="shared" ref="J48:K48" si="51">TRIM(PROPER(E48))</f>
        <v>Perezbury</v>
      </c>
      <c r="K48" s="4" t="str">
        <f t="shared" si="51"/>
        <v>Ohio</v>
      </c>
      <c r="L48" s="4" t="str">
        <f t="shared" si="4"/>
        <v>Female</v>
      </c>
      <c r="M48" s="4" t="str">
        <f t="shared" si="5"/>
        <v>Platinum</v>
      </c>
      <c r="N48" s="4" t="str">
        <f t="shared" si="6"/>
        <v>OK</v>
      </c>
    </row>
    <row r="49" ht="14.25" customHeight="1">
      <c r="A49" s="4" t="s">
        <v>191</v>
      </c>
      <c r="B49" s="4" t="s">
        <v>192</v>
      </c>
      <c r="C49" s="4">
        <v>54.0</v>
      </c>
      <c r="D49" s="4" t="s">
        <v>22</v>
      </c>
      <c r="E49" s="4" t="s">
        <v>193</v>
      </c>
      <c r="F49" s="4" t="s">
        <v>194</v>
      </c>
      <c r="G49" s="4" t="s">
        <v>19</v>
      </c>
      <c r="H49" s="4" t="s">
        <v>39</v>
      </c>
      <c r="I49" s="4" t="str">
        <f t="shared" si="2"/>
        <v>Gina Knight</v>
      </c>
      <c r="J49" s="4" t="str">
        <f t="shared" ref="J49:K49" si="52">TRIM(PROPER(E49))</f>
        <v>Lake Roberthaven</v>
      </c>
      <c r="K49" s="4" t="str">
        <f t="shared" si="52"/>
        <v>Nevada</v>
      </c>
      <c r="L49" s="4" t="str">
        <f t="shared" si="4"/>
        <v>Female</v>
      </c>
      <c r="M49" s="4" t="str">
        <f t="shared" si="5"/>
        <v>Silver</v>
      </c>
      <c r="N49" s="4" t="str">
        <f t="shared" si="6"/>
        <v>OK</v>
      </c>
    </row>
    <row r="50" ht="14.25" customHeight="1">
      <c r="A50" s="4" t="s">
        <v>195</v>
      </c>
      <c r="B50" s="4" t="s">
        <v>196</v>
      </c>
      <c r="C50" s="4">
        <v>54.0</v>
      </c>
      <c r="D50" s="4" t="s">
        <v>16</v>
      </c>
      <c r="E50" s="4" t="s">
        <v>197</v>
      </c>
      <c r="F50" s="4" t="s">
        <v>18</v>
      </c>
      <c r="G50" s="4" t="s">
        <v>19</v>
      </c>
      <c r="H50" s="4" t="s">
        <v>25</v>
      </c>
      <c r="I50" s="4" t="str">
        <f t="shared" si="2"/>
        <v>April Mullins</v>
      </c>
      <c r="J50" s="4" t="str">
        <f t="shared" ref="J50:K50" si="53">TRIM(PROPER(E50))</f>
        <v>Dawsonbury</v>
      </c>
      <c r="K50" s="4" t="str">
        <f t="shared" si="53"/>
        <v>North Carolina</v>
      </c>
      <c r="L50" s="4" t="str">
        <f t="shared" si="4"/>
        <v>Male</v>
      </c>
      <c r="M50" s="4" t="str">
        <f t="shared" si="5"/>
        <v>Platinum</v>
      </c>
      <c r="N50" s="4" t="str">
        <f t="shared" si="6"/>
        <v>OK</v>
      </c>
    </row>
    <row r="51" ht="14.25" customHeight="1">
      <c r="A51" s="4" t="s">
        <v>198</v>
      </c>
      <c r="B51" s="4" t="s">
        <v>199</v>
      </c>
      <c r="C51" s="4">
        <v>45.0</v>
      </c>
      <c r="D51" s="4" t="s">
        <v>22</v>
      </c>
      <c r="E51" s="4" t="s">
        <v>200</v>
      </c>
      <c r="F51" s="4" t="s">
        <v>33</v>
      </c>
      <c r="G51" s="4" t="s">
        <v>19</v>
      </c>
      <c r="H51" s="4" t="s">
        <v>56</v>
      </c>
      <c r="I51" s="4" t="str">
        <f t="shared" si="2"/>
        <v>Timothy Weaver</v>
      </c>
      <c r="J51" s="4" t="str">
        <f t="shared" ref="J51:K51" si="54">TRIM(PROPER(E51))</f>
        <v>New Amy</v>
      </c>
      <c r="K51" s="4" t="str">
        <f t="shared" si="54"/>
        <v>Ohio</v>
      </c>
      <c r="L51" s="4" t="str">
        <f t="shared" si="4"/>
        <v>Female</v>
      </c>
      <c r="M51" s="4" t="str">
        <f t="shared" si="5"/>
        <v>Gold</v>
      </c>
      <c r="N51" s="4" t="str">
        <f t="shared" si="6"/>
        <v>OK</v>
      </c>
    </row>
    <row r="52" ht="14.25" customHeight="1">
      <c r="A52" s="4" t="s">
        <v>201</v>
      </c>
      <c r="B52" s="4" t="s">
        <v>202</v>
      </c>
      <c r="C52" s="4">
        <v>61.0</v>
      </c>
      <c r="D52" s="4" t="s">
        <v>22</v>
      </c>
      <c r="E52" s="4" t="s">
        <v>203</v>
      </c>
      <c r="F52" s="4" t="s">
        <v>204</v>
      </c>
      <c r="G52" s="4" t="s">
        <v>19</v>
      </c>
      <c r="H52" s="4" t="s">
        <v>56</v>
      </c>
      <c r="I52" s="4" t="str">
        <f t="shared" si="2"/>
        <v>Matthew Hunter Jr.</v>
      </c>
      <c r="J52" s="4" t="str">
        <f t="shared" ref="J52:K52" si="55">TRIM(PROPER(E52))</f>
        <v>Gregoryview</v>
      </c>
      <c r="K52" s="4" t="str">
        <f t="shared" si="55"/>
        <v>Illinois</v>
      </c>
      <c r="L52" s="4" t="str">
        <f t="shared" si="4"/>
        <v>Female</v>
      </c>
      <c r="M52" s="4" t="str">
        <f t="shared" si="5"/>
        <v>Gold</v>
      </c>
      <c r="N52" s="4" t="str">
        <f t="shared" si="6"/>
        <v>OK</v>
      </c>
    </row>
    <row r="53" ht="14.25" customHeight="1">
      <c r="A53" s="4" t="s">
        <v>205</v>
      </c>
      <c r="B53" s="4" t="s">
        <v>206</v>
      </c>
      <c r="C53" s="4">
        <v>23.0</v>
      </c>
      <c r="D53" s="4" t="s">
        <v>22</v>
      </c>
      <c r="E53" s="4" t="s">
        <v>207</v>
      </c>
      <c r="F53" s="4" t="s">
        <v>51</v>
      </c>
      <c r="G53" s="4" t="s">
        <v>19</v>
      </c>
      <c r="H53" s="4" t="s">
        <v>56</v>
      </c>
      <c r="I53" s="4" t="str">
        <f t="shared" si="2"/>
        <v>Sarah Rodgers</v>
      </c>
      <c r="J53" s="4" t="str">
        <f t="shared" ref="J53:K53" si="56">TRIM(PROPER(E53))</f>
        <v>New Julia</v>
      </c>
      <c r="K53" s="4" t="str">
        <f t="shared" si="56"/>
        <v>West Virginia</v>
      </c>
      <c r="L53" s="4" t="str">
        <f t="shared" si="4"/>
        <v>Female</v>
      </c>
      <c r="M53" s="4" t="str">
        <f t="shared" si="5"/>
        <v>Gold</v>
      </c>
      <c r="N53" s="4" t="str">
        <f t="shared" si="6"/>
        <v>OK</v>
      </c>
    </row>
    <row r="54" ht="14.25" customHeight="1">
      <c r="A54" s="4" t="s">
        <v>208</v>
      </c>
      <c r="B54" s="4" t="s">
        <v>209</v>
      </c>
      <c r="C54" s="4">
        <v>55.0</v>
      </c>
      <c r="D54" s="4" t="s">
        <v>16</v>
      </c>
      <c r="E54" s="4" t="s">
        <v>210</v>
      </c>
      <c r="F54" s="4" t="s">
        <v>211</v>
      </c>
      <c r="G54" s="4" t="s">
        <v>19</v>
      </c>
      <c r="H54" s="4" t="s">
        <v>34</v>
      </c>
      <c r="I54" s="4" t="str">
        <f t="shared" si="2"/>
        <v>Debra Liu</v>
      </c>
      <c r="J54" s="4" t="str">
        <f t="shared" ref="J54:K54" si="57">TRIM(PROPER(E54))</f>
        <v>South Timtown</v>
      </c>
      <c r="K54" s="4" t="str">
        <f t="shared" si="57"/>
        <v>Minnesota</v>
      </c>
      <c r="L54" s="4" t="str">
        <f t="shared" si="4"/>
        <v>Male</v>
      </c>
      <c r="M54" s="4" t="str">
        <f t="shared" si="5"/>
        <v>Bronze</v>
      </c>
      <c r="N54" s="4" t="str">
        <f t="shared" si="6"/>
        <v>OK</v>
      </c>
    </row>
    <row r="55" ht="14.25" customHeight="1">
      <c r="A55" s="4" t="s">
        <v>212</v>
      </c>
      <c r="B55" s="4" t="s">
        <v>213</v>
      </c>
      <c r="C55" s="4">
        <v>37.0</v>
      </c>
      <c r="D55" s="4" t="s">
        <v>22</v>
      </c>
      <c r="E55" s="4" t="s">
        <v>214</v>
      </c>
      <c r="F55" s="4" t="s">
        <v>166</v>
      </c>
      <c r="G55" s="4" t="s">
        <v>19</v>
      </c>
      <c r="H55" s="4" t="s">
        <v>56</v>
      </c>
      <c r="I55" s="4" t="str">
        <f t="shared" si="2"/>
        <v>Sharon Brown</v>
      </c>
      <c r="J55" s="4" t="str">
        <f t="shared" ref="J55:K55" si="58">TRIM(PROPER(E55))</f>
        <v>East Andrea</v>
      </c>
      <c r="K55" s="4" t="str">
        <f t="shared" si="58"/>
        <v>Michigan</v>
      </c>
      <c r="L55" s="4" t="str">
        <f t="shared" si="4"/>
        <v>Female</v>
      </c>
      <c r="M55" s="4" t="str">
        <f t="shared" si="5"/>
        <v>Gold</v>
      </c>
      <c r="N55" s="4" t="str">
        <f t="shared" si="6"/>
        <v>OK</v>
      </c>
    </row>
    <row r="56" ht="14.25" customHeight="1">
      <c r="A56" s="4" t="s">
        <v>215</v>
      </c>
      <c r="B56" s="4" t="s">
        <v>216</v>
      </c>
      <c r="C56" s="4">
        <v>24.0</v>
      </c>
      <c r="D56" s="4" t="s">
        <v>16</v>
      </c>
      <c r="E56" s="4" t="s">
        <v>217</v>
      </c>
      <c r="F56" s="4" t="s">
        <v>105</v>
      </c>
      <c r="G56" s="4" t="s">
        <v>19</v>
      </c>
      <c r="H56" s="4" t="s">
        <v>25</v>
      </c>
      <c r="I56" s="4" t="str">
        <f t="shared" si="2"/>
        <v>Katherine Dorsey</v>
      </c>
      <c r="J56" s="4" t="str">
        <f t="shared" ref="J56:K56" si="59">TRIM(PROPER(E56))</f>
        <v>Christopherland</v>
      </c>
      <c r="K56" s="4" t="str">
        <f t="shared" si="59"/>
        <v>Oklahoma</v>
      </c>
      <c r="L56" s="4" t="str">
        <f t="shared" si="4"/>
        <v>Male</v>
      </c>
      <c r="M56" s="4" t="str">
        <f t="shared" si="5"/>
        <v>Platinum</v>
      </c>
      <c r="N56" s="4" t="str">
        <f t="shared" si="6"/>
        <v>OK</v>
      </c>
    </row>
    <row r="57" ht="14.25" customHeight="1">
      <c r="A57" s="4" t="s">
        <v>218</v>
      </c>
      <c r="B57" s="4" t="s">
        <v>219</v>
      </c>
      <c r="C57" s="4">
        <v>56.0</v>
      </c>
      <c r="D57" s="4" t="s">
        <v>22</v>
      </c>
      <c r="E57" s="4" t="s">
        <v>220</v>
      </c>
      <c r="F57" s="4" t="s">
        <v>211</v>
      </c>
      <c r="G57" s="4" t="s">
        <v>19</v>
      </c>
      <c r="H57" s="4" t="s">
        <v>34</v>
      </c>
      <c r="I57" s="4" t="str">
        <f t="shared" si="2"/>
        <v>Wayne Mcpherson</v>
      </c>
      <c r="J57" s="4" t="str">
        <f t="shared" ref="J57:K57" si="60">TRIM(PROPER(E57))</f>
        <v>Edwardsfort</v>
      </c>
      <c r="K57" s="4" t="str">
        <f t="shared" si="60"/>
        <v>Minnesota</v>
      </c>
      <c r="L57" s="4" t="str">
        <f t="shared" si="4"/>
        <v>Female</v>
      </c>
      <c r="M57" s="4" t="str">
        <f t="shared" si="5"/>
        <v>Bronze</v>
      </c>
      <c r="N57" s="4" t="str">
        <f t="shared" si="6"/>
        <v>OK</v>
      </c>
    </row>
    <row r="58" ht="14.25" customHeight="1">
      <c r="A58" s="4" t="s">
        <v>221</v>
      </c>
      <c r="B58" s="4" t="s">
        <v>222</v>
      </c>
      <c r="C58" s="4">
        <v>49.0</v>
      </c>
      <c r="D58" s="4" t="s">
        <v>22</v>
      </c>
      <c r="E58" s="4" t="s">
        <v>223</v>
      </c>
      <c r="F58" s="4" t="s">
        <v>60</v>
      </c>
      <c r="G58" s="4" t="s">
        <v>19</v>
      </c>
      <c r="H58" s="4" t="s">
        <v>56</v>
      </c>
      <c r="I58" s="4" t="str">
        <f t="shared" si="2"/>
        <v>Christopher Sutton</v>
      </c>
      <c r="J58" s="4" t="str">
        <f t="shared" ref="J58:K58" si="61">TRIM(PROPER(E58))</f>
        <v>Deborahberg</v>
      </c>
      <c r="K58" s="4" t="str">
        <f t="shared" si="61"/>
        <v>Pennsylvania</v>
      </c>
      <c r="L58" s="4" t="str">
        <f t="shared" si="4"/>
        <v>Female</v>
      </c>
      <c r="M58" s="4" t="str">
        <f t="shared" si="5"/>
        <v>Gold</v>
      </c>
      <c r="N58" s="4" t="str">
        <f t="shared" si="6"/>
        <v>OK</v>
      </c>
    </row>
    <row r="59" ht="14.25" customHeight="1">
      <c r="A59" s="4" t="s">
        <v>224</v>
      </c>
      <c r="B59" s="4" t="s">
        <v>225</v>
      </c>
      <c r="C59" s="4">
        <v>43.0</v>
      </c>
      <c r="D59" s="4" t="s">
        <v>22</v>
      </c>
      <c r="E59" s="4" t="s">
        <v>226</v>
      </c>
      <c r="F59" s="4" t="s">
        <v>227</v>
      </c>
      <c r="G59" s="4" t="s">
        <v>19</v>
      </c>
      <c r="H59" s="4" t="s">
        <v>25</v>
      </c>
      <c r="I59" s="4" t="str">
        <f t="shared" si="2"/>
        <v>Jay Patel</v>
      </c>
      <c r="J59" s="4" t="str">
        <f t="shared" ref="J59:K59" si="62">TRIM(PROPER(E59))</f>
        <v>Morrisbury</v>
      </c>
      <c r="K59" s="4" t="str">
        <f t="shared" si="62"/>
        <v>Rhode Island</v>
      </c>
      <c r="L59" s="4" t="str">
        <f t="shared" si="4"/>
        <v>Female</v>
      </c>
      <c r="M59" s="4" t="str">
        <f t="shared" si="5"/>
        <v>Platinum</v>
      </c>
      <c r="N59" s="4" t="str">
        <f t="shared" si="6"/>
        <v>OK</v>
      </c>
    </row>
    <row r="60" ht="14.25" customHeight="1">
      <c r="A60" s="4" t="s">
        <v>228</v>
      </c>
      <c r="B60" s="4" t="s">
        <v>229</v>
      </c>
      <c r="C60" s="4">
        <v>51.0</v>
      </c>
      <c r="D60" s="4" t="s">
        <v>16</v>
      </c>
      <c r="E60" s="4" t="s">
        <v>230</v>
      </c>
      <c r="F60" s="4" t="s">
        <v>150</v>
      </c>
      <c r="G60" s="4" t="s">
        <v>19</v>
      </c>
      <c r="H60" s="4" t="s">
        <v>25</v>
      </c>
      <c r="I60" s="4" t="str">
        <f t="shared" si="2"/>
        <v>Cheryl Copeland</v>
      </c>
      <c r="J60" s="4" t="str">
        <f t="shared" ref="J60:K60" si="63">TRIM(PROPER(E60))</f>
        <v>Snowmouth</v>
      </c>
      <c r="K60" s="4" t="str">
        <f t="shared" si="63"/>
        <v>Maryland</v>
      </c>
      <c r="L60" s="4" t="str">
        <f t="shared" si="4"/>
        <v>Male</v>
      </c>
      <c r="M60" s="4" t="str">
        <f t="shared" si="5"/>
        <v>Platinum</v>
      </c>
      <c r="N60" s="4" t="str">
        <f t="shared" si="6"/>
        <v>OK</v>
      </c>
    </row>
    <row r="61" ht="14.25" customHeight="1">
      <c r="A61" s="4" t="s">
        <v>231</v>
      </c>
      <c r="B61" s="4" t="s">
        <v>232</v>
      </c>
      <c r="C61" s="4">
        <v>53.0</v>
      </c>
      <c r="D61" s="4" t="s">
        <v>16</v>
      </c>
      <c r="E61" s="4" t="s">
        <v>233</v>
      </c>
      <c r="F61" s="4" t="s">
        <v>75</v>
      </c>
      <c r="G61" s="4" t="s">
        <v>19</v>
      </c>
      <c r="H61" s="4" t="s">
        <v>25</v>
      </c>
      <c r="I61" s="4" t="str">
        <f t="shared" si="2"/>
        <v>Alyssa Vargas</v>
      </c>
      <c r="J61" s="4" t="str">
        <f t="shared" ref="J61:K61" si="64">TRIM(PROPER(E61))</f>
        <v>New Kathrynland</v>
      </c>
      <c r="K61" s="4" t="str">
        <f t="shared" si="64"/>
        <v>Montana</v>
      </c>
      <c r="L61" s="4" t="str">
        <f t="shared" si="4"/>
        <v>Male</v>
      </c>
      <c r="M61" s="4" t="str">
        <f t="shared" si="5"/>
        <v>Platinum</v>
      </c>
      <c r="N61" s="4" t="str">
        <f t="shared" si="6"/>
        <v>OK</v>
      </c>
    </row>
    <row r="62" ht="14.25" customHeight="1">
      <c r="A62" s="4" t="s">
        <v>234</v>
      </c>
      <c r="B62" s="4" t="s">
        <v>235</v>
      </c>
      <c r="C62" s="4">
        <v>22.0</v>
      </c>
      <c r="D62" s="4" t="s">
        <v>22</v>
      </c>
      <c r="E62" s="4" t="s">
        <v>236</v>
      </c>
      <c r="F62" s="4" t="s">
        <v>173</v>
      </c>
      <c r="G62" s="4" t="s">
        <v>19</v>
      </c>
      <c r="H62" s="4" t="s">
        <v>39</v>
      </c>
      <c r="I62" s="4" t="str">
        <f t="shared" si="2"/>
        <v>Dr. David Smith</v>
      </c>
      <c r="J62" s="4" t="str">
        <f t="shared" ref="J62:K62" si="65">TRIM(PROPER(E62))</f>
        <v>Schmidtchester</v>
      </c>
      <c r="K62" s="4" t="str">
        <f t="shared" si="65"/>
        <v>Alaska</v>
      </c>
      <c r="L62" s="4" t="str">
        <f t="shared" si="4"/>
        <v>Female</v>
      </c>
      <c r="M62" s="4" t="str">
        <f t="shared" si="5"/>
        <v>Silver</v>
      </c>
      <c r="N62" s="4" t="str">
        <f t="shared" si="6"/>
        <v>OK</v>
      </c>
    </row>
    <row r="63" ht="14.25" customHeight="1">
      <c r="A63" s="4" t="s">
        <v>237</v>
      </c>
      <c r="B63" s="4" t="s">
        <v>238</v>
      </c>
      <c r="C63" s="4">
        <v>23.0</v>
      </c>
      <c r="D63" s="4" t="s">
        <v>16</v>
      </c>
      <c r="E63" s="4" t="s">
        <v>239</v>
      </c>
      <c r="F63" s="4" t="s">
        <v>123</v>
      </c>
      <c r="G63" s="4" t="s">
        <v>19</v>
      </c>
      <c r="H63" s="4" t="s">
        <v>39</v>
      </c>
      <c r="I63" s="4" t="str">
        <f t="shared" si="2"/>
        <v>Kristin Stein</v>
      </c>
      <c r="J63" s="4" t="str">
        <f t="shared" ref="J63:K63" si="66">TRIM(PROPER(E63))</f>
        <v>Jennifermouth</v>
      </c>
      <c r="K63" s="4" t="str">
        <f t="shared" si="66"/>
        <v>Missouri</v>
      </c>
      <c r="L63" s="4" t="str">
        <f t="shared" si="4"/>
        <v>Male</v>
      </c>
      <c r="M63" s="4" t="str">
        <f t="shared" si="5"/>
        <v>Silver</v>
      </c>
      <c r="N63" s="4" t="str">
        <f t="shared" si="6"/>
        <v>OK</v>
      </c>
    </row>
    <row r="64" ht="14.25" customHeight="1">
      <c r="A64" s="4" t="s">
        <v>240</v>
      </c>
      <c r="B64" s="4" t="s">
        <v>241</v>
      </c>
      <c r="C64" s="4">
        <v>50.0</v>
      </c>
      <c r="D64" s="4" t="s">
        <v>16</v>
      </c>
      <c r="E64" s="4" t="s">
        <v>242</v>
      </c>
      <c r="F64" s="4" t="s">
        <v>243</v>
      </c>
      <c r="G64" s="4" t="s">
        <v>19</v>
      </c>
      <c r="H64" s="4" t="s">
        <v>34</v>
      </c>
      <c r="I64" s="4" t="str">
        <f t="shared" si="2"/>
        <v>James Bean</v>
      </c>
      <c r="J64" s="4" t="str">
        <f t="shared" ref="J64:K64" si="67">TRIM(PROPER(E64))</f>
        <v>Stevensonton</v>
      </c>
      <c r="K64" s="4" t="str">
        <f t="shared" si="67"/>
        <v>New Mexico</v>
      </c>
      <c r="L64" s="4" t="str">
        <f t="shared" si="4"/>
        <v>Male</v>
      </c>
      <c r="M64" s="4" t="str">
        <f t="shared" si="5"/>
        <v>Bronze</v>
      </c>
      <c r="N64" s="4" t="str">
        <f t="shared" si="6"/>
        <v>OK</v>
      </c>
    </row>
    <row r="65" ht="14.25" customHeight="1">
      <c r="A65" s="4" t="s">
        <v>244</v>
      </c>
      <c r="B65" s="4" t="s">
        <v>245</v>
      </c>
      <c r="C65" s="4">
        <v>51.0</v>
      </c>
      <c r="D65" s="4" t="s">
        <v>16</v>
      </c>
      <c r="E65" s="4" t="s">
        <v>246</v>
      </c>
      <c r="F65" s="4" t="s">
        <v>247</v>
      </c>
      <c r="G65" s="4" t="s">
        <v>19</v>
      </c>
      <c r="H65" s="4" t="s">
        <v>25</v>
      </c>
      <c r="I65" s="4" t="str">
        <f t="shared" si="2"/>
        <v>Michael Daniel</v>
      </c>
      <c r="J65" s="4" t="str">
        <f t="shared" ref="J65:K65" si="68">TRIM(PROPER(E65))</f>
        <v>New Jesse</v>
      </c>
      <c r="K65" s="4" t="str">
        <f t="shared" si="68"/>
        <v>Tennessee</v>
      </c>
      <c r="L65" s="4" t="str">
        <f t="shared" si="4"/>
        <v>Male</v>
      </c>
      <c r="M65" s="4" t="str">
        <f t="shared" si="5"/>
        <v>Platinum</v>
      </c>
      <c r="N65" s="4" t="str">
        <f t="shared" si="6"/>
        <v>OK</v>
      </c>
    </row>
    <row r="66" ht="14.25" customHeight="1">
      <c r="A66" s="4" t="s">
        <v>248</v>
      </c>
      <c r="B66" s="4" t="s">
        <v>249</v>
      </c>
      <c r="C66" s="4">
        <v>33.0</v>
      </c>
      <c r="D66" s="4" t="s">
        <v>16</v>
      </c>
      <c r="E66" s="4" t="s">
        <v>250</v>
      </c>
      <c r="F66" s="4" t="s">
        <v>143</v>
      </c>
      <c r="G66" s="4" t="s">
        <v>19</v>
      </c>
      <c r="H66" s="4" t="s">
        <v>56</v>
      </c>
      <c r="I66" s="4" t="str">
        <f t="shared" si="2"/>
        <v>Mr. Mason Butler</v>
      </c>
      <c r="J66" s="4" t="str">
        <f t="shared" ref="J66:K66" si="69">TRIM(PROPER(E66))</f>
        <v>Port Kathrynhaven</v>
      </c>
      <c r="K66" s="4" t="str">
        <f t="shared" si="69"/>
        <v>Arizona</v>
      </c>
      <c r="L66" s="4" t="str">
        <f t="shared" si="4"/>
        <v>Male</v>
      </c>
      <c r="M66" s="4" t="str">
        <f t="shared" si="5"/>
        <v>Gold</v>
      </c>
      <c r="N66" s="4" t="str">
        <f t="shared" si="6"/>
        <v>OK</v>
      </c>
    </row>
    <row r="67" ht="14.25" customHeight="1">
      <c r="A67" s="4" t="s">
        <v>251</v>
      </c>
      <c r="B67" s="4" t="s">
        <v>252</v>
      </c>
      <c r="C67" s="4">
        <v>21.0</v>
      </c>
      <c r="D67" s="4" t="s">
        <v>22</v>
      </c>
      <c r="E67" s="4" t="s">
        <v>253</v>
      </c>
      <c r="F67" s="4" t="s">
        <v>194</v>
      </c>
      <c r="G67" s="4" t="s">
        <v>19</v>
      </c>
      <c r="H67" s="4" t="s">
        <v>39</v>
      </c>
      <c r="I67" s="4" t="str">
        <f t="shared" si="2"/>
        <v>Michael Thomas</v>
      </c>
      <c r="J67" s="4" t="str">
        <f t="shared" ref="J67:K67" si="70">TRIM(PROPER(E67))</f>
        <v>Woodmouth</v>
      </c>
      <c r="K67" s="4" t="str">
        <f t="shared" si="70"/>
        <v>Nevada</v>
      </c>
      <c r="L67" s="4" t="str">
        <f t="shared" si="4"/>
        <v>Female</v>
      </c>
      <c r="M67" s="4" t="str">
        <f t="shared" si="5"/>
        <v>Silver</v>
      </c>
      <c r="N67" s="4" t="str">
        <f t="shared" si="6"/>
        <v>OK</v>
      </c>
    </row>
    <row r="68" ht="14.25" customHeight="1">
      <c r="A68" s="4" t="s">
        <v>254</v>
      </c>
      <c r="B68" s="4" t="s">
        <v>255</v>
      </c>
      <c r="C68" s="4">
        <v>27.0</v>
      </c>
      <c r="D68" s="4" t="s">
        <v>22</v>
      </c>
      <c r="E68" s="4" t="s">
        <v>256</v>
      </c>
      <c r="F68" s="4" t="s">
        <v>55</v>
      </c>
      <c r="G68" s="4" t="s">
        <v>19</v>
      </c>
      <c r="H68" s="4" t="s">
        <v>39</v>
      </c>
      <c r="I68" s="4" t="str">
        <f t="shared" si="2"/>
        <v>Cody Diaz</v>
      </c>
      <c r="J68" s="4" t="str">
        <f t="shared" ref="J68:K68" si="71">TRIM(PROPER(E68))</f>
        <v>South Aaronside</v>
      </c>
      <c r="K68" s="4" t="str">
        <f t="shared" si="71"/>
        <v>New Hampshire</v>
      </c>
      <c r="L68" s="4" t="str">
        <f t="shared" si="4"/>
        <v>Female</v>
      </c>
      <c r="M68" s="4" t="str">
        <f t="shared" si="5"/>
        <v>Silver</v>
      </c>
      <c r="N68" s="4" t="str">
        <f t="shared" si="6"/>
        <v>OK</v>
      </c>
    </row>
    <row r="69" ht="14.25" customHeight="1">
      <c r="A69" s="4" t="s">
        <v>257</v>
      </c>
      <c r="B69" s="4" t="s">
        <v>258</v>
      </c>
      <c r="C69" s="4">
        <v>58.0</v>
      </c>
      <c r="D69" s="4" t="s">
        <v>16</v>
      </c>
      <c r="E69" s="4" t="s">
        <v>259</v>
      </c>
      <c r="F69" s="4" t="s">
        <v>260</v>
      </c>
      <c r="G69" s="4" t="s">
        <v>19</v>
      </c>
      <c r="H69" s="4" t="s">
        <v>39</v>
      </c>
      <c r="I69" s="4" t="str">
        <f t="shared" si="2"/>
        <v>Amber Mcclain</v>
      </c>
      <c r="J69" s="4" t="str">
        <f t="shared" ref="J69:K69" si="72">TRIM(PROPER(E69))</f>
        <v>Brendaburgh</v>
      </c>
      <c r="K69" s="4" t="str">
        <f t="shared" si="72"/>
        <v>Florida</v>
      </c>
      <c r="L69" s="4" t="str">
        <f t="shared" si="4"/>
        <v>Male</v>
      </c>
      <c r="M69" s="4" t="str">
        <f t="shared" si="5"/>
        <v>Silver</v>
      </c>
      <c r="N69" s="4" t="str">
        <f t="shared" si="6"/>
        <v>OK</v>
      </c>
    </row>
    <row r="70" ht="14.25" customHeight="1">
      <c r="A70" s="4" t="s">
        <v>261</v>
      </c>
      <c r="B70" s="4" t="s">
        <v>262</v>
      </c>
      <c r="C70" s="4">
        <v>24.0</v>
      </c>
      <c r="D70" s="4" t="s">
        <v>22</v>
      </c>
      <c r="E70" s="4" t="s">
        <v>263</v>
      </c>
      <c r="F70" s="4" t="s">
        <v>264</v>
      </c>
      <c r="G70" s="4" t="s">
        <v>19</v>
      </c>
      <c r="H70" s="4" t="s">
        <v>39</v>
      </c>
      <c r="I70" s="4" t="str">
        <f t="shared" si="2"/>
        <v>Mr. Mark Beasley</v>
      </c>
      <c r="J70" s="4" t="str">
        <f t="shared" ref="J70:K70" si="73">TRIM(PROPER(E70))</f>
        <v>West Johnchester</v>
      </c>
      <c r="K70" s="4" t="str">
        <f t="shared" si="73"/>
        <v>Indiana</v>
      </c>
      <c r="L70" s="4" t="str">
        <f t="shared" si="4"/>
        <v>Female</v>
      </c>
      <c r="M70" s="4" t="str">
        <f t="shared" si="5"/>
        <v>Silver</v>
      </c>
      <c r="N70" s="4" t="str">
        <f t="shared" si="6"/>
        <v>OK</v>
      </c>
    </row>
    <row r="71" ht="14.25" customHeight="1">
      <c r="A71" s="4" t="s">
        <v>265</v>
      </c>
      <c r="B71" s="4" t="s">
        <v>266</v>
      </c>
      <c r="C71" s="4">
        <v>24.0</v>
      </c>
      <c r="D71" s="4" t="s">
        <v>22</v>
      </c>
      <c r="E71" s="4" t="s">
        <v>267</v>
      </c>
      <c r="F71" s="4" t="s">
        <v>97</v>
      </c>
      <c r="G71" s="4" t="s">
        <v>19</v>
      </c>
      <c r="H71" s="4" t="s">
        <v>25</v>
      </c>
      <c r="I71" s="4" t="str">
        <f t="shared" si="2"/>
        <v>Roy Cole</v>
      </c>
      <c r="J71" s="4" t="str">
        <f t="shared" ref="J71:K71" si="74">TRIM(PROPER(E71))</f>
        <v>North Cynthiatown</v>
      </c>
      <c r="K71" s="4" t="str">
        <f t="shared" si="74"/>
        <v>New Jersey</v>
      </c>
      <c r="L71" s="4" t="str">
        <f t="shared" si="4"/>
        <v>Female</v>
      </c>
      <c r="M71" s="4" t="str">
        <f t="shared" si="5"/>
        <v>Platinum</v>
      </c>
      <c r="N71" s="4" t="str">
        <f t="shared" si="6"/>
        <v>OK</v>
      </c>
    </row>
    <row r="72" ht="14.25" customHeight="1">
      <c r="A72" s="4" t="s">
        <v>268</v>
      </c>
      <c r="B72" s="4" t="s">
        <v>269</v>
      </c>
      <c r="C72" s="4">
        <v>29.0</v>
      </c>
      <c r="D72" s="4" t="s">
        <v>22</v>
      </c>
      <c r="E72" s="4" t="s">
        <v>270</v>
      </c>
      <c r="F72" s="4" t="s">
        <v>243</v>
      </c>
      <c r="G72" s="4" t="s">
        <v>19</v>
      </c>
      <c r="H72" s="4" t="s">
        <v>56</v>
      </c>
      <c r="I72" s="4" t="str">
        <f t="shared" si="2"/>
        <v>Eric Singh</v>
      </c>
      <c r="J72" s="4" t="str">
        <f t="shared" ref="J72:K72" si="75">TRIM(PROPER(E72))</f>
        <v>Port Lisa</v>
      </c>
      <c r="K72" s="4" t="str">
        <f t="shared" si="75"/>
        <v>New Mexico</v>
      </c>
      <c r="L72" s="4" t="str">
        <f t="shared" si="4"/>
        <v>Female</v>
      </c>
      <c r="M72" s="4" t="str">
        <f t="shared" si="5"/>
        <v>Gold</v>
      </c>
      <c r="N72" s="4" t="str">
        <f t="shared" si="6"/>
        <v>OK</v>
      </c>
    </row>
    <row r="73" ht="14.25" customHeight="1">
      <c r="A73" s="4" t="s">
        <v>271</v>
      </c>
      <c r="B73" s="4" t="s">
        <v>272</v>
      </c>
      <c r="C73" s="4">
        <v>61.0</v>
      </c>
      <c r="D73" s="4" t="s">
        <v>22</v>
      </c>
      <c r="E73" s="4" t="s">
        <v>273</v>
      </c>
      <c r="F73" s="4" t="s">
        <v>243</v>
      </c>
      <c r="G73" s="4" t="s">
        <v>19</v>
      </c>
      <c r="H73" s="4" t="s">
        <v>56</v>
      </c>
      <c r="I73" s="4" t="str">
        <f t="shared" si="2"/>
        <v>Andrea Perez</v>
      </c>
      <c r="J73" s="4" t="str">
        <f t="shared" ref="J73:K73" si="76">TRIM(PROPER(E73))</f>
        <v>South Shaun</v>
      </c>
      <c r="K73" s="4" t="str">
        <f t="shared" si="76"/>
        <v>New Mexico</v>
      </c>
      <c r="L73" s="4" t="str">
        <f t="shared" si="4"/>
        <v>Female</v>
      </c>
      <c r="M73" s="4" t="str">
        <f t="shared" si="5"/>
        <v>Gold</v>
      </c>
      <c r="N73" s="4" t="str">
        <f t="shared" si="6"/>
        <v>OK</v>
      </c>
    </row>
    <row r="74" ht="14.25" customHeight="1">
      <c r="A74" s="4" t="s">
        <v>274</v>
      </c>
      <c r="B74" s="4" t="s">
        <v>275</v>
      </c>
      <c r="C74" s="4">
        <v>39.0</v>
      </c>
      <c r="D74" s="4" t="s">
        <v>22</v>
      </c>
      <c r="E74" s="4" t="s">
        <v>276</v>
      </c>
      <c r="F74" s="4" t="s">
        <v>277</v>
      </c>
      <c r="G74" s="4" t="s">
        <v>19</v>
      </c>
      <c r="H74" s="4" t="s">
        <v>56</v>
      </c>
      <c r="I74" s="4" t="str">
        <f t="shared" si="2"/>
        <v>Tonya Burch</v>
      </c>
      <c r="J74" s="4" t="str">
        <f t="shared" ref="J74:K74" si="77">TRIM(PROPER(E74))</f>
        <v>Olsonhaven</v>
      </c>
      <c r="K74" s="4" t="str">
        <f t="shared" si="77"/>
        <v>Iowa</v>
      </c>
      <c r="L74" s="4" t="str">
        <f t="shared" si="4"/>
        <v>Female</v>
      </c>
      <c r="M74" s="4" t="str">
        <f t="shared" si="5"/>
        <v>Gold</v>
      </c>
      <c r="N74" s="4" t="str">
        <f t="shared" si="6"/>
        <v>OK</v>
      </c>
    </row>
    <row r="75" ht="14.25" customHeight="1">
      <c r="A75" s="4" t="s">
        <v>278</v>
      </c>
      <c r="B75" s="4" t="s">
        <v>279</v>
      </c>
      <c r="C75" s="4">
        <v>56.0</v>
      </c>
      <c r="D75" s="4" t="s">
        <v>22</v>
      </c>
      <c r="E75" s="4" t="s">
        <v>280</v>
      </c>
      <c r="F75" s="4" t="s">
        <v>51</v>
      </c>
      <c r="G75" s="4" t="s">
        <v>19</v>
      </c>
      <c r="H75" s="4" t="s">
        <v>39</v>
      </c>
      <c r="I75" s="4" t="str">
        <f t="shared" si="2"/>
        <v>Christopher Brown</v>
      </c>
      <c r="J75" s="4" t="str">
        <f t="shared" ref="J75:K75" si="78">TRIM(PROPER(E75))</f>
        <v>Sandrastad</v>
      </c>
      <c r="K75" s="4" t="str">
        <f t="shared" si="78"/>
        <v>West Virginia</v>
      </c>
      <c r="L75" s="4" t="str">
        <f t="shared" si="4"/>
        <v>Female</v>
      </c>
      <c r="M75" s="4" t="str">
        <f t="shared" si="5"/>
        <v>Silver</v>
      </c>
      <c r="N75" s="4" t="str">
        <f t="shared" si="6"/>
        <v>OK</v>
      </c>
    </row>
    <row r="76" ht="14.25" customHeight="1">
      <c r="A76" s="4" t="s">
        <v>281</v>
      </c>
      <c r="B76" s="4" t="s">
        <v>282</v>
      </c>
      <c r="C76" s="4">
        <v>58.0</v>
      </c>
      <c r="D76" s="4" t="s">
        <v>16</v>
      </c>
      <c r="E76" s="4" t="s">
        <v>283</v>
      </c>
      <c r="F76" s="4" t="s">
        <v>284</v>
      </c>
      <c r="G76" s="4" t="s">
        <v>19</v>
      </c>
      <c r="H76" s="4" t="s">
        <v>34</v>
      </c>
      <c r="I76" s="4" t="str">
        <f t="shared" si="2"/>
        <v>John Mayer</v>
      </c>
      <c r="J76" s="4" t="str">
        <f t="shared" ref="J76:K76" si="79">TRIM(PROPER(E76))</f>
        <v>Longport</v>
      </c>
      <c r="K76" s="4" t="str">
        <f t="shared" si="79"/>
        <v>Colorado</v>
      </c>
      <c r="L76" s="4" t="str">
        <f t="shared" si="4"/>
        <v>Male</v>
      </c>
      <c r="M76" s="4" t="str">
        <f t="shared" si="5"/>
        <v>Bronze</v>
      </c>
      <c r="N76" s="4" t="str">
        <f t="shared" si="6"/>
        <v>OK</v>
      </c>
    </row>
    <row r="77" ht="14.25" customHeight="1">
      <c r="A77" s="4" t="s">
        <v>285</v>
      </c>
      <c r="B77" s="4" t="s">
        <v>286</v>
      </c>
      <c r="C77" s="4">
        <v>61.0</v>
      </c>
      <c r="D77" s="4" t="s">
        <v>22</v>
      </c>
      <c r="E77" s="4" t="s">
        <v>287</v>
      </c>
      <c r="F77" s="4" t="s">
        <v>38</v>
      </c>
      <c r="G77" s="4" t="s">
        <v>19</v>
      </c>
      <c r="H77" s="4" t="s">
        <v>56</v>
      </c>
      <c r="I77" s="4" t="str">
        <f t="shared" si="2"/>
        <v>Rhonda Morales</v>
      </c>
      <c r="J77" s="4" t="str">
        <f t="shared" ref="J77:K77" si="80">TRIM(PROPER(E77))</f>
        <v>Lake Barryfurt</v>
      </c>
      <c r="K77" s="4" t="str">
        <f t="shared" si="80"/>
        <v>California</v>
      </c>
      <c r="L77" s="4" t="str">
        <f t="shared" si="4"/>
        <v>Female</v>
      </c>
      <c r="M77" s="4" t="str">
        <f t="shared" si="5"/>
        <v>Gold</v>
      </c>
      <c r="N77" s="4" t="str">
        <f t="shared" si="6"/>
        <v>OK</v>
      </c>
    </row>
    <row r="78" ht="14.25" customHeight="1">
      <c r="A78" s="4" t="s">
        <v>288</v>
      </c>
      <c r="B78" s="4" t="s">
        <v>289</v>
      </c>
      <c r="C78" s="4">
        <v>37.0</v>
      </c>
      <c r="D78" s="4" t="s">
        <v>16</v>
      </c>
      <c r="E78" s="4" t="s">
        <v>290</v>
      </c>
      <c r="F78" s="4" t="s">
        <v>105</v>
      </c>
      <c r="G78" s="4" t="s">
        <v>19</v>
      </c>
      <c r="H78" s="4" t="s">
        <v>56</v>
      </c>
      <c r="I78" s="4" t="str">
        <f t="shared" si="2"/>
        <v>Nathan Campbell</v>
      </c>
      <c r="J78" s="4" t="str">
        <f t="shared" ref="J78:K78" si="81">TRIM(PROPER(E78))</f>
        <v>Rodrigueztown</v>
      </c>
      <c r="K78" s="4" t="str">
        <f t="shared" si="81"/>
        <v>Oklahoma</v>
      </c>
      <c r="L78" s="4" t="str">
        <f t="shared" si="4"/>
        <v>Male</v>
      </c>
      <c r="M78" s="4" t="str">
        <f t="shared" si="5"/>
        <v>Gold</v>
      </c>
      <c r="N78" s="4" t="str">
        <f t="shared" si="6"/>
        <v>OK</v>
      </c>
    </row>
    <row r="79" ht="14.25" customHeight="1">
      <c r="A79" s="4" t="s">
        <v>291</v>
      </c>
      <c r="B79" s="4" t="s">
        <v>292</v>
      </c>
      <c r="C79" s="4">
        <v>29.0</v>
      </c>
      <c r="D79" s="4" t="s">
        <v>16</v>
      </c>
      <c r="E79" s="4" t="s">
        <v>293</v>
      </c>
      <c r="F79" s="4" t="s">
        <v>181</v>
      </c>
      <c r="G79" s="4" t="s">
        <v>19</v>
      </c>
      <c r="H79" s="4" t="s">
        <v>56</v>
      </c>
      <c r="I79" s="4" t="str">
        <f t="shared" si="2"/>
        <v>Katherine Young</v>
      </c>
      <c r="J79" s="4" t="str">
        <f t="shared" ref="J79:K79" si="82">TRIM(PROPER(E79))</f>
        <v>North Valeriemouth</v>
      </c>
      <c r="K79" s="4" t="str">
        <f t="shared" si="82"/>
        <v>Vermont</v>
      </c>
      <c r="L79" s="4" t="str">
        <f t="shared" si="4"/>
        <v>Male</v>
      </c>
      <c r="M79" s="4" t="str">
        <f t="shared" si="5"/>
        <v>Gold</v>
      </c>
      <c r="N79" s="4" t="str">
        <f t="shared" si="6"/>
        <v>OK</v>
      </c>
    </row>
    <row r="80" ht="14.25" customHeight="1">
      <c r="A80" s="4" t="s">
        <v>294</v>
      </c>
      <c r="B80" s="4" t="s">
        <v>295</v>
      </c>
      <c r="C80" s="4">
        <v>21.0</v>
      </c>
      <c r="D80" s="4" t="s">
        <v>16</v>
      </c>
      <c r="E80" s="4" t="s">
        <v>296</v>
      </c>
      <c r="F80" s="4" t="s">
        <v>297</v>
      </c>
      <c r="G80" s="4" t="s">
        <v>19</v>
      </c>
      <c r="H80" s="4" t="s">
        <v>56</v>
      </c>
      <c r="I80" s="4" t="str">
        <f t="shared" si="2"/>
        <v>Cody Blake</v>
      </c>
      <c r="J80" s="4" t="str">
        <f t="shared" ref="J80:K80" si="83">TRIM(PROPER(E80))</f>
        <v>North Scottport</v>
      </c>
      <c r="K80" s="4" t="str">
        <f t="shared" si="83"/>
        <v>Virginia</v>
      </c>
      <c r="L80" s="4" t="str">
        <f t="shared" si="4"/>
        <v>Male</v>
      </c>
      <c r="M80" s="4" t="str">
        <f t="shared" si="5"/>
        <v>Gold</v>
      </c>
      <c r="N80" s="4" t="str">
        <f t="shared" si="6"/>
        <v>OK</v>
      </c>
    </row>
    <row r="81" ht="14.25" customHeight="1">
      <c r="A81" s="4" t="s">
        <v>298</v>
      </c>
      <c r="B81" s="4" t="s">
        <v>299</v>
      </c>
      <c r="C81" s="4">
        <v>22.0</v>
      </c>
      <c r="D81" s="4" t="s">
        <v>22</v>
      </c>
      <c r="E81" s="4" t="s">
        <v>300</v>
      </c>
      <c r="F81" s="4" t="s">
        <v>301</v>
      </c>
      <c r="G81" s="4" t="s">
        <v>19</v>
      </c>
      <c r="H81" s="4" t="s">
        <v>25</v>
      </c>
      <c r="I81" s="4" t="str">
        <f t="shared" si="2"/>
        <v>Molly Gardner</v>
      </c>
      <c r="J81" s="4" t="str">
        <f t="shared" ref="J81:K81" si="84">TRIM(PROPER(E81))</f>
        <v>Nicoleborough</v>
      </c>
      <c r="K81" s="4" t="str">
        <f t="shared" si="84"/>
        <v>Arkansas</v>
      </c>
      <c r="L81" s="4" t="str">
        <f t="shared" si="4"/>
        <v>Female</v>
      </c>
      <c r="M81" s="4" t="str">
        <f t="shared" si="5"/>
        <v>Platinum</v>
      </c>
      <c r="N81" s="4" t="str">
        <f t="shared" si="6"/>
        <v>OK</v>
      </c>
    </row>
    <row r="82" ht="14.25" customHeight="1">
      <c r="A82" s="4" t="s">
        <v>302</v>
      </c>
      <c r="B82" s="4" t="s">
        <v>303</v>
      </c>
      <c r="C82" s="4">
        <v>61.0</v>
      </c>
      <c r="D82" s="4" t="s">
        <v>22</v>
      </c>
      <c r="E82" s="4" t="s">
        <v>304</v>
      </c>
      <c r="F82" s="4" t="s">
        <v>243</v>
      </c>
      <c r="G82" s="4" t="s">
        <v>19</v>
      </c>
      <c r="H82" s="4" t="s">
        <v>34</v>
      </c>
      <c r="I82" s="4" t="str">
        <f t="shared" si="2"/>
        <v>Jennifer Garcia</v>
      </c>
      <c r="J82" s="4" t="str">
        <f t="shared" ref="J82:K82" si="85">TRIM(PROPER(E82))</f>
        <v>New Sean</v>
      </c>
      <c r="K82" s="4" t="str">
        <f t="shared" si="85"/>
        <v>New Mexico</v>
      </c>
      <c r="L82" s="4" t="str">
        <f t="shared" si="4"/>
        <v>Female</v>
      </c>
      <c r="M82" s="4" t="str">
        <f t="shared" si="5"/>
        <v>Bronze</v>
      </c>
      <c r="N82" s="4" t="str">
        <f t="shared" si="6"/>
        <v>OK</v>
      </c>
    </row>
    <row r="83" ht="14.25" customHeight="1">
      <c r="A83" s="4" t="s">
        <v>305</v>
      </c>
      <c r="B83" s="4" t="s">
        <v>306</v>
      </c>
      <c r="C83" s="4">
        <v>34.0</v>
      </c>
      <c r="D83" s="4" t="s">
        <v>22</v>
      </c>
      <c r="E83" s="4" t="s">
        <v>307</v>
      </c>
      <c r="F83" s="4" t="s">
        <v>143</v>
      </c>
      <c r="G83" s="4" t="s">
        <v>19</v>
      </c>
      <c r="H83" s="4" t="s">
        <v>25</v>
      </c>
      <c r="I83" s="4" t="str">
        <f t="shared" si="2"/>
        <v>Krystal Ford</v>
      </c>
      <c r="J83" s="4" t="str">
        <f t="shared" ref="J83:K83" si="86">TRIM(PROPER(E83))</f>
        <v>South David</v>
      </c>
      <c r="K83" s="4" t="str">
        <f t="shared" si="86"/>
        <v>Arizona</v>
      </c>
      <c r="L83" s="4" t="str">
        <f t="shared" si="4"/>
        <v>Female</v>
      </c>
      <c r="M83" s="4" t="str">
        <f t="shared" si="5"/>
        <v>Platinum</v>
      </c>
      <c r="N83" s="4" t="str">
        <f t="shared" si="6"/>
        <v>OK</v>
      </c>
    </row>
    <row r="84" ht="14.25" customHeight="1">
      <c r="A84" s="4" t="s">
        <v>308</v>
      </c>
      <c r="B84" s="4" t="s">
        <v>309</v>
      </c>
      <c r="C84" s="4">
        <v>53.0</v>
      </c>
      <c r="D84" s="4" t="s">
        <v>16</v>
      </c>
      <c r="E84" s="4" t="s">
        <v>310</v>
      </c>
      <c r="F84" s="4" t="s">
        <v>260</v>
      </c>
      <c r="G84" s="4" t="s">
        <v>19</v>
      </c>
      <c r="H84" s="4" t="s">
        <v>34</v>
      </c>
      <c r="I84" s="4" t="str">
        <f t="shared" si="2"/>
        <v>George Rosario</v>
      </c>
      <c r="J84" s="4" t="str">
        <f t="shared" ref="J84:K84" si="87">TRIM(PROPER(E84))</f>
        <v>Leburgh</v>
      </c>
      <c r="K84" s="4" t="str">
        <f t="shared" si="87"/>
        <v>Florida</v>
      </c>
      <c r="L84" s="4" t="str">
        <f t="shared" si="4"/>
        <v>Male</v>
      </c>
      <c r="M84" s="4" t="str">
        <f t="shared" si="5"/>
        <v>Bronze</v>
      </c>
      <c r="N84" s="4" t="str">
        <f t="shared" si="6"/>
        <v>OK</v>
      </c>
    </row>
    <row r="85" ht="14.25" customHeight="1">
      <c r="A85" s="4" t="s">
        <v>311</v>
      </c>
      <c r="B85" s="4" t="s">
        <v>312</v>
      </c>
      <c r="C85" s="4">
        <v>48.0</v>
      </c>
      <c r="D85" s="4" t="s">
        <v>22</v>
      </c>
      <c r="E85" s="4" t="s">
        <v>313</v>
      </c>
      <c r="F85" s="4" t="s">
        <v>90</v>
      </c>
      <c r="G85" s="4" t="s">
        <v>19</v>
      </c>
      <c r="H85" s="4" t="s">
        <v>34</v>
      </c>
      <c r="I85" s="4" t="str">
        <f t="shared" si="2"/>
        <v>Thomas Robinson</v>
      </c>
      <c r="J85" s="4" t="str">
        <f t="shared" ref="J85:K85" si="88">TRIM(PROPER(E85))</f>
        <v>Nicholastown</v>
      </c>
      <c r="K85" s="4" t="str">
        <f t="shared" si="88"/>
        <v>Georgia</v>
      </c>
      <c r="L85" s="4" t="str">
        <f t="shared" si="4"/>
        <v>Female</v>
      </c>
      <c r="M85" s="4" t="str">
        <f t="shared" si="5"/>
        <v>Bronze</v>
      </c>
      <c r="N85" s="4" t="str">
        <f t="shared" si="6"/>
        <v>OK</v>
      </c>
    </row>
    <row r="86" ht="14.25" customHeight="1">
      <c r="A86" s="4" t="s">
        <v>314</v>
      </c>
      <c r="B86" s="4" t="s">
        <v>315</v>
      </c>
      <c r="C86" s="4">
        <v>26.0</v>
      </c>
      <c r="D86" s="4" t="s">
        <v>22</v>
      </c>
      <c r="E86" s="4" t="s">
        <v>316</v>
      </c>
      <c r="F86" s="4" t="s">
        <v>264</v>
      </c>
      <c r="G86" s="4" t="s">
        <v>19</v>
      </c>
      <c r="H86" s="4" t="s">
        <v>25</v>
      </c>
      <c r="I86" s="4" t="str">
        <f t="shared" si="2"/>
        <v>Christy Hoffman</v>
      </c>
      <c r="J86" s="4" t="str">
        <f t="shared" ref="J86:K86" si="89">TRIM(PROPER(E86))</f>
        <v>Garyberg</v>
      </c>
      <c r="K86" s="4" t="str">
        <f t="shared" si="89"/>
        <v>Indiana</v>
      </c>
      <c r="L86" s="4" t="str">
        <f t="shared" si="4"/>
        <v>Female</v>
      </c>
      <c r="M86" s="4" t="str">
        <f t="shared" si="5"/>
        <v>Platinum</v>
      </c>
      <c r="N86" s="4" t="str">
        <f t="shared" si="6"/>
        <v>OK</v>
      </c>
    </row>
    <row r="87" ht="14.25" customHeight="1">
      <c r="A87" s="4" t="s">
        <v>317</v>
      </c>
      <c r="B87" s="4" t="s">
        <v>318</v>
      </c>
      <c r="C87" s="4">
        <v>36.0</v>
      </c>
      <c r="D87" s="4" t="s">
        <v>16</v>
      </c>
      <c r="E87" s="4" t="s">
        <v>319</v>
      </c>
      <c r="F87" s="4" t="s">
        <v>60</v>
      </c>
      <c r="G87" s="4" t="s">
        <v>19</v>
      </c>
      <c r="H87" s="4" t="s">
        <v>39</v>
      </c>
      <c r="I87" s="4" t="str">
        <f t="shared" si="2"/>
        <v>Richard Delgado</v>
      </c>
      <c r="J87" s="4" t="str">
        <f t="shared" ref="J87:K87" si="90">TRIM(PROPER(E87))</f>
        <v>West Theodorechester</v>
      </c>
      <c r="K87" s="4" t="str">
        <f t="shared" si="90"/>
        <v>Pennsylvania</v>
      </c>
      <c r="L87" s="4" t="str">
        <f t="shared" si="4"/>
        <v>Male</v>
      </c>
      <c r="M87" s="4" t="str">
        <f t="shared" si="5"/>
        <v>Silver</v>
      </c>
      <c r="N87" s="4" t="str">
        <f t="shared" si="6"/>
        <v>OK</v>
      </c>
    </row>
    <row r="88" ht="14.25" customHeight="1">
      <c r="A88" s="4" t="s">
        <v>320</v>
      </c>
      <c r="B88" s="4" t="s">
        <v>321</v>
      </c>
      <c r="C88" s="4">
        <v>19.0</v>
      </c>
      <c r="D88" s="4" t="s">
        <v>22</v>
      </c>
      <c r="E88" s="4" t="s">
        <v>322</v>
      </c>
      <c r="F88" s="4" t="s">
        <v>323</v>
      </c>
      <c r="G88" s="4" t="s">
        <v>19</v>
      </c>
      <c r="H88" s="4" t="s">
        <v>56</v>
      </c>
      <c r="I88" s="4" t="str">
        <f t="shared" si="2"/>
        <v>Tammy Miller Md</v>
      </c>
      <c r="J88" s="4" t="str">
        <f t="shared" ref="J88:K88" si="91">TRIM(PROPER(E88))</f>
        <v>Austinfurt</v>
      </c>
      <c r="K88" s="4" t="str">
        <f t="shared" si="91"/>
        <v>Mississippi</v>
      </c>
      <c r="L88" s="4" t="str">
        <f t="shared" si="4"/>
        <v>Female</v>
      </c>
      <c r="M88" s="4" t="str">
        <f t="shared" si="5"/>
        <v>Gold</v>
      </c>
      <c r="N88" s="4" t="str">
        <f t="shared" si="6"/>
        <v>OK</v>
      </c>
    </row>
    <row r="89" ht="14.25" customHeight="1">
      <c r="A89" s="4" t="s">
        <v>324</v>
      </c>
      <c r="B89" s="4" t="s">
        <v>325</v>
      </c>
      <c r="C89" s="4">
        <v>58.0</v>
      </c>
      <c r="D89" s="4" t="s">
        <v>22</v>
      </c>
      <c r="E89" s="4" t="s">
        <v>326</v>
      </c>
      <c r="F89" s="4" t="s">
        <v>327</v>
      </c>
      <c r="G89" s="4" t="s">
        <v>19</v>
      </c>
      <c r="H89" s="4" t="s">
        <v>34</v>
      </c>
      <c r="I89" s="4" t="str">
        <f t="shared" si="2"/>
        <v>Melissa Duffy Md</v>
      </c>
      <c r="J89" s="4" t="str">
        <f t="shared" ref="J89:K89" si="92">TRIM(PROPER(E89))</f>
        <v>East Jenna</v>
      </c>
      <c r="K89" s="4" t="str">
        <f t="shared" si="92"/>
        <v>South Carolina</v>
      </c>
      <c r="L89" s="4" t="str">
        <f t="shared" si="4"/>
        <v>Female</v>
      </c>
      <c r="M89" s="4" t="str">
        <f t="shared" si="5"/>
        <v>Bronze</v>
      </c>
      <c r="N89" s="4" t="str">
        <f t="shared" si="6"/>
        <v>OK</v>
      </c>
    </row>
    <row r="90" ht="14.25" customHeight="1">
      <c r="A90" s="4" t="s">
        <v>328</v>
      </c>
      <c r="B90" s="4" t="s">
        <v>329</v>
      </c>
      <c r="C90" s="4">
        <v>58.0</v>
      </c>
      <c r="D90" s="4" t="s">
        <v>16</v>
      </c>
      <c r="E90" s="4" t="s">
        <v>330</v>
      </c>
      <c r="F90" s="4" t="s">
        <v>301</v>
      </c>
      <c r="G90" s="4" t="s">
        <v>19</v>
      </c>
      <c r="H90" s="4" t="s">
        <v>39</v>
      </c>
      <c r="I90" s="4" t="str">
        <f t="shared" si="2"/>
        <v>Timothy Wright</v>
      </c>
      <c r="J90" s="4" t="str">
        <f t="shared" ref="J90:K90" si="93">TRIM(PROPER(E90))</f>
        <v>Ashleystad</v>
      </c>
      <c r="K90" s="4" t="str">
        <f t="shared" si="93"/>
        <v>Arkansas</v>
      </c>
      <c r="L90" s="4" t="str">
        <f t="shared" si="4"/>
        <v>Male</v>
      </c>
      <c r="M90" s="4" t="str">
        <f t="shared" si="5"/>
        <v>Silver</v>
      </c>
      <c r="N90" s="4" t="str">
        <f t="shared" si="6"/>
        <v>OK</v>
      </c>
    </row>
    <row r="91" ht="14.25" customHeight="1">
      <c r="A91" s="4" t="s">
        <v>331</v>
      </c>
      <c r="B91" s="4" t="s">
        <v>332</v>
      </c>
      <c r="C91" s="4">
        <v>43.0</v>
      </c>
      <c r="D91" s="4" t="s">
        <v>16</v>
      </c>
      <c r="E91" s="4" t="s">
        <v>333</v>
      </c>
      <c r="F91" s="4" t="s">
        <v>334</v>
      </c>
      <c r="G91" s="4" t="s">
        <v>19</v>
      </c>
      <c r="H91" s="4" t="s">
        <v>25</v>
      </c>
      <c r="I91" s="4" t="str">
        <f t="shared" si="2"/>
        <v>Jamie Yoder</v>
      </c>
      <c r="J91" s="4" t="str">
        <f t="shared" ref="J91:K91" si="94">TRIM(PROPER(E91))</f>
        <v>New Gabrielleville</v>
      </c>
      <c r="K91" s="4" t="str">
        <f t="shared" si="94"/>
        <v>Wisconsin</v>
      </c>
      <c r="L91" s="4" t="str">
        <f t="shared" si="4"/>
        <v>Male</v>
      </c>
      <c r="M91" s="4" t="str">
        <f t="shared" si="5"/>
        <v>Platinum</v>
      </c>
      <c r="N91" s="4" t="str">
        <f t="shared" si="6"/>
        <v>OK</v>
      </c>
    </row>
    <row r="92" ht="14.25" customHeight="1">
      <c r="A92" s="4" t="s">
        <v>335</v>
      </c>
      <c r="B92" s="4" t="s">
        <v>336</v>
      </c>
      <c r="C92" s="4">
        <v>58.0</v>
      </c>
      <c r="D92" s="4" t="s">
        <v>22</v>
      </c>
      <c r="E92" s="4" t="s">
        <v>337</v>
      </c>
      <c r="F92" s="4" t="s">
        <v>338</v>
      </c>
      <c r="G92" s="4" t="s">
        <v>19</v>
      </c>
      <c r="H92" s="4" t="s">
        <v>25</v>
      </c>
      <c r="I92" s="4" t="str">
        <f t="shared" si="2"/>
        <v>Oscar Moon</v>
      </c>
      <c r="J92" s="4" t="str">
        <f t="shared" ref="J92:K92" si="95">TRIM(PROPER(E92))</f>
        <v>West Cody</v>
      </c>
      <c r="K92" s="4" t="str">
        <f t="shared" si="95"/>
        <v>Louisiana</v>
      </c>
      <c r="L92" s="4" t="str">
        <f t="shared" si="4"/>
        <v>Female</v>
      </c>
      <c r="M92" s="4" t="str">
        <f t="shared" si="5"/>
        <v>Platinum</v>
      </c>
      <c r="N92" s="4" t="str">
        <f t="shared" si="6"/>
        <v>OK</v>
      </c>
    </row>
    <row r="93" ht="14.25" customHeight="1">
      <c r="A93" s="4" t="s">
        <v>339</v>
      </c>
      <c r="B93" s="4" t="s">
        <v>340</v>
      </c>
      <c r="C93" s="4">
        <v>29.0</v>
      </c>
      <c r="D93" s="4" t="s">
        <v>22</v>
      </c>
      <c r="E93" s="4" t="s">
        <v>341</v>
      </c>
      <c r="F93" s="4" t="s">
        <v>143</v>
      </c>
      <c r="G93" s="4" t="s">
        <v>19</v>
      </c>
      <c r="H93" s="4" t="s">
        <v>39</v>
      </c>
      <c r="I93" s="4" t="str">
        <f t="shared" si="2"/>
        <v>Donna Gregory</v>
      </c>
      <c r="J93" s="4" t="str">
        <f t="shared" ref="J93:K93" si="96">TRIM(PROPER(E93))</f>
        <v>South Amandahaven</v>
      </c>
      <c r="K93" s="4" t="str">
        <f t="shared" si="96"/>
        <v>Arizona</v>
      </c>
      <c r="L93" s="4" t="str">
        <f t="shared" si="4"/>
        <v>Female</v>
      </c>
      <c r="M93" s="4" t="str">
        <f t="shared" si="5"/>
        <v>Silver</v>
      </c>
      <c r="N93" s="4" t="str">
        <f t="shared" si="6"/>
        <v>OK</v>
      </c>
    </row>
    <row r="94" ht="14.25" customHeight="1">
      <c r="A94" s="4" t="s">
        <v>342</v>
      </c>
      <c r="B94" s="4" t="s">
        <v>343</v>
      </c>
      <c r="C94" s="4">
        <v>44.0</v>
      </c>
      <c r="D94" s="4" t="s">
        <v>22</v>
      </c>
      <c r="E94" s="4" t="s">
        <v>344</v>
      </c>
      <c r="F94" s="4" t="s">
        <v>247</v>
      </c>
      <c r="G94" s="4" t="s">
        <v>19</v>
      </c>
      <c r="H94" s="4" t="s">
        <v>25</v>
      </c>
      <c r="I94" s="4" t="str">
        <f t="shared" si="2"/>
        <v>Robert Jackson</v>
      </c>
      <c r="J94" s="4" t="str">
        <f t="shared" ref="J94:K94" si="97">TRIM(PROPER(E94))</f>
        <v>Lake Brandy</v>
      </c>
      <c r="K94" s="4" t="str">
        <f t="shared" si="97"/>
        <v>Tennessee</v>
      </c>
      <c r="L94" s="4" t="str">
        <f t="shared" si="4"/>
        <v>Female</v>
      </c>
      <c r="M94" s="4" t="str">
        <f t="shared" si="5"/>
        <v>Platinum</v>
      </c>
      <c r="N94" s="4" t="str">
        <f t="shared" si="6"/>
        <v>OK</v>
      </c>
    </row>
    <row r="95" ht="14.25" customHeight="1">
      <c r="A95" s="4" t="s">
        <v>345</v>
      </c>
      <c r="B95" s="4" t="s">
        <v>346</v>
      </c>
      <c r="C95" s="4">
        <v>28.0</v>
      </c>
      <c r="D95" s="4" t="s">
        <v>22</v>
      </c>
      <c r="E95" s="4" t="s">
        <v>347</v>
      </c>
      <c r="F95" s="4" t="s">
        <v>327</v>
      </c>
      <c r="G95" s="4" t="s">
        <v>19</v>
      </c>
      <c r="H95" s="4" t="s">
        <v>56</v>
      </c>
      <c r="I95" s="4" t="str">
        <f t="shared" si="2"/>
        <v>Christy Vasquez</v>
      </c>
      <c r="J95" s="4" t="str">
        <f t="shared" ref="J95:K95" si="98">TRIM(PROPER(E95))</f>
        <v>Port Travisstad</v>
      </c>
      <c r="K95" s="4" t="str">
        <f t="shared" si="98"/>
        <v>South Carolina</v>
      </c>
      <c r="L95" s="4" t="str">
        <f t="shared" si="4"/>
        <v>Female</v>
      </c>
      <c r="M95" s="4" t="str">
        <f t="shared" si="5"/>
        <v>Gold</v>
      </c>
      <c r="N95" s="4" t="str">
        <f t="shared" si="6"/>
        <v>OK</v>
      </c>
    </row>
    <row r="96" ht="14.25" customHeight="1">
      <c r="A96" s="4" t="s">
        <v>348</v>
      </c>
      <c r="B96" s="4" t="s">
        <v>349</v>
      </c>
      <c r="C96" s="4">
        <v>43.0</v>
      </c>
      <c r="D96" s="4" t="s">
        <v>22</v>
      </c>
      <c r="E96" s="4" t="s">
        <v>350</v>
      </c>
      <c r="F96" s="4" t="s">
        <v>194</v>
      </c>
      <c r="G96" s="4" t="s">
        <v>19</v>
      </c>
      <c r="H96" s="4" t="s">
        <v>56</v>
      </c>
      <c r="I96" s="4" t="str">
        <f t="shared" si="2"/>
        <v>David Patterson</v>
      </c>
      <c r="J96" s="4" t="str">
        <f t="shared" ref="J96:K96" si="99">TRIM(PROPER(E96))</f>
        <v>New Amyport</v>
      </c>
      <c r="K96" s="4" t="str">
        <f t="shared" si="99"/>
        <v>Nevada</v>
      </c>
      <c r="L96" s="4" t="str">
        <f t="shared" si="4"/>
        <v>Female</v>
      </c>
      <c r="M96" s="4" t="str">
        <f t="shared" si="5"/>
        <v>Gold</v>
      </c>
      <c r="N96" s="4" t="str">
        <f t="shared" si="6"/>
        <v>OK</v>
      </c>
    </row>
    <row r="97" ht="14.25" customHeight="1">
      <c r="A97" s="4" t="s">
        <v>351</v>
      </c>
      <c r="B97" s="4" t="s">
        <v>352</v>
      </c>
      <c r="C97" s="4">
        <v>62.0</v>
      </c>
      <c r="D97" s="4" t="s">
        <v>22</v>
      </c>
      <c r="E97" s="4" t="s">
        <v>353</v>
      </c>
      <c r="F97" s="4" t="s">
        <v>67</v>
      </c>
      <c r="G97" s="4" t="s">
        <v>19</v>
      </c>
      <c r="H97" s="4" t="s">
        <v>25</v>
      </c>
      <c r="I97" s="4" t="str">
        <f t="shared" si="2"/>
        <v>Amy Fowler</v>
      </c>
      <c r="J97" s="4" t="str">
        <f t="shared" ref="J97:K97" si="100">TRIM(PROPER(E97))</f>
        <v>West Bobbyshire</v>
      </c>
      <c r="K97" s="4" t="str">
        <f t="shared" si="100"/>
        <v>New York</v>
      </c>
      <c r="L97" s="4" t="str">
        <f t="shared" si="4"/>
        <v>Female</v>
      </c>
      <c r="M97" s="4" t="str">
        <f t="shared" si="5"/>
        <v>Platinum</v>
      </c>
      <c r="N97" s="4" t="str">
        <f t="shared" si="6"/>
        <v>OK</v>
      </c>
    </row>
    <row r="98" ht="14.25" customHeight="1">
      <c r="A98" s="4" t="s">
        <v>354</v>
      </c>
      <c r="B98" s="4" t="s">
        <v>355</v>
      </c>
      <c r="C98" s="4">
        <v>30.0</v>
      </c>
      <c r="D98" s="4" t="s">
        <v>22</v>
      </c>
      <c r="E98" s="4" t="s">
        <v>356</v>
      </c>
      <c r="F98" s="4" t="s">
        <v>338</v>
      </c>
      <c r="G98" s="4" t="s">
        <v>19</v>
      </c>
      <c r="H98" s="4" t="s">
        <v>25</v>
      </c>
      <c r="I98" s="4" t="str">
        <f t="shared" si="2"/>
        <v>Samantha Walker</v>
      </c>
      <c r="J98" s="4" t="str">
        <f t="shared" ref="J98:K98" si="101">TRIM(PROPER(E98))</f>
        <v>Timothyburgh</v>
      </c>
      <c r="K98" s="4" t="str">
        <f t="shared" si="101"/>
        <v>Louisiana</v>
      </c>
      <c r="L98" s="4" t="str">
        <f t="shared" si="4"/>
        <v>Female</v>
      </c>
      <c r="M98" s="4" t="str">
        <f t="shared" si="5"/>
        <v>Platinum</v>
      </c>
      <c r="N98" s="4" t="str">
        <f t="shared" si="6"/>
        <v>OK</v>
      </c>
    </row>
    <row r="99" ht="14.25" customHeight="1">
      <c r="A99" s="4" t="s">
        <v>357</v>
      </c>
      <c r="B99" s="4" t="s">
        <v>358</v>
      </c>
      <c r="C99" s="4">
        <v>36.0</v>
      </c>
      <c r="D99" s="4" t="s">
        <v>16</v>
      </c>
      <c r="E99" s="4" t="s">
        <v>359</v>
      </c>
      <c r="F99" s="4" t="s">
        <v>47</v>
      </c>
      <c r="G99" s="4" t="s">
        <v>19</v>
      </c>
      <c r="H99" s="4" t="s">
        <v>39</v>
      </c>
      <c r="I99" s="4" t="str">
        <f t="shared" si="2"/>
        <v>David Cobb</v>
      </c>
      <c r="J99" s="4" t="str">
        <f t="shared" ref="J99:K99" si="102">TRIM(PROPER(E99))</f>
        <v>Lake Thomas</v>
      </c>
      <c r="K99" s="4" t="str">
        <f t="shared" si="102"/>
        <v>South Dakota</v>
      </c>
      <c r="L99" s="4" t="str">
        <f t="shared" si="4"/>
        <v>Male</v>
      </c>
      <c r="M99" s="4" t="str">
        <f t="shared" si="5"/>
        <v>Silver</v>
      </c>
      <c r="N99" s="4" t="str">
        <f t="shared" si="6"/>
        <v>OK</v>
      </c>
    </row>
    <row r="100" ht="14.25" customHeight="1">
      <c r="A100" s="4" t="s">
        <v>360</v>
      </c>
      <c r="B100" s="4" t="s">
        <v>361</v>
      </c>
      <c r="C100" s="4">
        <v>24.0</v>
      </c>
      <c r="D100" s="4" t="s">
        <v>16</v>
      </c>
      <c r="E100" s="4" t="s">
        <v>362</v>
      </c>
      <c r="F100" s="4" t="s">
        <v>173</v>
      </c>
      <c r="G100" s="4" t="s">
        <v>19</v>
      </c>
      <c r="H100" s="4" t="s">
        <v>56</v>
      </c>
      <c r="I100" s="4" t="str">
        <f t="shared" si="2"/>
        <v>Brittney Morgan</v>
      </c>
      <c r="J100" s="4" t="str">
        <f t="shared" ref="J100:K100" si="103">TRIM(PROPER(E100))</f>
        <v>Lake Kaylahaven</v>
      </c>
      <c r="K100" s="4" t="str">
        <f t="shared" si="103"/>
        <v>Alaska</v>
      </c>
      <c r="L100" s="4" t="str">
        <f t="shared" si="4"/>
        <v>Male</v>
      </c>
      <c r="M100" s="4" t="str">
        <f t="shared" si="5"/>
        <v>Gold</v>
      </c>
      <c r="N100" s="4" t="str">
        <f t="shared" si="6"/>
        <v>OK</v>
      </c>
    </row>
    <row r="101" ht="14.25" customHeight="1">
      <c r="A101" s="4" t="s">
        <v>363</v>
      </c>
      <c r="B101" s="4" t="s">
        <v>364</v>
      </c>
      <c r="C101" s="4">
        <v>35.0</v>
      </c>
      <c r="D101" s="4" t="s">
        <v>16</v>
      </c>
      <c r="E101" s="4" t="s">
        <v>365</v>
      </c>
      <c r="F101" s="4" t="s">
        <v>247</v>
      </c>
      <c r="G101" s="4" t="s">
        <v>19</v>
      </c>
      <c r="H101" s="4" t="s">
        <v>39</v>
      </c>
      <c r="I101" s="4" t="str">
        <f t="shared" si="2"/>
        <v>Sheila Wilson</v>
      </c>
      <c r="J101" s="4" t="str">
        <f t="shared" ref="J101:K101" si="104">TRIM(PROPER(E101))</f>
        <v>South Dustin</v>
      </c>
      <c r="K101" s="4" t="str">
        <f t="shared" si="104"/>
        <v>Tennessee</v>
      </c>
      <c r="L101" s="4" t="str">
        <f t="shared" si="4"/>
        <v>Male</v>
      </c>
      <c r="M101" s="4" t="str">
        <f t="shared" si="5"/>
        <v>Silver</v>
      </c>
      <c r="N101" s="4" t="str">
        <f t="shared" si="6"/>
        <v>OK</v>
      </c>
    </row>
    <row r="102" ht="14.25" customHeight="1">
      <c r="A102" s="4" t="s">
        <v>366</v>
      </c>
      <c r="B102" s="4" t="s">
        <v>367</v>
      </c>
      <c r="C102" s="4">
        <v>53.0</v>
      </c>
      <c r="D102" s="4" t="s">
        <v>22</v>
      </c>
      <c r="E102" s="4" t="s">
        <v>368</v>
      </c>
      <c r="F102" s="4" t="s">
        <v>369</v>
      </c>
      <c r="G102" s="4" t="s">
        <v>19</v>
      </c>
      <c r="H102" s="4" t="s">
        <v>25</v>
      </c>
      <c r="I102" s="4" t="str">
        <f t="shared" si="2"/>
        <v>Diane Watson</v>
      </c>
      <c r="J102" s="4" t="str">
        <f t="shared" ref="J102:K102" si="105">TRIM(PROPER(E102))</f>
        <v>North Codyport</v>
      </c>
      <c r="K102" s="4" t="str">
        <f t="shared" si="105"/>
        <v>Texas</v>
      </c>
      <c r="L102" s="4" t="str">
        <f t="shared" si="4"/>
        <v>Female</v>
      </c>
      <c r="M102" s="4" t="str">
        <f t="shared" si="5"/>
        <v>Platinum</v>
      </c>
      <c r="N102" s="4" t="str">
        <f t="shared" si="6"/>
        <v>OK</v>
      </c>
    </row>
    <row r="103" ht="14.25" customHeight="1">
      <c r="A103" s="4" t="s">
        <v>370</v>
      </c>
      <c r="B103" s="4" t="s">
        <v>371</v>
      </c>
      <c r="C103" s="4">
        <v>29.0</v>
      </c>
      <c r="D103" s="4" t="s">
        <v>16</v>
      </c>
      <c r="E103" s="4" t="s">
        <v>372</v>
      </c>
      <c r="F103" s="4" t="s">
        <v>127</v>
      </c>
      <c r="G103" s="4" t="s">
        <v>19</v>
      </c>
      <c r="H103" s="4" t="s">
        <v>56</v>
      </c>
      <c r="I103" s="4" t="str">
        <f t="shared" si="2"/>
        <v>Colleen Maynard</v>
      </c>
      <c r="J103" s="4" t="str">
        <f t="shared" ref="J103:K103" si="106">TRIM(PROPER(E103))</f>
        <v>Singletonmouth</v>
      </c>
      <c r="K103" s="4" t="str">
        <f t="shared" si="106"/>
        <v>Utah</v>
      </c>
      <c r="L103" s="4" t="str">
        <f t="shared" si="4"/>
        <v>Male</v>
      </c>
      <c r="M103" s="4" t="str">
        <f t="shared" si="5"/>
        <v>Gold</v>
      </c>
      <c r="N103" s="4" t="str">
        <f t="shared" si="6"/>
        <v>OK</v>
      </c>
    </row>
    <row r="104" ht="14.25" customHeight="1">
      <c r="A104" s="4" t="s">
        <v>373</v>
      </c>
      <c r="B104" s="4" t="s">
        <v>374</v>
      </c>
      <c r="C104" s="4">
        <v>34.0</v>
      </c>
      <c r="D104" s="4" t="s">
        <v>22</v>
      </c>
      <c r="E104" s="4" t="s">
        <v>375</v>
      </c>
      <c r="F104" s="4" t="s">
        <v>60</v>
      </c>
      <c r="G104" s="4" t="s">
        <v>19</v>
      </c>
      <c r="H104" s="4" t="s">
        <v>34</v>
      </c>
      <c r="I104" s="4" t="str">
        <f t="shared" si="2"/>
        <v>Sarah Schneider</v>
      </c>
      <c r="J104" s="4" t="str">
        <f t="shared" ref="J104:K104" si="107">TRIM(PROPER(E104))</f>
        <v>Port Joshuachester</v>
      </c>
      <c r="K104" s="4" t="str">
        <f t="shared" si="107"/>
        <v>Pennsylvania</v>
      </c>
      <c r="L104" s="4" t="str">
        <f t="shared" si="4"/>
        <v>Female</v>
      </c>
      <c r="M104" s="4" t="str">
        <f t="shared" si="5"/>
        <v>Bronze</v>
      </c>
      <c r="N104" s="4" t="str">
        <f t="shared" si="6"/>
        <v>OK</v>
      </c>
    </row>
    <row r="105" ht="14.25" customHeight="1">
      <c r="A105" s="4" t="s">
        <v>376</v>
      </c>
      <c r="B105" s="4" t="s">
        <v>377</v>
      </c>
      <c r="C105" s="4">
        <v>21.0</v>
      </c>
      <c r="D105" s="4" t="s">
        <v>16</v>
      </c>
      <c r="E105" s="4" t="s">
        <v>378</v>
      </c>
      <c r="F105" s="4" t="s">
        <v>177</v>
      </c>
      <c r="G105" s="4" t="s">
        <v>19</v>
      </c>
      <c r="H105" s="4" t="s">
        <v>34</v>
      </c>
      <c r="I105" s="4" t="str">
        <f t="shared" si="2"/>
        <v>Steven Stein</v>
      </c>
      <c r="J105" s="4" t="str">
        <f t="shared" ref="J105:K105" si="108">TRIM(PROPER(E105))</f>
        <v>West Lauren</v>
      </c>
      <c r="K105" s="4" t="str">
        <f t="shared" si="108"/>
        <v>Connecticut</v>
      </c>
      <c r="L105" s="4" t="str">
        <f t="shared" si="4"/>
        <v>Male</v>
      </c>
      <c r="M105" s="4" t="str">
        <f t="shared" si="5"/>
        <v>Bronze</v>
      </c>
      <c r="N105" s="4" t="str">
        <f t="shared" si="6"/>
        <v>OK</v>
      </c>
    </row>
    <row r="106" ht="14.25" customHeight="1">
      <c r="A106" s="4" t="s">
        <v>379</v>
      </c>
      <c r="B106" s="4" t="s">
        <v>380</v>
      </c>
      <c r="C106" s="4">
        <v>64.0</v>
      </c>
      <c r="D106" s="4" t="s">
        <v>16</v>
      </c>
      <c r="E106" s="4" t="s">
        <v>381</v>
      </c>
      <c r="F106" s="4" t="s">
        <v>90</v>
      </c>
      <c r="G106" s="4" t="s">
        <v>19</v>
      </c>
      <c r="H106" s="4" t="s">
        <v>39</v>
      </c>
      <c r="I106" s="4" t="str">
        <f t="shared" si="2"/>
        <v>Christopher Lester</v>
      </c>
      <c r="J106" s="4" t="str">
        <f t="shared" ref="J106:K106" si="109">TRIM(PROPER(E106))</f>
        <v>South Jenniferville</v>
      </c>
      <c r="K106" s="4" t="str">
        <f t="shared" si="109"/>
        <v>Georgia</v>
      </c>
      <c r="L106" s="4" t="str">
        <f t="shared" si="4"/>
        <v>Male</v>
      </c>
      <c r="M106" s="4" t="str">
        <f t="shared" si="5"/>
        <v>Silver</v>
      </c>
      <c r="N106" s="4" t="str">
        <f t="shared" si="6"/>
        <v>OK</v>
      </c>
    </row>
    <row r="107" ht="14.25" customHeight="1">
      <c r="A107" s="4" t="s">
        <v>382</v>
      </c>
      <c r="B107" s="4" t="s">
        <v>383</v>
      </c>
      <c r="C107" s="4">
        <v>50.0</v>
      </c>
      <c r="D107" s="4" t="s">
        <v>22</v>
      </c>
      <c r="E107" s="4" t="s">
        <v>384</v>
      </c>
      <c r="F107" s="4" t="s">
        <v>260</v>
      </c>
      <c r="G107" s="4" t="s">
        <v>19</v>
      </c>
      <c r="H107" s="4" t="s">
        <v>56</v>
      </c>
      <c r="I107" s="4" t="str">
        <f t="shared" si="2"/>
        <v>Lance Baker</v>
      </c>
      <c r="J107" s="4" t="str">
        <f t="shared" ref="J107:K107" si="110">TRIM(PROPER(E107))</f>
        <v>Port Victoria</v>
      </c>
      <c r="K107" s="4" t="str">
        <f t="shared" si="110"/>
        <v>Florida</v>
      </c>
      <c r="L107" s="4" t="str">
        <f t="shared" si="4"/>
        <v>Female</v>
      </c>
      <c r="M107" s="4" t="str">
        <f t="shared" si="5"/>
        <v>Gold</v>
      </c>
      <c r="N107" s="4" t="str">
        <f t="shared" si="6"/>
        <v>OK</v>
      </c>
    </row>
    <row r="108" ht="14.25" customHeight="1">
      <c r="A108" s="4" t="s">
        <v>385</v>
      </c>
      <c r="B108" s="4" t="s">
        <v>386</v>
      </c>
      <c r="C108" s="4">
        <v>53.0</v>
      </c>
      <c r="D108" s="4" t="s">
        <v>22</v>
      </c>
      <c r="E108" s="4" t="s">
        <v>387</v>
      </c>
      <c r="F108" s="4" t="s">
        <v>227</v>
      </c>
      <c r="G108" s="4" t="s">
        <v>19</v>
      </c>
      <c r="H108" s="4" t="s">
        <v>34</v>
      </c>
      <c r="I108" s="4" t="str">
        <f t="shared" si="2"/>
        <v>Howard Summers</v>
      </c>
      <c r="J108" s="4" t="str">
        <f t="shared" ref="J108:K108" si="111">TRIM(PROPER(E108))</f>
        <v>East Linda</v>
      </c>
      <c r="K108" s="4" t="str">
        <f t="shared" si="111"/>
        <v>Rhode Island</v>
      </c>
      <c r="L108" s="4" t="str">
        <f t="shared" si="4"/>
        <v>Female</v>
      </c>
      <c r="M108" s="4" t="str">
        <f t="shared" si="5"/>
        <v>Bronze</v>
      </c>
      <c r="N108" s="4" t="str">
        <f t="shared" si="6"/>
        <v>OK</v>
      </c>
    </row>
    <row r="109" ht="14.25" customHeight="1">
      <c r="A109" s="4" t="s">
        <v>388</v>
      </c>
      <c r="B109" s="4" t="s">
        <v>389</v>
      </c>
      <c r="C109" s="4">
        <v>62.0</v>
      </c>
      <c r="D109" s="4" t="s">
        <v>22</v>
      </c>
      <c r="E109" s="4" t="s">
        <v>390</v>
      </c>
      <c r="F109" s="4" t="s">
        <v>24</v>
      </c>
      <c r="G109" s="4" t="s">
        <v>19</v>
      </c>
      <c r="H109" s="4" t="s">
        <v>25</v>
      </c>
      <c r="I109" s="4" t="str">
        <f t="shared" si="2"/>
        <v>Erica Carney</v>
      </c>
      <c r="J109" s="4" t="str">
        <f t="shared" ref="J109:K109" si="112">TRIM(PROPER(E109))</f>
        <v>North Justin</v>
      </c>
      <c r="K109" s="4" t="str">
        <f t="shared" si="112"/>
        <v>North Dakota</v>
      </c>
      <c r="L109" s="4" t="str">
        <f t="shared" si="4"/>
        <v>Female</v>
      </c>
      <c r="M109" s="4" t="str">
        <f t="shared" si="5"/>
        <v>Platinum</v>
      </c>
      <c r="N109" s="4" t="str">
        <f t="shared" si="6"/>
        <v>OK</v>
      </c>
    </row>
    <row r="110" ht="14.25" customHeight="1">
      <c r="A110" s="4" t="s">
        <v>391</v>
      </c>
      <c r="B110" s="4" t="s">
        <v>392</v>
      </c>
      <c r="C110" s="4">
        <v>38.0</v>
      </c>
      <c r="D110" s="4" t="s">
        <v>16</v>
      </c>
      <c r="E110" s="4" t="s">
        <v>393</v>
      </c>
      <c r="F110" s="4" t="s">
        <v>55</v>
      </c>
      <c r="G110" s="4" t="s">
        <v>19</v>
      </c>
      <c r="H110" s="4" t="s">
        <v>34</v>
      </c>
      <c r="I110" s="4" t="str">
        <f t="shared" si="2"/>
        <v>Travis Holland</v>
      </c>
      <c r="J110" s="4" t="str">
        <f t="shared" ref="J110:K110" si="113">TRIM(PROPER(E110))</f>
        <v>Webstermouth</v>
      </c>
      <c r="K110" s="4" t="str">
        <f t="shared" si="113"/>
        <v>New Hampshire</v>
      </c>
      <c r="L110" s="4" t="str">
        <f t="shared" si="4"/>
        <v>Male</v>
      </c>
      <c r="M110" s="4" t="str">
        <f t="shared" si="5"/>
        <v>Bronze</v>
      </c>
      <c r="N110" s="4" t="str">
        <f t="shared" si="6"/>
        <v>OK</v>
      </c>
    </row>
    <row r="111" ht="14.25" customHeight="1">
      <c r="A111" s="4" t="s">
        <v>394</v>
      </c>
      <c r="B111" s="4" t="s">
        <v>395</v>
      </c>
      <c r="C111" s="4">
        <v>27.0</v>
      </c>
      <c r="D111" s="4" t="s">
        <v>16</v>
      </c>
      <c r="E111" s="4" t="s">
        <v>396</v>
      </c>
      <c r="F111" s="4" t="s">
        <v>51</v>
      </c>
      <c r="G111" s="4" t="s">
        <v>19</v>
      </c>
      <c r="H111" s="4" t="s">
        <v>39</v>
      </c>
      <c r="I111" s="4" t="str">
        <f t="shared" si="2"/>
        <v>Amy Walker</v>
      </c>
      <c r="J111" s="4" t="str">
        <f t="shared" ref="J111:K111" si="114">TRIM(PROPER(E111))</f>
        <v>Smithland</v>
      </c>
      <c r="K111" s="4" t="str">
        <f t="shared" si="114"/>
        <v>West Virginia</v>
      </c>
      <c r="L111" s="4" t="str">
        <f t="shared" si="4"/>
        <v>Male</v>
      </c>
      <c r="M111" s="4" t="str">
        <f t="shared" si="5"/>
        <v>Silver</v>
      </c>
      <c r="N111" s="4" t="str">
        <f t="shared" si="6"/>
        <v>OK</v>
      </c>
    </row>
    <row r="112" ht="14.25" customHeight="1">
      <c r="A112" s="4" t="s">
        <v>397</v>
      </c>
      <c r="B112" s="4" t="s">
        <v>398</v>
      </c>
      <c r="C112" s="4">
        <v>40.0</v>
      </c>
      <c r="D112" s="4" t="s">
        <v>22</v>
      </c>
      <c r="E112" s="4" t="s">
        <v>399</v>
      </c>
      <c r="F112" s="4" t="s">
        <v>150</v>
      </c>
      <c r="G112" s="4" t="s">
        <v>19</v>
      </c>
      <c r="H112" s="4" t="s">
        <v>56</v>
      </c>
      <c r="I112" s="4" t="str">
        <f t="shared" si="2"/>
        <v>Ashley Griffin</v>
      </c>
      <c r="J112" s="4" t="str">
        <f t="shared" ref="J112:K112" si="115">TRIM(PROPER(E112))</f>
        <v>New Dawnton</v>
      </c>
      <c r="K112" s="4" t="str">
        <f t="shared" si="115"/>
        <v>Maryland</v>
      </c>
      <c r="L112" s="4" t="str">
        <f t="shared" si="4"/>
        <v>Female</v>
      </c>
      <c r="M112" s="4" t="str">
        <f t="shared" si="5"/>
        <v>Gold</v>
      </c>
      <c r="N112" s="4" t="str">
        <f t="shared" si="6"/>
        <v>OK</v>
      </c>
    </row>
    <row r="113" ht="14.25" customHeight="1">
      <c r="A113" s="4" t="s">
        <v>400</v>
      </c>
      <c r="B113" s="4" t="s">
        <v>401</v>
      </c>
      <c r="C113" s="4">
        <v>18.0</v>
      </c>
      <c r="D113" s="4" t="s">
        <v>22</v>
      </c>
      <c r="E113" s="4" t="s">
        <v>402</v>
      </c>
      <c r="F113" s="4" t="s">
        <v>143</v>
      </c>
      <c r="G113" s="4" t="s">
        <v>19</v>
      </c>
      <c r="H113" s="4" t="s">
        <v>25</v>
      </c>
      <c r="I113" s="4" t="str">
        <f t="shared" si="2"/>
        <v>Julie Farmer</v>
      </c>
      <c r="J113" s="4" t="str">
        <f t="shared" ref="J113:K113" si="116">TRIM(PROPER(E113))</f>
        <v>Rodriguezmouth</v>
      </c>
      <c r="K113" s="4" t="str">
        <f t="shared" si="116"/>
        <v>Arizona</v>
      </c>
      <c r="L113" s="4" t="str">
        <f t="shared" si="4"/>
        <v>Female</v>
      </c>
      <c r="M113" s="4" t="str">
        <f t="shared" si="5"/>
        <v>Platinum</v>
      </c>
      <c r="N113" s="4" t="str">
        <f t="shared" si="6"/>
        <v>OK</v>
      </c>
    </row>
    <row r="114" ht="14.25" customHeight="1">
      <c r="A114" s="4" t="s">
        <v>403</v>
      </c>
      <c r="B114" s="4" t="s">
        <v>404</v>
      </c>
      <c r="C114" s="4">
        <v>27.0</v>
      </c>
      <c r="D114" s="4" t="s">
        <v>22</v>
      </c>
      <c r="E114" s="4" t="s">
        <v>405</v>
      </c>
      <c r="F114" s="4" t="s">
        <v>166</v>
      </c>
      <c r="G114" s="4" t="s">
        <v>19</v>
      </c>
      <c r="H114" s="4" t="s">
        <v>39</v>
      </c>
      <c r="I114" s="4" t="str">
        <f t="shared" si="2"/>
        <v>David Cole</v>
      </c>
      <c r="J114" s="4" t="str">
        <f t="shared" ref="J114:K114" si="117">TRIM(PROPER(E114))</f>
        <v>Lake Michael</v>
      </c>
      <c r="K114" s="4" t="str">
        <f t="shared" si="117"/>
        <v>Michigan</v>
      </c>
      <c r="L114" s="4" t="str">
        <f t="shared" si="4"/>
        <v>Female</v>
      </c>
      <c r="M114" s="4" t="str">
        <f t="shared" si="5"/>
        <v>Silver</v>
      </c>
      <c r="N114" s="4" t="str">
        <f t="shared" si="6"/>
        <v>OK</v>
      </c>
    </row>
    <row r="115" ht="14.25" customHeight="1">
      <c r="A115" s="4" t="s">
        <v>406</v>
      </c>
      <c r="B115" s="4" t="s">
        <v>407</v>
      </c>
      <c r="C115" s="4">
        <v>51.0</v>
      </c>
      <c r="D115" s="4" t="s">
        <v>16</v>
      </c>
      <c r="E115" s="4" t="s">
        <v>408</v>
      </c>
      <c r="F115" s="4" t="s">
        <v>243</v>
      </c>
      <c r="G115" s="4" t="s">
        <v>19</v>
      </c>
      <c r="H115" s="4" t="s">
        <v>56</v>
      </c>
      <c r="I115" s="4" t="str">
        <f t="shared" si="2"/>
        <v>Edward Hall</v>
      </c>
      <c r="J115" s="4" t="str">
        <f t="shared" ref="J115:K115" si="118">TRIM(PROPER(E115))</f>
        <v>New William</v>
      </c>
      <c r="K115" s="4" t="str">
        <f t="shared" si="118"/>
        <v>New Mexico</v>
      </c>
      <c r="L115" s="4" t="str">
        <f t="shared" si="4"/>
        <v>Male</v>
      </c>
      <c r="M115" s="4" t="str">
        <f t="shared" si="5"/>
        <v>Gold</v>
      </c>
      <c r="N115" s="4" t="str">
        <f t="shared" si="6"/>
        <v>OK</v>
      </c>
    </row>
    <row r="116" ht="14.25" customHeight="1">
      <c r="A116" s="4" t="s">
        <v>409</v>
      </c>
      <c r="B116" s="4" t="s">
        <v>410</v>
      </c>
      <c r="C116" s="4">
        <v>30.0</v>
      </c>
      <c r="D116" s="4" t="s">
        <v>16</v>
      </c>
      <c r="E116" s="4" t="s">
        <v>411</v>
      </c>
      <c r="F116" s="4" t="s">
        <v>194</v>
      </c>
      <c r="G116" s="4" t="s">
        <v>19</v>
      </c>
      <c r="H116" s="4" t="s">
        <v>34</v>
      </c>
      <c r="I116" s="4" t="str">
        <f t="shared" si="2"/>
        <v>Ryan Hernandez</v>
      </c>
      <c r="J116" s="4" t="str">
        <f t="shared" ref="J116:K116" si="119">TRIM(PROPER(E116))</f>
        <v>East Donna</v>
      </c>
      <c r="K116" s="4" t="str">
        <f t="shared" si="119"/>
        <v>Nevada</v>
      </c>
      <c r="L116" s="4" t="str">
        <f t="shared" si="4"/>
        <v>Male</v>
      </c>
      <c r="M116" s="4" t="str">
        <f t="shared" si="5"/>
        <v>Bronze</v>
      </c>
      <c r="N116" s="4" t="str">
        <f t="shared" si="6"/>
        <v>OK</v>
      </c>
    </row>
    <row r="117" ht="14.25" customHeight="1">
      <c r="A117" s="4" t="s">
        <v>412</v>
      </c>
      <c r="B117" s="4" t="s">
        <v>413</v>
      </c>
      <c r="C117" s="4">
        <v>53.0</v>
      </c>
      <c r="D117" s="4" t="s">
        <v>22</v>
      </c>
      <c r="E117" s="4" t="s">
        <v>414</v>
      </c>
      <c r="F117" s="4" t="s">
        <v>24</v>
      </c>
      <c r="G117" s="4" t="s">
        <v>19</v>
      </c>
      <c r="H117" s="4" t="s">
        <v>25</v>
      </c>
      <c r="I117" s="4" t="str">
        <f t="shared" si="2"/>
        <v>Tyler Conrad</v>
      </c>
      <c r="J117" s="4" t="str">
        <f t="shared" ref="J117:K117" si="120">TRIM(PROPER(E117))</f>
        <v>North Curtischester</v>
      </c>
      <c r="K117" s="4" t="str">
        <f t="shared" si="120"/>
        <v>North Dakota</v>
      </c>
      <c r="L117" s="4" t="str">
        <f t="shared" si="4"/>
        <v>Female</v>
      </c>
      <c r="M117" s="4" t="str">
        <f t="shared" si="5"/>
        <v>Platinum</v>
      </c>
      <c r="N117" s="4" t="str">
        <f t="shared" si="6"/>
        <v>OK</v>
      </c>
    </row>
    <row r="118" ht="14.25" customHeight="1">
      <c r="A118" s="4" t="s">
        <v>415</v>
      </c>
      <c r="B118" s="4" t="s">
        <v>416</v>
      </c>
      <c r="C118" s="4">
        <v>18.0</v>
      </c>
      <c r="D118" s="4" t="s">
        <v>22</v>
      </c>
      <c r="E118" s="4" t="s">
        <v>417</v>
      </c>
      <c r="F118" s="4" t="s">
        <v>227</v>
      </c>
      <c r="G118" s="4" t="s">
        <v>19</v>
      </c>
      <c r="H118" s="4" t="s">
        <v>25</v>
      </c>
      <c r="I118" s="4" t="str">
        <f t="shared" si="2"/>
        <v>Anthony Phillips</v>
      </c>
      <c r="J118" s="4" t="str">
        <f t="shared" ref="J118:K118" si="121">TRIM(PROPER(E118))</f>
        <v>North Davidport</v>
      </c>
      <c r="K118" s="4" t="str">
        <f t="shared" si="121"/>
        <v>Rhode Island</v>
      </c>
      <c r="L118" s="4" t="str">
        <f t="shared" si="4"/>
        <v>Female</v>
      </c>
      <c r="M118" s="4" t="str">
        <f t="shared" si="5"/>
        <v>Platinum</v>
      </c>
      <c r="N118" s="4" t="str">
        <f t="shared" si="6"/>
        <v>OK</v>
      </c>
    </row>
    <row r="119" ht="14.25" customHeight="1">
      <c r="A119" s="4" t="s">
        <v>418</v>
      </c>
      <c r="B119" s="4" t="s">
        <v>419</v>
      </c>
      <c r="C119" s="4">
        <v>21.0</v>
      </c>
      <c r="D119" s="4" t="s">
        <v>22</v>
      </c>
      <c r="E119" s="4" t="s">
        <v>420</v>
      </c>
      <c r="F119" s="4" t="s">
        <v>83</v>
      </c>
      <c r="G119" s="4" t="s">
        <v>19</v>
      </c>
      <c r="H119" s="4" t="s">
        <v>25</v>
      </c>
      <c r="I119" s="4" t="str">
        <f t="shared" si="2"/>
        <v>Colleen Mccarthy</v>
      </c>
      <c r="J119" s="4" t="str">
        <f t="shared" ref="J119:K119" si="122">TRIM(PROPER(E119))</f>
        <v>North Katherine</v>
      </c>
      <c r="K119" s="4" t="str">
        <f t="shared" si="122"/>
        <v>Washington</v>
      </c>
      <c r="L119" s="4" t="str">
        <f t="shared" si="4"/>
        <v>Female</v>
      </c>
      <c r="M119" s="4" t="str">
        <f t="shared" si="5"/>
        <v>Platinum</v>
      </c>
      <c r="N119" s="4" t="str">
        <f t="shared" si="6"/>
        <v>OK</v>
      </c>
    </row>
    <row r="120" ht="14.25" customHeight="1">
      <c r="A120" s="4" t="s">
        <v>421</v>
      </c>
      <c r="B120" s="4" t="s">
        <v>422</v>
      </c>
      <c r="C120" s="4">
        <v>36.0</v>
      </c>
      <c r="D120" s="4" t="s">
        <v>16</v>
      </c>
      <c r="E120" s="4" t="s">
        <v>423</v>
      </c>
      <c r="F120" s="4" t="s">
        <v>79</v>
      </c>
      <c r="G120" s="4" t="s">
        <v>19</v>
      </c>
      <c r="H120" s="4" t="s">
        <v>25</v>
      </c>
      <c r="I120" s="4" t="str">
        <f t="shared" si="2"/>
        <v>Earl Allen</v>
      </c>
      <c r="J120" s="4" t="str">
        <f t="shared" ref="J120:K120" si="123">TRIM(PROPER(E120))</f>
        <v>New Jenniferburgh</v>
      </c>
      <c r="K120" s="4" t="str">
        <f t="shared" si="123"/>
        <v>Nebraska</v>
      </c>
      <c r="L120" s="4" t="str">
        <f t="shared" si="4"/>
        <v>Male</v>
      </c>
      <c r="M120" s="4" t="str">
        <f t="shared" si="5"/>
        <v>Platinum</v>
      </c>
      <c r="N120" s="4" t="str">
        <f t="shared" si="6"/>
        <v>OK</v>
      </c>
    </row>
    <row r="121" ht="14.25" customHeight="1">
      <c r="A121" s="4" t="s">
        <v>424</v>
      </c>
      <c r="B121" s="4" t="s">
        <v>425</v>
      </c>
      <c r="C121" s="4">
        <v>40.0</v>
      </c>
      <c r="D121" s="4" t="s">
        <v>16</v>
      </c>
      <c r="E121" s="4" t="s">
        <v>426</v>
      </c>
      <c r="F121" s="4" t="s">
        <v>247</v>
      </c>
      <c r="G121" s="4" t="s">
        <v>19</v>
      </c>
      <c r="H121" s="4" t="s">
        <v>34</v>
      </c>
      <c r="I121" s="4" t="str">
        <f t="shared" si="2"/>
        <v>Michael Jones</v>
      </c>
      <c r="J121" s="4" t="str">
        <f t="shared" ref="J121:K121" si="124">TRIM(PROPER(E121))</f>
        <v>North Edwardton</v>
      </c>
      <c r="K121" s="4" t="str">
        <f t="shared" si="124"/>
        <v>Tennessee</v>
      </c>
      <c r="L121" s="4" t="str">
        <f t="shared" si="4"/>
        <v>Male</v>
      </c>
      <c r="M121" s="4" t="str">
        <f t="shared" si="5"/>
        <v>Bronze</v>
      </c>
      <c r="N121" s="4" t="str">
        <f t="shared" si="6"/>
        <v>OK</v>
      </c>
    </row>
    <row r="122" ht="14.25" customHeight="1">
      <c r="A122" s="4" t="s">
        <v>427</v>
      </c>
      <c r="B122" s="4" t="s">
        <v>428</v>
      </c>
      <c r="C122" s="4">
        <v>44.0</v>
      </c>
      <c r="D122" s="4" t="s">
        <v>22</v>
      </c>
      <c r="E122" s="4" t="s">
        <v>429</v>
      </c>
      <c r="F122" s="4" t="s">
        <v>60</v>
      </c>
      <c r="G122" s="4" t="s">
        <v>19</v>
      </c>
      <c r="H122" s="4" t="s">
        <v>25</v>
      </c>
      <c r="I122" s="4" t="str">
        <f t="shared" si="2"/>
        <v>Jacob Hopkins</v>
      </c>
      <c r="J122" s="4" t="str">
        <f t="shared" ref="J122:K122" si="125">TRIM(PROPER(E122))</f>
        <v>Lake Tylerfort</v>
      </c>
      <c r="K122" s="4" t="str">
        <f t="shared" si="125"/>
        <v>Pennsylvania</v>
      </c>
      <c r="L122" s="4" t="str">
        <f t="shared" si="4"/>
        <v>Female</v>
      </c>
      <c r="M122" s="4" t="str">
        <f t="shared" si="5"/>
        <v>Platinum</v>
      </c>
      <c r="N122" s="4" t="str">
        <f t="shared" si="6"/>
        <v>OK</v>
      </c>
    </row>
    <row r="123" ht="14.25" customHeight="1">
      <c r="A123" s="4" t="s">
        <v>430</v>
      </c>
      <c r="B123" s="4" t="s">
        <v>431</v>
      </c>
      <c r="C123" s="4">
        <v>62.0</v>
      </c>
      <c r="D123" s="4" t="s">
        <v>16</v>
      </c>
      <c r="E123" s="4" t="s">
        <v>432</v>
      </c>
      <c r="F123" s="4" t="s">
        <v>109</v>
      </c>
      <c r="G123" s="4" t="s">
        <v>19</v>
      </c>
      <c r="H123" s="4" t="s">
        <v>25</v>
      </c>
      <c r="I123" s="4" t="str">
        <f t="shared" si="2"/>
        <v>Joel Robinson</v>
      </c>
      <c r="J123" s="4" t="str">
        <f t="shared" ref="J123:K123" si="126">TRIM(PROPER(E123))</f>
        <v>Lake Danielport</v>
      </c>
      <c r="K123" s="4" t="str">
        <f t="shared" si="126"/>
        <v>Hawaii</v>
      </c>
      <c r="L123" s="4" t="str">
        <f t="shared" si="4"/>
        <v>Male</v>
      </c>
      <c r="M123" s="4" t="str">
        <f t="shared" si="5"/>
        <v>Platinum</v>
      </c>
      <c r="N123" s="4" t="str">
        <f t="shared" si="6"/>
        <v>OK</v>
      </c>
    </row>
    <row r="124" ht="14.25" customHeight="1">
      <c r="A124" s="4" t="s">
        <v>433</v>
      </c>
      <c r="B124" s="4" t="s">
        <v>434</v>
      </c>
      <c r="C124" s="4">
        <v>50.0</v>
      </c>
      <c r="D124" s="4" t="s">
        <v>16</v>
      </c>
      <c r="E124" s="4" t="s">
        <v>435</v>
      </c>
      <c r="F124" s="4" t="s">
        <v>18</v>
      </c>
      <c r="G124" s="4" t="s">
        <v>19</v>
      </c>
      <c r="H124" s="4" t="s">
        <v>25</v>
      </c>
      <c r="I124" s="4" t="str">
        <f t="shared" si="2"/>
        <v>Michael Chang</v>
      </c>
      <c r="J124" s="4" t="str">
        <f t="shared" ref="J124:K124" si="127">TRIM(PROPER(E124))</f>
        <v>Kathrynport</v>
      </c>
      <c r="K124" s="4" t="str">
        <f t="shared" si="127"/>
        <v>North Carolina</v>
      </c>
      <c r="L124" s="4" t="str">
        <f t="shared" si="4"/>
        <v>Male</v>
      </c>
      <c r="M124" s="4" t="str">
        <f t="shared" si="5"/>
        <v>Platinum</v>
      </c>
      <c r="N124" s="4" t="str">
        <f t="shared" si="6"/>
        <v>OK</v>
      </c>
    </row>
    <row r="125" ht="14.25" customHeight="1">
      <c r="A125" s="4" t="s">
        <v>436</v>
      </c>
      <c r="B125" s="4" t="s">
        <v>437</v>
      </c>
      <c r="C125" s="4">
        <v>40.0</v>
      </c>
      <c r="D125" s="4" t="s">
        <v>16</v>
      </c>
      <c r="E125" s="4" t="s">
        <v>438</v>
      </c>
      <c r="F125" s="4" t="s">
        <v>277</v>
      </c>
      <c r="G125" s="4" t="s">
        <v>19</v>
      </c>
      <c r="H125" s="4" t="s">
        <v>39</v>
      </c>
      <c r="I125" s="4" t="str">
        <f t="shared" si="2"/>
        <v>Erin Hopkins</v>
      </c>
      <c r="J125" s="4" t="str">
        <f t="shared" ref="J125:K125" si="128">TRIM(PROPER(E125))</f>
        <v>North Sabrina</v>
      </c>
      <c r="K125" s="4" t="str">
        <f t="shared" si="128"/>
        <v>Iowa</v>
      </c>
      <c r="L125" s="4" t="str">
        <f t="shared" si="4"/>
        <v>Male</v>
      </c>
      <c r="M125" s="4" t="str">
        <f t="shared" si="5"/>
        <v>Silver</v>
      </c>
      <c r="N125" s="4" t="str">
        <f t="shared" si="6"/>
        <v>OK</v>
      </c>
    </row>
    <row r="126" ht="14.25" customHeight="1">
      <c r="A126" s="4" t="s">
        <v>439</v>
      </c>
      <c r="B126" s="4" t="s">
        <v>440</v>
      </c>
      <c r="C126" s="4">
        <v>26.0</v>
      </c>
      <c r="D126" s="4" t="s">
        <v>16</v>
      </c>
      <c r="E126" s="4" t="s">
        <v>441</v>
      </c>
      <c r="F126" s="4" t="s">
        <v>204</v>
      </c>
      <c r="G126" s="4" t="s">
        <v>19</v>
      </c>
      <c r="H126" s="4" t="s">
        <v>34</v>
      </c>
      <c r="I126" s="4" t="str">
        <f t="shared" si="2"/>
        <v>Donald Lee</v>
      </c>
      <c r="J126" s="4" t="str">
        <f t="shared" ref="J126:K126" si="129">TRIM(PROPER(E126))</f>
        <v>Wongberg</v>
      </c>
      <c r="K126" s="4" t="str">
        <f t="shared" si="129"/>
        <v>Illinois</v>
      </c>
      <c r="L126" s="4" t="str">
        <f t="shared" si="4"/>
        <v>Male</v>
      </c>
      <c r="M126" s="4" t="str">
        <f t="shared" si="5"/>
        <v>Bronze</v>
      </c>
      <c r="N126" s="4" t="str">
        <f t="shared" si="6"/>
        <v>OK</v>
      </c>
    </row>
    <row r="127" ht="14.25" customHeight="1">
      <c r="A127" s="4" t="s">
        <v>442</v>
      </c>
      <c r="B127" s="4" t="s">
        <v>443</v>
      </c>
      <c r="C127" s="4">
        <v>64.0</v>
      </c>
      <c r="D127" s="4" t="s">
        <v>22</v>
      </c>
      <c r="E127" s="4" t="s">
        <v>444</v>
      </c>
      <c r="F127" s="4" t="s">
        <v>445</v>
      </c>
      <c r="G127" s="4" t="s">
        <v>19</v>
      </c>
      <c r="H127" s="4" t="s">
        <v>25</v>
      </c>
      <c r="I127" s="4" t="str">
        <f t="shared" si="2"/>
        <v>Keith Miller</v>
      </c>
      <c r="J127" s="4" t="str">
        <f t="shared" ref="J127:K127" si="130">TRIM(PROPER(E127))</f>
        <v>West Jameston</v>
      </c>
      <c r="K127" s="4" t="str">
        <f t="shared" si="130"/>
        <v>Maine</v>
      </c>
      <c r="L127" s="4" t="str">
        <f t="shared" si="4"/>
        <v>Female</v>
      </c>
      <c r="M127" s="4" t="str">
        <f t="shared" si="5"/>
        <v>Platinum</v>
      </c>
      <c r="N127" s="4" t="str">
        <f t="shared" si="6"/>
        <v>OK</v>
      </c>
    </row>
    <row r="128" ht="14.25" customHeight="1">
      <c r="A128" s="4" t="s">
        <v>446</v>
      </c>
      <c r="B128" s="4" t="s">
        <v>447</v>
      </c>
      <c r="C128" s="4">
        <v>62.0</v>
      </c>
      <c r="D128" s="4" t="s">
        <v>22</v>
      </c>
      <c r="E128" s="4" t="s">
        <v>448</v>
      </c>
      <c r="F128" s="4" t="s">
        <v>143</v>
      </c>
      <c r="G128" s="4" t="s">
        <v>19</v>
      </c>
      <c r="H128" s="4" t="s">
        <v>56</v>
      </c>
      <c r="I128" s="4" t="str">
        <f t="shared" si="2"/>
        <v>James Wolfe</v>
      </c>
      <c r="J128" s="4" t="str">
        <f t="shared" ref="J128:K128" si="131">TRIM(PROPER(E128))</f>
        <v>Benjaminton</v>
      </c>
      <c r="K128" s="4" t="str">
        <f t="shared" si="131"/>
        <v>Arizona</v>
      </c>
      <c r="L128" s="4" t="str">
        <f t="shared" si="4"/>
        <v>Female</v>
      </c>
      <c r="M128" s="4" t="str">
        <f t="shared" si="5"/>
        <v>Gold</v>
      </c>
      <c r="N128" s="4" t="str">
        <f t="shared" si="6"/>
        <v>OK</v>
      </c>
    </row>
    <row r="129" ht="14.25" customHeight="1">
      <c r="A129" s="4" t="s">
        <v>449</v>
      </c>
      <c r="B129" s="4" t="s">
        <v>450</v>
      </c>
      <c r="C129" s="4">
        <v>39.0</v>
      </c>
      <c r="D129" s="4" t="s">
        <v>16</v>
      </c>
      <c r="E129" s="4" t="s">
        <v>451</v>
      </c>
      <c r="F129" s="4" t="s">
        <v>181</v>
      </c>
      <c r="G129" s="4" t="s">
        <v>19</v>
      </c>
      <c r="H129" s="4" t="s">
        <v>25</v>
      </c>
      <c r="I129" s="4" t="str">
        <f t="shared" si="2"/>
        <v>John Mcknight</v>
      </c>
      <c r="J129" s="4" t="str">
        <f t="shared" ref="J129:K129" si="132">TRIM(PROPER(E129))</f>
        <v>South Nathan</v>
      </c>
      <c r="K129" s="4" t="str">
        <f t="shared" si="132"/>
        <v>Vermont</v>
      </c>
      <c r="L129" s="4" t="str">
        <f t="shared" si="4"/>
        <v>Male</v>
      </c>
      <c r="M129" s="4" t="str">
        <f t="shared" si="5"/>
        <v>Platinum</v>
      </c>
      <c r="N129" s="4" t="str">
        <f t="shared" si="6"/>
        <v>OK</v>
      </c>
    </row>
    <row r="130" ht="14.25" customHeight="1">
      <c r="A130" s="4" t="s">
        <v>452</v>
      </c>
      <c r="B130" s="4" t="s">
        <v>453</v>
      </c>
      <c r="C130" s="4">
        <v>45.0</v>
      </c>
      <c r="D130" s="4" t="s">
        <v>16</v>
      </c>
      <c r="E130" s="4" t="s">
        <v>454</v>
      </c>
      <c r="F130" s="4" t="s">
        <v>301</v>
      </c>
      <c r="G130" s="4" t="s">
        <v>19</v>
      </c>
      <c r="H130" s="4" t="s">
        <v>39</v>
      </c>
      <c r="I130" s="4" t="str">
        <f t="shared" si="2"/>
        <v>Susan Mcdonald</v>
      </c>
      <c r="J130" s="4" t="str">
        <f t="shared" ref="J130:K130" si="133">TRIM(PROPER(E130))</f>
        <v>East Ellen</v>
      </c>
      <c r="K130" s="4" t="str">
        <f t="shared" si="133"/>
        <v>Arkansas</v>
      </c>
      <c r="L130" s="4" t="str">
        <f t="shared" si="4"/>
        <v>Male</v>
      </c>
      <c r="M130" s="4" t="str">
        <f t="shared" si="5"/>
        <v>Silver</v>
      </c>
      <c r="N130" s="4" t="str">
        <f t="shared" si="6"/>
        <v>OK</v>
      </c>
    </row>
    <row r="131" ht="14.25" customHeight="1">
      <c r="A131" s="4" t="s">
        <v>455</v>
      </c>
      <c r="B131" s="4" t="s">
        <v>456</v>
      </c>
      <c r="C131" s="4">
        <v>43.0</v>
      </c>
      <c r="D131" s="4" t="s">
        <v>22</v>
      </c>
      <c r="E131" s="4" t="s">
        <v>457</v>
      </c>
      <c r="F131" s="4" t="s">
        <v>47</v>
      </c>
      <c r="G131" s="4" t="s">
        <v>19</v>
      </c>
      <c r="H131" s="4" t="s">
        <v>39</v>
      </c>
      <c r="I131" s="4" t="str">
        <f t="shared" si="2"/>
        <v>Jessica Mitchell</v>
      </c>
      <c r="J131" s="4" t="str">
        <f t="shared" ref="J131:K131" si="134">TRIM(PROPER(E131))</f>
        <v>Matthewbury</v>
      </c>
      <c r="K131" s="4" t="str">
        <f t="shared" si="134"/>
        <v>South Dakota</v>
      </c>
      <c r="L131" s="4" t="str">
        <f t="shared" si="4"/>
        <v>Female</v>
      </c>
      <c r="M131" s="4" t="str">
        <f t="shared" si="5"/>
        <v>Silver</v>
      </c>
      <c r="N131" s="4" t="str">
        <f t="shared" si="6"/>
        <v>OK</v>
      </c>
    </row>
    <row r="132" ht="14.25" customHeight="1">
      <c r="A132" s="4" t="s">
        <v>458</v>
      </c>
      <c r="B132" s="4" t="s">
        <v>459</v>
      </c>
      <c r="C132" s="4">
        <v>29.0</v>
      </c>
      <c r="D132" s="4" t="s">
        <v>16</v>
      </c>
      <c r="E132" s="4" t="s">
        <v>460</v>
      </c>
      <c r="F132" s="4" t="s">
        <v>177</v>
      </c>
      <c r="G132" s="4" t="s">
        <v>19</v>
      </c>
      <c r="H132" s="4" t="s">
        <v>25</v>
      </c>
      <c r="I132" s="4" t="str">
        <f t="shared" si="2"/>
        <v>Jamie Reyes</v>
      </c>
      <c r="J132" s="4" t="str">
        <f t="shared" ref="J132:K132" si="135">TRIM(PROPER(E132))</f>
        <v>Jonesbury</v>
      </c>
      <c r="K132" s="4" t="str">
        <f t="shared" si="135"/>
        <v>Connecticut</v>
      </c>
      <c r="L132" s="4" t="str">
        <f t="shared" si="4"/>
        <v>Male</v>
      </c>
      <c r="M132" s="4" t="str">
        <f t="shared" si="5"/>
        <v>Platinum</v>
      </c>
      <c r="N132" s="4" t="str">
        <f t="shared" si="6"/>
        <v>OK</v>
      </c>
    </row>
    <row r="133" ht="14.25" customHeight="1">
      <c r="A133" s="4" t="s">
        <v>461</v>
      </c>
      <c r="B133" s="4" t="s">
        <v>462</v>
      </c>
      <c r="C133" s="4">
        <v>34.0</v>
      </c>
      <c r="D133" s="4" t="s">
        <v>22</v>
      </c>
      <c r="E133" s="4" t="s">
        <v>463</v>
      </c>
      <c r="F133" s="4" t="s">
        <v>29</v>
      </c>
      <c r="G133" s="4" t="s">
        <v>19</v>
      </c>
      <c r="H133" s="4" t="s">
        <v>34</v>
      </c>
      <c r="I133" s="4" t="str">
        <f t="shared" si="2"/>
        <v>Joseph Richards</v>
      </c>
      <c r="J133" s="4" t="str">
        <f t="shared" ref="J133:K133" si="136">TRIM(PROPER(E133))</f>
        <v>Wigginsville</v>
      </c>
      <c r="K133" s="4" t="str">
        <f t="shared" si="136"/>
        <v>Alabama</v>
      </c>
      <c r="L133" s="4" t="str">
        <f t="shared" si="4"/>
        <v>Female</v>
      </c>
      <c r="M133" s="4" t="str">
        <f t="shared" si="5"/>
        <v>Bronze</v>
      </c>
      <c r="N133" s="4" t="str">
        <f t="shared" si="6"/>
        <v>OK</v>
      </c>
    </row>
    <row r="134" ht="14.25" customHeight="1">
      <c r="A134" s="4" t="s">
        <v>464</v>
      </c>
      <c r="B134" s="4" t="s">
        <v>465</v>
      </c>
      <c r="C134" s="4">
        <v>57.0</v>
      </c>
      <c r="D134" s="4" t="s">
        <v>22</v>
      </c>
      <c r="E134" s="4" t="s">
        <v>466</v>
      </c>
      <c r="F134" s="4" t="s">
        <v>33</v>
      </c>
      <c r="G134" s="4" t="s">
        <v>19</v>
      </c>
      <c r="H134" s="4" t="s">
        <v>56</v>
      </c>
      <c r="I134" s="4" t="str">
        <f t="shared" si="2"/>
        <v>Miguel Reynolds</v>
      </c>
      <c r="J134" s="4" t="str">
        <f t="shared" ref="J134:K134" si="137">TRIM(PROPER(E134))</f>
        <v>Taylorberg</v>
      </c>
      <c r="K134" s="4" t="str">
        <f t="shared" si="137"/>
        <v>Ohio</v>
      </c>
      <c r="L134" s="4" t="str">
        <f t="shared" si="4"/>
        <v>Female</v>
      </c>
      <c r="M134" s="4" t="str">
        <f t="shared" si="5"/>
        <v>Gold</v>
      </c>
      <c r="N134" s="4" t="str">
        <f t="shared" si="6"/>
        <v>OK</v>
      </c>
    </row>
    <row r="135" ht="14.25" customHeight="1">
      <c r="A135" s="4" t="s">
        <v>467</v>
      </c>
      <c r="B135" s="4" t="s">
        <v>468</v>
      </c>
      <c r="C135" s="4">
        <v>62.0</v>
      </c>
      <c r="D135" s="4" t="s">
        <v>22</v>
      </c>
      <c r="E135" s="4" t="s">
        <v>469</v>
      </c>
      <c r="F135" s="4" t="s">
        <v>260</v>
      </c>
      <c r="G135" s="4" t="s">
        <v>19</v>
      </c>
      <c r="H135" s="4" t="s">
        <v>34</v>
      </c>
      <c r="I135" s="4" t="str">
        <f t="shared" si="2"/>
        <v>Hayley Pope</v>
      </c>
      <c r="J135" s="4" t="str">
        <f t="shared" ref="J135:K135" si="138">TRIM(PROPER(E135))</f>
        <v>West Stephenville</v>
      </c>
      <c r="K135" s="4" t="str">
        <f t="shared" si="138"/>
        <v>Florida</v>
      </c>
      <c r="L135" s="4" t="str">
        <f t="shared" si="4"/>
        <v>Female</v>
      </c>
      <c r="M135" s="4" t="str">
        <f t="shared" si="5"/>
        <v>Bronze</v>
      </c>
      <c r="N135" s="4" t="str">
        <f t="shared" si="6"/>
        <v>OK</v>
      </c>
    </row>
    <row r="136" ht="14.25" customHeight="1">
      <c r="A136" s="4" t="s">
        <v>470</v>
      </c>
      <c r="B136" s="4" t="s">
        <v>471</v>
      </c>
      <c r="C136" s="4">
        <v>54.0</v>
      </c>
      <c r="D136" s="4" t="s">
        <v>16</v>
      </c>
      <c r="E136" s="4" t="s">
        <v>472</v>
      </c>
      <c r="F136" s="4" t="s">
        <v>83</v>
      </c>
      <c r="G136" s="4" t="s">
        <v>19</v>
      </c>
      <c r="H136" s="4" t="s">
        <v>56</v>
      </c>
      <c r="I136" s="4" t="str">
        <f t="shared" si="2"/>
        <v>Morgan Bowen</v>
      </c>
      <c r="J136" s="4" t="str">
        <f t="shared" ref="J136:K136" si="139">TRIM(PROPER(E136))</f>
        <v>Parksfort</v>
      </c>
      <c r="K136" s="4" t="str">
        <f t="shared" si="139"/>
        <v>Washington</v>
      </c>
      <c r="L136" s="4" t="str">
        <f t="shared" si="4"/>
        <v>Male</v>
      </c>
      <c r="M136" s="4" t="str">
        <f t="shared" si="5"/>
        <v>Gold</v>
      </c>
      <c r="N136" s="4" t="str">
        <f t="shared" si="6"/>
        <v>OK</v>
      </c>
    </row>
    <row r="137" ht="14.25" customHeight="1">
      <c r="A137" s="4" t="s">
        <v>473</v>
      </c>
      <c r="B137" s="4" t="s">
        <v>474</v>
      </c>
      <c r="C137" s="4">
        <v>33.0</v>
      </c>
      <c r="D137" s="4" t="s">
        <v>22</v>
      </c>
      <c r="E137" s="4" t="s">
        <v>475</v>
      </c>
      <c r="F137" s="4" t="s">
        <v>166</v>
      </c>
      <c r="G137" s="4" t="s">
        <v>19</v>
      </c>
      <c r="H137" s="4" t="s">
        <v>25</v>
      </c>
      <c r="I137" s="4" t="str">
        <f t="shared" si="2"/>
        <v>Matthew Hanna</v>
      </c>
      <c r="J137" s="4" t="str">
        <f t="shared" ref="J137:K137" si="140">TRIM(PROPER(E137))</f>
        <v>Gonzalezbury</v>
      </c>
      <c r="K137" s="4" t="str">
        <f t="shared" si="140"/>
        <v>Michigan</v>
      </c>
      <c r="L137" s="4" t="str">
        <f t="shared" si="4"/>
        <v>Female</v>
      </c>
      <c r="M137" s="4" t="str">
        <f t="shared" si="5"/>
        <v>Platinum</v>
      </c>
      <c r="N137" s="4" t="str">
        <f t="shared" si="6"/>
        <v>OK</v>
      </c>
    </row>
    <row r="138" ht="14.25" customHeight="1">
      <c r="A138" s="4" t="s">
        <v>476</v>
      </c>
      <c r="B138" s="4" t="s">
        <v>477</v>
      </c>
      <c r="C138" s="4">
        <v>29.0</v>
      </c>
      <c r="D138" s="4" t="s">
        <v>16</v>
      </c>
      <c r="E138" s="4" t="s">
        <v>478</v>
      </c>
      <c r="F138" s="4" t="s">
        <v>79</v>
      </c>
      <c r="G138" s="4" t="s">
        <v>19</v>
      </c>
      <c r="H138" s="4" t="s">
        <v>39</v>
      </c>
      <c r="I138" s="4" t="str">
        <f t="shared" si="2"/>
        <v>Patrick Coleman</v>
      </c>
      <c r="J138" s="4" t="str">
        <f t="shared" ref="J138:K138" si="141">TRIM(PROPER(E138))</f>
        <v>New Jeffrey</v>
      </c>
      <c r="K138" s="4" t="str">
        <f t="shared" si="141"/>
        <v>Nebraska</v>
      </c>
      <c r="L138" s="4" t="str">
        <f t="shared" si="4"/>
        <v>Male</v>
      </c>
      <c r="M138" s="4" t="str">
        <f t="shared" si="5"/>
        <v>Silver</v>
      </c>
      <c r="N138" s="4" t="str">
        <f t="shared" si="6"/>
        <v>OK</v>
      </c>
    </row>
    <row r="139" ht="14.25" customHeight="1">
      <c r="A139" s="4" t="s">
        <v>479</v>
      </c>
      <c r="B139" s="4" t="s">
        <v>480</v>
      </c>
      <c r="C139" s="4">
        <v>55.0</v>
      </c>
      <c r="D139" s="4" t="s">
        <v>22</v>
      </c>
      <c r="E139" s="4" t="s">
        <v>481</v>
      </c>
      <c r="F139" s="4" t="s">
        <v>33</v>
      </c>
      <c r="G139" s="4" t="s">
        <v>19</v>
      </c>
      <c r="H139" s="4" t="s">
        <v>25</v>
      </c>
      <c r="I139" s="4" t="str">
        <f t="shared" si="2"/>
        <v>Rick Dominguez</v>
      </c>
      <c r="J139" s="4" t="str">
        <f t="shared" ref="J139:K139" si="142">TRIM(PROPER(E139))</f>
        <v>North Johnbury</v>
      </c>
      <c r="K139" s="4" t="str">
        <f t="shared" si="142"/>
        <v>Ohio</v>
      </c>
      <c r="L139" s="4" t="str">
        <f t="shared" si="4"/>
        <v>Female</v>
      </c>
      <c r="M139" s="4" t="str">
        <f t="shared" si="5"/>
        <v>Platinum</v>
      </c>
      <c r="N139" s="4" t="str">
        <f t="shared" si="6"/>
        <v>OK</v>
      </c>
    </row>
    <row r="140" ht="14.25" customHeight="1">
      <c r="A140" s="4" t="s">
        <v>482</v>
      </c>
      <c r="B140" s="4" t="s">
        <v>483</v>
      </c>
      <c r="C140" s="4">
        <v>43.0</v>
      </c>
      <c r="D140" s="4" t="s">
        <v>16</v>
      </c>
      <c r="E140" s="4" t="s">
        <v>405</v>
      </c>
      <c r="F140" s="4" t="s">
        <v>297</v>
      </c>
      <c r="G140" s="4" t="s">
        <v>19</v>
      </c>
      <c r="H140" s="4" t="s">
        <v>56</v>
      </c>
      <c r="I140" s="4" t="str">
        <f t="shared" si="2"/>
        <v>Sean Roth</v>
      </c>
      <c r="J140" s="4" t="str">
        <f t="shared" ref="J140:K140" si="143">TRIM(PROPER(E140))</f>
        <v>Lake Michael</v>
      </c>
      <c r="K140" s="4" t="str">
        <f t="shared" si="143"/>
        <v>Virginia</v>
      </c>
      <c r="L140" s="4" t="str">
        <f t="shared" si="4"/>
        <v>Male</v>
      </c>
      <c r="M140" s="4" t="str">
        <f t="shared" si="5"/>
        <v>Gold</v>
      </c>
      <c r="N140" s="4" t="str">
        <f t="shared" si="6"/>
        <v>OK</v>
      </c>
    </row>
    <row r="141" ht="14.25" customHeight="1">
      <c r="A141" s="4" t="s">
        <v>484</v>
      </c>
      <c r="B141" s="4" t="s">
        <v>485</v>
      </c>
      <c r="C141" s="4">
        <v>32.0</v>
      </c>
      <c r="D141" s="4" t="s">
        <v>16</v>
      </c>
      <c r="E141" s="4" t="s">
        <v>486</v>
      </c>
      <c r="F141" s="4" t="s">
        <v>127</v>
      </c>
      <c r="G141" s="4" t="s">
        <v>19</v>
      </c>
      <c r="H141" s="4" t="s">
        <v>34</v>
      </c>
      <c r="I141" s="4" t="str">
        <f t="shared" si="2"/>
        <v>Brian Holder</v>
      </c>
      <c r="J141" s="4" t="str">
        <f t="shared" ref="J141:K141" si="144">TRIM(PROPER(E141))</f>
        <v>Port Travis</v>
      </c>
      <c r="K141" s="4" t="str">
        <f t="shared" si="144"/>
        <v>Utah</v>
      </c>
      <c r="L141" s="4" t="str">
        <f t="shared" si="4"/>
        <v>Male</v>
      </c>
      <c r="M141" s="4" t="str">
        <f t="shared" si="5"/>
        <v>Bronze</v>
      </c>
      <c r="N141" s="4" t="str">
        <f t="shared" si="6"/>
        <v>OK</v>
      </c>
    </row>
    <row r="142" ht="14.25" customHeight="1">
      <c r="A142" s="4" t="s">
        <v>487</v>
      </c>
      <c r="B142" s="4" t="s">
        <v>488</v>
      </c>
      <c r="C142" s="4">
        <v>63.0</v>
      </c>
      <c r="D142" s="4" t="s">
        <v>22</v>
      </c>
      <c r="E142" s="4" t="s">
        <v>489</v>
      </c>
      <c r="F142" s="4" t="s">
        <v>60</v>
      </c>
      <c r="G142" s="4" t="s">
        <v>19</v>
      </c>
      <c r="H142" s="4" t="s">
        <v>56</v>
      </c>
      <c r="I142" s="4" t="str">
        <f t="shared" si="2"/>
        <v>Patty Francis</v>
      </c>
      <c r="J142" s="4" t="str">
        <f t="shared" ref="J142:K142" si="145">TRIM(PROPER(E142))</f>
        <v>South Brooke</v>
      </c>
      <c r="K142" s="4" t="str">
        <f t="shared" si="145"/>
        <v>Pennsylvania</v>
      </c>
      <c r="L142" s="4" t="str">
        <f t="shared" si="4"/>
        <v>Female</v>
      </c>
      <c r="M142" s="4" t="str">
        <f t="shared" si="5"/>
        <v>Gold</v>
      </c>
      <c r="N142" s="4" t="str">
        <f t="shared" si="6"/>
        <v>OK</v>
      </c>
    </row>
    <row r="143" ht="14.25" customHeight="1">
      <c r="A143" s="4" t="s">
        <v>490</v>
      </c>
      <c r="B143" s="4" t="s">
        <v>491</v>
      </c>
      <c r="C143" s="4">
        <v>30.0</v>
      </c>
      <c r="D143" s="4" t="s">
        <v>16</v>
      </c>
      <c r="E143" s="4" t="s">
        <v>492</v>
      </c>
      <c r="F143" s="4" t="s">
        <v>38</v>
      </c>
      <c r="G143" s="4" t="s">
        <v>19</v>
      </c>
      <c r="H143" s="4" t="s">
        <v>34</v>
      </c>
      <c r="I143" s="4" t="str">
        <f t="shared" si="2"/>
        <v>Cristian Wright</v>
      </c>
      <c r="J143" s="4" t="str">
        <f t="shared" ref="J143:K143" si="146">TRIM(PROPER(E143))</f>
        <v>Port Denise</v>
      </c>
      <c r="K143" s="4" t="str">
        <f t="shared" si="146"/>
        <v>California</v>
      </c>
      <c r="L143" s="4" t="str">
        <f t="shared" si="4"/>
        <v>Male</v>
      </c>
      <c r="M143" s="4" t="str">
        <f t="shared" si="5"/>
        <v>Bronze</v>
      </c>
      <c r="N143" s="4" t="str">
        <f t="shared" si="6"/>
        <v>OK</v>
      </c>
    </row>
    <row r="144" ht="14.25" customHeight="1">
      <c r="A144" s="4" t="s">
        <v>493</v>
      </c>
      <c r="B144" s="4" t="s">
        <v>494</v>
      </c>
      <c r="C144" s="4">
        <v>37.0</v>
      </c>
      <c r="D144" s="4" t="s">
        <v>16</v>
      </c>
      <c r="E144" s="4" t="s">
        <v>495</v>
      </c>
      <c r="F144" s="4" t="s">
        <v>75</v>
      </c>
      <c r="G144" s="4" t="s">
        <v>19</v>
      </c>
      <c r="H144" s="4" t="s">
        <v>34</v>
      </c>
      <c r="I144" s="4" t="str">
        <f t="shared" si="2"/>
        <v>Maria Ramirez</v>
      </c>
      <c r="J144" s="4" t="str">
        <f t="shared" ref="J144:K144" si="147">TRIM(PROPER(E144))</f>
        <v>West Brandon</v>
      </c>
      <c r="K144" s="4" t="str">
        <f t="shared" si="147"/>
        <v>Montana</v>
      </c>
      <c r="L144" s="4" t="str">
        <f t="shared" si="4"/>
        <v>Male</v>
      </c>
      <c r="M144" s="4" t="str">
        <f t="shared" si="5"/>
        <v>Bronze</v>
      </c>
      <c r="N144" s="4" t="str">
        <f t="shared" si="6"/>
        <v>OK</v>
      </c>
    </row>
    <row r="145" ht="14.25" customHeight="1">
      <c r="A145" s="4" t="s">
        <v>496</v>
      </c>
      <c r="B145" s="4" t="s">
        <v>497</v>
      </c>
      <c r="C145" s="4">
        <v>46.0</v>
      </c>
      <c r="D145" s="4" t="s">
        <v>16</v>
      </c>
      <c r="E145" s="4" t="s">
        <v>498</v>
      </c>
      <c r="F145" s="4" t="s">
        <v>29</v>
      </c>
      <c r="G145" s="4" t="s">
        <v>19</v>
      </c>
      <c r="H145" s="4" t="s">
        <v>34</v>
      </c>
      <c r="I145" s="4" t="str">
        <f t="shared" si="2"/>
        <v>Carlos Skinner</v>
      </c>
      <c r="J145" s="4" t="str">
        <f t="shared" ref="J145:K145" si="148">TRIM(PROPER(E145))</f>
        <v>Dwaynemouth</v>
      </c>
      <c r="K145" s="4" t="str">
        <f t="shared" si="148"/>
        <v>Alabama</v>
      </c>
      <c r="L145" s="4" t="str">
        <f t="shared" si="4"/>
        <v>Male</v>
      </c>
      <c r="M145" s="4" t="str">
        <f t="shared" si="5"/>
        <v>Bronze</v>
      </c>
      <c r="N145" s="4" t="str">
        <f t="shared" si="6"/>
        <v>OK</v>
      </c>
    </row>
    <row r="146" ht="14.25" customHeight="1">
      <c r="A146" s="4" t="s">
        <v>499</v>
      </c>
      <c r="B146" s="4" t="s">
        <v>500</v>
      </c>
      <c r="C146" s="4">
        <v>62.0</v>
      </c>
      <c r="D146" s="4" t="s">
        <v>22</v>
      </c>
      <c r="E146" s="4" t="s">
        <v>501</v>
      </c>
      <c r="F146" s="4" t="s">
        <v>194</v>
      </c>
      <c r="G146" s="4" t="s">
        <v>19</v>
      </c>
      <c r="H146" s="4" t="s">
        <v>34</v>
      </c>
      <c r="I146" s="4" t="str">
        <f t="shared" si="2"/>
        <v>Justin Cross</v>
      </c>
      <c r="J146" s="4" t="str">
        <f t="shared" ref="J146:K146" si="149">TRIM(PROPER(E146))</f>
        <v>North Anthonychester</v>
      </c>
      <c r="K146" s="4" t="str">
        <f t="shared" si="149"/>
        <v>Nevada</v>
      </c>
      <c r="L146" s="4" t="str">
        <f t="shared" si="4"/>
        <v>Female</v>
      </c>
      <c r="M146" s="4" t="str">
        <f t="shared" si="5"/>
        <v>Bronze</v>
      </c>
      <c r="N146" s="4" t="str">
        <f t="shared" si="6"/>
        <v>OK</v>
      </c>
    </row>
    <row r="147" ht="14.25" customHeight="1">
      <c r="A147" s="4" t="s">
        <v>502</v>
      </c>
      <c r="B147" s="4" t="s">
        <v>503</v>
      </c>
      <c r="C147" s="4">
        <v>46.0</v>
      </c>
      <c r="D147" s="4" t="s">
        <v>16</v>
      </c>
      <c r="E147" s="4" t="s">
        <v>504</v>
      </c>
      <c r="F147" s="4" t="s">
        <v>264</v>
      </c>
      <c r="G147" s="4" t="s">
        <v>19</v>
      </c>
      <c r="H147" s="4" t="s">
        <v>25</v>
      </c>
      <c r="I147" s="4" t="str">
        <f t="shared" si="2"/>
        <v>Cameron Simpson</v>
      </c>
      <c r="J147" s="4" t="str">
        <f t="shared" ref="J147:K147" si="150">TRIM(PROPER(E147))</f>
        <v>Michaelfort</v>
      </c>
      <c r="K147" s="4" t="str">
        <f t="shared" si="150"/>
        <v>Indiana</v>
      </c>
      <c r="L147" s="4" t="str">
        <f t="shared" si="4"/>
        <v>Male</v>
      </c>
      <c r="M147" s="4" t="str">
        <f t="shared" si="5"/>
        <v>Platinum</v>
      </c>
      <c r="N147" s="4" t="str">
        <f t="shared" si="6"/>
        <v>OK</v>
      </c>
    </row>
    <row r="148" ht="14.25" customHeight="1">
      <c r="A148" s="4" t="s">
        <v>505</v>
      </c>
      <c r="B148" s="4" t="s">
        <v>506</v>
      </c>
      <c r="C148" s="4">
        <v>32.0</v>
      </c>
      <c r="D148" s="4" t="s">
        <v>22</v>
      </c>
      <c r="E148" s="4" t="s">
        <v>507</v>
      </c>
      <c r="F148" s="4" t="s">
        <v>327</v>
      </c>
      <c r="G148" s="4" t="s">
        <v>19</v>
      </c>
      <c r="H148" s="4" t="s">
        <v>56</v>
      </c>
      <c r="I148" s="4" t="str">
        <f t="shared" si="2"/>
        <v>Edward Rivera</v>
      </c>
      <c r="J148" s="4" t="str">
        <f t="shared" ref="J148:K148" si="151">TRIM(PROPER(E148))</f>
        <v>Chungmouth</v>
      </c>
      <c r="K148" s="4" t="str">
        <f t="shared" si="151"/>
        <v>South Carolina</v>
      </c>
      <c r="L148" s="4" t="str">
        <f t="shared" si="4"/>
        <v>Female</v>
      </c>
      <c r="M148" s="4" t="str">
        <f t="shared" si="5"/>
        <v>Gold</v>
      </c>
      <c r="N148" s="4" t="str">
        <f t="shared" si="6"/>
        <v>OK</v>
      </c>
    </row>
    <row r="149" ht="14.25" customHeight="1">
      <c r="A149" s="4" t="s">
        <v>508</v>
      </c>
      <c r="B149" s="4" t="s">
        <v>509</v>
      </c>
      <c r="C149" s="4">
        <v>49.0</v>
      </c>
      <c r="D149" s="4" t="s">
        <v>22</v>
      </c>
      <c r="E149" s="4" t="s">
        <v>510</v>
      </c>
      <c r="F149" s="4" t="s">
        <v>173</v>
      </c>
      <c r="G149" s="4" t="s">
        <v>19</v>
      </c>
      <c r="H149" s="4" t="s">
        <v>25</v>
      </c>
      <c r="I149" s="4" t="str">
        <f t="shared" si="2"/>
        <v>Rhonda Young</v>
      </c>
      <c r="J149" s="4" t="str">
        <f t="shared" ref="J149:K149" si="152">TRIM(PROPER(E149))</f>
        <v>Lake Nathanfort</v>
      </c>
      <c r="K149" s="4" t="str">
        <f t="shared" si="152"/>
        <v>Alaska</v>
      </c>
      <c r="L149" s="4" t="str">
        <f t="shared" si="4"/>
        <v>Female</v>
      </c>
      <c r="M149" s="4" t="str">
        <f t="shared" si="5"/>
        <v>Platinum</v>
      </c>
      <c r="N149" s="4" t="str">
        <f t="shared" si="6"/>
        <v>OK</v>
      </c>
    </row>
    <row r="150" ht="14.25" customHeight="1">
      <c r="A150" s="4" t="s">
        <v>511</v>
      </c>
      <c r="B150" s="4" t="s">
        <v>512</v>
      </c>
      <c r="C150" s="4">
        <v>42.0</v>
      </c>
      <c r="D150" s="4" t="s">
        <v>22</v>
      </c>
      <c r="E150" s="4" t="s">
        <v>513</v>
      </c>
      <c r="F150" s="4" t="s">
        <v>334</v>
      </c>
      <c r="G150" s="4" t="s">
        <v>19</v>
      </c>
      <c r="H150" s="4" t="s">
        <v>34</v>
      </c>
      <c r="I150" s="4" t="str">
        <f t="shared" si="2"/>
        <v>Theresa Campbell</v>
      </c>
      <c r="J150" s="4" t="str">
        <f t="shared" ref="J150:K150" si="153">TRIM(PROPER(E150))</f>
        <v>New Brian</v>
      </c>
      <c r="K150" s="4" t="str">
        <f t="shared" si="153"/>
        <v>Wisconsin</v>
      </c>
      <c r="L150" s="4" t="str">
        <f t="shared" si="4"/>
        <v>Female</v>
      </c>
      <c r="M150" s="4" t="str">
        <f t="shared" si="5"/>
        <v>Bronze</v>
      </c>
      <c r="N150" s="4" t="str">
        <f t="shared" si="6"/>
        <v>OK</v>
      </c>
    </row>
    <row r="151" ht="14.25" customHeight="1">
      <c r="A151" s="4" t="s">
        <v>514</v>
      </c>
      <c r="B151" s="4" t="s">
        <v>515</v>
      </c>
      <c r="C151" s="4">
        <v>33.0</v>
      </c>
      <c r="D151" s="4" t="s">
        <v>16</v>
      </c>
      <c r="E151" s="4" t="s">
        <v>516</v>
      </c>
      <c r="F151" s="4" t="s">
        <v>260</v>
      </c>
      <c r="G151" s="4" t="s">
        <v>19</v>
      </c>
      <c r="H151" s="4" t="s">
        <v>25</v>
      </c>
      <c r="I151" s="4" t="str">
        <f t="shared" si="2"/>
        <v>Denise Griffin</v>
      </c>
      <c r="J151" s="4" t="str">
        <f t="shared" ref="J151:K151" si="154">TRIM(PROPER(E151))</f>
        <v>West Markhaven</v>
      </c>
      <c r="K151" s="4" t="str">
        <f t="shared" si="154"/>
        <v>Florida</v>
      </c>
      <c r="L151" s="4" t="str">
        <f t="shared" si="4"/>
        <v>Male</v>
      </c>
      <c r="M151" s="4" t="str">
        <f t="shared" si="5"/>
        <v>Platinum</v>
      </c>
      <c r="N151" s="4" t="str">
        <f t="shared" si="6"/>
        <v>OK</v>
      </c>
    </row>
    <row r="152" ht="14.25" customHeight="1">
      <c r="A152" s="4" t="s">
        <v>517</v>
      </c>
      <c r="B152" s="4" t="s">
        <v>518</v>
      </c>
      <c r="C152" s="4">
        <v>24.0</v>
      </c>
      <c r="D152" s="4" t="s">
        <v>16</v>
      </c>
      <c r="E152" s="4" t="s">
        <v>519</v>
      </c>
      <c r="F152" s="4" t="s">
        <v>323</v>
      </c>
      <c r="G152" s="4" t="s">
        <v>19</v>
      </c>
      <c r="H152" s="4" t="s">
        <v>56</v>
      </c>
      <c r="I152" s="4" t="str">
        <f t="shared" si="2"/>
        <v>Stephanie Conway</v>
      </c>
      <c r="J152" s="4" t="str">
        <f t="shared" ref="J152:K152" si="155">TRIM(PROPER(E152))</f>
        <v>Port Frankmouth</v>
      </c>
      <c r="K152" s="4" t="str">
        <f t="shared" si="155"/>
        <v>Mississippi</v>
      </c>
      <c r="L152" s="4" t="str">
        <f t="shared" si="4"/>
        <v>Male</v>
      </c>
      <c r="M152" s="4" t="str">
        <f t="shared" si="5"/>
        <v>Gold</v>
      </c>
      <c r="N152" s="4" t="str">
        <f t="shared" si="6"/>
        <v>OK</v>
      </c>
    </row>
    <row r="153" ht="14.25" customHeight="1">
      <c r="A153" s="4" t="s">
        <v>520</v>
      </c>
      <c r="B153" s="4" t="s">
        <v>521</v>
      </c>
      <c r="C153" s="4">
        <v>25.0</v>
      </c>
      <c r="D153" s="4" t="s">
        <v>22</v>
      </c>
      <c r="E153" s="4" t="s">
        <v>522</v>
      </c>
      <c r="F153" s="4" t="s">
        <v>43</v>
      </c>
      <c r="G153" s="4" t="s">
        <v>19</v>
      </c>
      <c r="H153" s="4" t="s">
        <v>56</v>
      </c>
      <c r="I153" s="4" t="str">
        <f t="shared" si="2"/>
        <v>Michael Davies</v>
      </c>
      <c r="J153" s="4" t="str">
        <f t="shared" ref="J153:K153" si="156">TRIM(PROPER(E153))</f>
        <v>Lake Stevenfort</v>
      </c>
      <c r="K153" s="4" t="str">
        <f t="shared" si="156"/>
        <v>Oregon</v>
      </c>
      <c r="L153" s="4" t="str">
        <f t="shared" si="4"/>
        <v>Female</v>
      </c>
      <c r="M153" s="4" t="str">
        <f t="shared" si="5"/>
        <v>Gold</v>
      </c>
      <c r="N153" s="4" t="str">
        <f t="shared" si="6"/>
        <v>OK</v>
      </c>
    </row>
    <row r="154" ht="14.25" customHeight="1">
      <c r="A154" s="4" t="s">
        <v>523</v>
      </c>
      <c r="B154" s="4" t="s">
        <v>524</v>
      </c>
      <c r="C154" s="4">
        <v>41.0</v>
      </c>
      <c r="D154" s="4" t="s">
        <v>22</v>
      </c>
      <c r="E154" s="4" t="s">
        <v>525</v>
      </c>
      <c r="F154" s="4" t="s">
        <v>123</v>
      </c>
      <c r="G154" s="4" t="s">
        <v>19</v>
      </c>
      <c r="H154" s="4" t="s">
        <v>25</v>
      </c>
      <c r="I154" s="4" t="str">
        <f t="shared" si="2"/>
        <v>Patrick Roberts</v>
      </c>
      <c r="J154" s="4" t="str">
        <f t="shared" ref="J154:K154" si="157">TRIM(PROPER(E154))</f>
        <v>Jaredville</v>
      </c>
      <c r="K154" s="4" t="str">
        <f t="shared" si="157"/>
        <v>Missouri</v>
      </c>
      <c r="L154" s="4" t="str">
        <f t="shared" si="4"/>
        <v>Female</v>
      </c>
      <c r="M154" s="4" t="str">
        <f t="shared" si="5"/>
        <v>Platinum</v>
      </c>
      <c r="N154" s="4" t="str">
        <f t="shared" si="6"/>
        <v>OK</v>
      </c>
    </row>
    <row r="155" ht="14.25" customHeight="1">
      <c r="A155" s="4" t="s">
        <v>526</v>
      </c>
      <c r="B155" s="4" t="s">
        <v>527</v>
      </c>
      <c r="C155" s="4">
        <v>31.0</v>
      </c>
      <c r="D155" s="4" t="s">
        <v>16</v>
      </c>
      <c r="E155" s="4" t="s">
        <v>528</v>
      </c>
      <c r="F155" s="4" t="s">
        <v>24</v>
      </c>
      <c r="G155" s="4" t="s">
        <v>19</v>
      </c>
      <c r="H155" s="4" t="s">
        <v>34</v>
      </c>
      <c r="I155" s="4" t="str">
        <f t="shared" si="2"/>
        <v>Joseph Faulkner</v>
      </c>
      <c r="J155" s="4" t="str">
        <f t="shared" ref="J155:K155" si="158">TRIM(PROPER(E155))</f>
        <v>New Leahfurt</v>
      </c>
      <c r="K155" s="4" t="str">
        <f t="shared" si="158"/>
        <v>North Dakota</v>
      </c>
      <c r="L155" s="4" t="str">
        <f t="shared" si="4"/>
        <v>Male</v>
      </c>
      <c r="M155" s="4" t="str">
        <f t="shared" si="5"/>
        <v>Bronze</v>
      </c>
      <c r="N155" s="4" t="str">
        <f t="shared" si="6"/>
        <v>OK</v>
      </c>
    </row>
    <row r="156" ht="14.25" customHeight="1">
      <c r="A156" s="4" t="s">
        <v>529</v>
      </c>
      <c r="B156" s="4" t="s">
        <v>530</v>
      </c>
      <c r="C156" s="4">
        <v>35.0</v>
      </c>
      <c r="D156" s="4" t="s">
        <v>22</v>
      </c>
      <c r="E156" s="4" t="s">
        <v>531</v>
      </c>
      <c r="F156" s="4" t="s">
        <v>181</v>
      </c>
      <c r="G156" s="4" t="s">
        <v>19</v>
      </c>
      <c r="H156" s="4" t="s">
        <v>56</v>
      </c>
      <c r="I156" s="4" t="str">
        <f t="shared" si="2"/>
        <v>Julie Hale</v>
      </c>
      <c r="J156" s="4" t="str">
        <f t="shared" ref="J156:K156" si="159">TRIM(PROPER(E156))</f>
        <v>Owensview</v>
      </c>
      <c r="K156" s="4" t="str">
        <f t="shared" si="159"/>
        <v>Vermont</v>
      </c>
      <c r="L156" s="4" t="str">
        <f t="shared" si="4"/>
        <v>Female</v>
      </c>
      <c r="M156" s="4" t="str">
        <f t="shared" si="5"/>
        <v>Gold</v>
      </c>
      <c r="N156" s="4" t="str">
        <f t="shared" si="6"/>
        <v>OK</v>
      </c>
    </row>
    <row r="157" ht="14.25" customHeight="1">
      <c r="A157" s="4" t="s">
        <v>532</v>
      </c>
      <c r="B157" s="4" t="s">
        <v>533</v>
      </c>
      <c r="C157" s="4">
        <v>60.0</v>
      </c>
      <c r="D157" s="4" t="s">
        <v>22</v>
      </c>
      <c r="E157" s="4" t="s">
        <v>534</v>
      </c>
      <c r="F157" s="4" t="s">
        <v>277</v>
      </c>
      <c r="G157" s="4" t="s">
        <v>19</v>
      </c>
      <c r="H157" s="4" t="s">
        <v>56</v>
      </c>
      <c r="I157" s="4" t="str">
        <f t="shared" si="2"/>
        <v>Curtis Haynes</v>
      </c>
      <c r="J157" s="4" t="str">
        <f t="shared" ref="J157:K157" si="160">TRIM(PROPER(E157))</f>
        <v>Estradaside</v>
      </c>
      <c r="K157" s="4" t="str">
        <f t="shared" si="160"/>
        <v>Iowa</v>
      </c>
      <c r="L157" s="4" t="str">
        <f t="shared" si="4"/>
        <v>Female</v>
      </c>
      <c r="M157" s="4" t="str">
        <f t="shared" si="5"/>
        <v>Gold</v>
      </c>
      <c r="N157" s="4" t="str">
        <f t="shared" si="6"/>
        <v>OK</v>
      </c>
    </row>
    <row r="158" ht="14.25" customHeight="1">
      <c r="A158" s="4" t="s">
        <v>535</v>
      </c>
      <c r="B158" s="4" t="s">
        <v>536</v>
      </c>
      <c r="C158" s="4">
        <v>46.0</v>
      </c>
      <c r="D158" s="4" t="s">
        <v>16</v>
      </c>
      <c r="E158" s="4" t="s">
        <v>537</v>
      </c>
      <c r="F158" s="4" t="s">
        <v>24</v>
      </c>
      <c r="G158" s="4" t="s">
        <v>19</v>
      </c>
      <c r="H158" s="4" t="s">
        <v>34</v>
      </c>
      <c r="I158" s="4" t="str">
        <f t="shared" si="2"/>
        <v>Maria Sanchez</v>
      </c>
      <c r="J158" s="4" t="str">
        <f t="shared" ref="J158:K158" si="161">TRIM(PROPER(E158))</f>
        <v>East Peterbury</v>
      </c>
      <c r="K158" s="4" t="str">
        <f t="shared" si="161"/>
        <v>North Dakota</v>
      </c>
      <c r="L158" s="4" t="str">
        <f t="shared" si="4"/>
        <v>Male</v>
      </c>
      <c r="M158" s="4" t="str">
        <f t="shared" si="5"/>
        <v>Bronze</v>
      </c>
      <c r="N158" s="4" t="str">
        <f t="shared" si="6"/>
        <v>OK</v>
      </c>
    </row>
    <row r="159" ht="14.25" customHeight="1">
      <c r="A159" s="4" t="s">
        <v>538</v>
      </c>
      <c r="B159" s="4" t="s">
        <v>539</v>
      </c>
      <c r="C159" s="4">
        <v>59.0</v>
      </c>
      <c r="D159" s="4" t="s">
        <v>16</v>
      </c>
      <c r="E159" s="4" t="s">
        <v>540</v>
      </c>
      <c r="F159" s="4" t="s">
        <v>24</v>
      </c>
      <c r="G159" s="4" t="s">
        <v>19</v>
      </c>
      <c r="H159" s="4" t="s">
        <v>25</v>
      </c>
      <c r="I159" s="4" t="str">
        <f t="shared" si="2"/>
        <v>Paul Zamora</v>
      </c>
      <c r="J159" s="4" t="str">
        <f t="shared" ref="J159:K159" si="162">TRIM(PROPER(E159))</f>
        <v>North Larryfurt</v>
      </c>
      <c r="K159" s="4" t="str">
        <f t="shared" si="162"/>
        <v>North Dakota</v>
      </c>
      <c r="L159" s="4" t="str">
        <f t="shared" si="4"/>
        <v>Male</v>
      </c>
      <c r="M159" s="4" t="str">
        <f t="shared" si="5"/>
        <v>Platinum</v>
      </c>
      <c r="N159" s="4" t="str">
        <f t="shared" si="6"/>
        <v>OK</v>
      </c>
    </row>
    <row r="160" ht="14.25" customHeight="1">
      <c r="A160" s="4" t="s">
        <v>541</v>
      </c>
      <c r="B160" s="4" t="s">
        <v>542</v>
      </c>
      <c r="C160" s="4">
        <v>43.0</v>
      </c>
      <c r="D160" s="4" t="s">
        <v>16</v>
      </c>
      <c r="E160" s="4" t="s">
        <v>543</v>
      </c>
      <c r="F160" s="4" t="s">
        <v>181</v>
      </c>
      <c r="G160" s="4" t="s">
        <v>19</v>
      </c>
      <c r="H160" s="4" t="s">
        <v>34</v>
      </c>
      <c r="I160" s="4" t="str">
        <f t="shared" si="2"/>
        <v>Sean Powell</v>
      </c>
      <c r="J160" s="4" t="str">
        <f t="shared" ref="J160:K160" si="163">TRIM(PROPER(E160))</f>
        <v>South Kevin</v>
      </c>
      <c r="K160" s="4" t="str">
        <f t="shared" si="163"/>
        <v>Vermont</v>
      </c>
      <c r="L160" s="4" t="str">
        <f t="shared" si="4"/>
        <v>Male</v>
      </c>
      <c r="M160" s="4" t="str">
        <f t="shared" si="5"/>
        <v>Bronze</v>
      </c>
      <c r="N160" s="4" t="str">
        <f t="shared" si="6"/>
        <v>OK</v>
      </c>
    </row>
    <row r="161" ht="14.25" customHeight="1">
      <c r="A161" s="4" t="s">
        <v>544</v>
      </c>
      <c r="B161" s="4" t="s">
        <v>545</v>
      </c>
      <c r="C161" s="4">
        <v>46.0</v>
      </c>
      <c r="D161" s="4" t="s">
        <v>22</v>
      </c>
      <c r="E161" s="4" t="s">
        <v>546</v>
      </c>
      <c r="F161" s="4" t="s">
        <v>97</v>
      </c>
      <c r="G161" s="4" t="s">
        <v>19</v>
      </c>
      <c r="H161" s="4" t="s">
        <v>56</v>
      </c>
      <c r="I161" s="4" t="str">
        <f t="shared" si="2"/>
        <v>Brian Choi</v>
      </c>
      <c r="J161" s="4" t="str">
        <f t="shared" ref="J161:K161" si="164">TRIM(PROPER(E161))</f>
        <v>Floydton</v>
      </c>
      <c r="K161" s="4" t="str">
        <f t="shared" si="164"/>
        <v>New Jersey</v>
      </c>
      <c r="L161" s="4" t="str">
        <f t="shared" si="4"/>
        <v>Female</v>
      </c>
      <c r="M161" s="4" t="str">
        <f t="shared" si="5"/>
        <v>Gold</v>
      </c>
      <c r="N161" s="4" t="str">
        <f t="shared" si="6"/>
        <v>OK</v>
      </c>
    </row>
    <row r="162" ht="14.25" customHeight="1">
      <c r="A162" s="4" t="s">
        <v>547</v>
      </c>
      <c r="B162" s="4" t="s">
        <v>548</v>
      </c>
      <c r="C162" s="4">
        <v>41.0</v>
      </c>
      <c r="D162" s="4" t="s">
        <v>22</v>
      </c>
      <c r="E162" s="4" t="s">
        <v>549</v>
      </c>
      <c r="F162" s="4" t="s">
        <v>18</v>
      </c>
      <c r="G162" s="4" t="s">
        <v>19</v>
      </c>
      <c r="H162" s="4" t="s">
        <v>25</v>
      </c>
      <c r="I162" s="4" t="str">
        <f t="shared" si="2"/>
        <v>John Lawson</v>
      </c>
      <c r="J162" s="4" t="str">
        <f t="shared" ref="J162:K162" si="165">TRIM(PROPER(E162))</f>
        <v>New Juliemouth</v>
      </c>
      <c r="K162" s="4" t="str">
        <f t="shared" si="165"/>
        <v>North Carolina</v>
      </c>
      <c r="L162" s="4" t="str">
        <f t="shared" si="4"/>
        <v>Female</v>
      </c>
      <c r="M162" s="4" t="str">
        <f t="shared" si="5"/>
        <v>Platinum</v>
      </c>
      <c r="N162" s="4" t="str">
        <f t="shared" si="6"/>
        <v>OK</v>
      </c>
    </row>
    <row r="163" ht="14.25" customHeight="1">
      <c r="A163" s="4" t="s">
        <v>550</v>
      </c>
      <c r="B163" s="4" t="s">
        <v>551</v>
      </c>
      <c r="C163" s="4">
        <v>18.0</v>
      </c>
      <c r="D163" s="4" t="s">
        <v>22</v>
      </c>
      <c r="E163" s="4" t="s">
        <v>552</v>
      </c>
      <c r="F163" s="4" t="s">
        <v>143</v>
      </c>
      <c r="G163" s="4" t="s">
        <v>19</v>
      </c>
      <c r="H163" s="4" t="s">
        <v>39</v>
      </c>
      <c r="I163" s="4" t="str">
        <f t="shared" si="2"/>
        <v>Cynthia Morris</v>
      </c>
      <c r="J163" s="4" t="str">
        <f t="shared" ref="J163:K163" si="166">TRIM(PROPER(E163))</f>
        <v>Hessmouth</v>
      </c>
      <c r="K163" s="4" t="str">
        <f t="shared" si="166"/>
        <v>Arizona</v>
      </c>
      <c r="L163" s="4" t="str">
        <f t="shared" si="4"/>
        <v>Female</v>
      </c>
      <c r="M163" s="4" t="str">
        <f t="shared" si="5"/>
        <v>Silver</v>
      </c>
      <c r="N163" s="4" t="str">
        <f t="shared" si="6"/>
        <v>OK</v>
      </c>
    </row>
    <row r="164" ht="14.25" customHeight="1">
      <c r="A164" s="4" t="s">
        <v>553</v>
      </c>
      <c r="B164" s="4" t="s">
        <v>554</v>
      </c>
      <c r="C164" s="4">
        <v>37.0</v>
      </c>
      <c r="D164" s="4" t="s">
        <v>16</v>
      </c>
      <c r="E164" s="4" t="s">
        <v>555</v>
      </c>
      <c r="F164" s="4" t="s">
        <v>247</v>
      </c>
      <c r="G164" s="4" t="s">
        <v>19</v>
      </c>
      <c r="H164" s="4" t="s">
        <v>39</v>
      </c>
      <c r="I164" s="4" t="str">
        <f t="shared" si="2"/>
        <v>Mariah Brown</v>
      </c>
      <c r="J164" s="4" t="str">
        <f t="shared" ref="J164:K164" si="167">TRIM(PROPER(E164))</f>
        <v>Palmerbury</v>
      </c>
      <c r="K164" s="4" t="str">
        <f t="shared" si="167"/>
        <v>Tennessee</v>
      </c>
      <c r="L164" s="4" t="str">
        <f t="shared" si="4"/>
        <v>Male</v>
      </c>
      <c r="M164" s="4" t="str">
        <f t="shared" si="5"/>
        <v>Silver</v>
      </c>
      <c r="N164" s="4" t="str">
        <f t="shared" si="6"/>
        <v>OK</v>
      </c>
    </row>
    <row r="165" ht="14.25" customHeight="1">
      <c r="A165" s="4" t="s">
        <v>556</v>
      </c>
      <c r="B165" s="4" t="s">
        <v>557</v>
      </c>
      <c r="C165" s="4">
        <v>21.0</v>
      </c>
      <c r="D165" s="4" t="s">
        <v>16</v>
      </c>
      <c r="E165" s="4" t="s">
        <v>558</v>
      </c>
      <c r="F165" s="4" t="s">
        <v>204</v>
      </c>
      <c r="G165" s="4" t="s">
        <v>19</v>
      </c>
      <c r="H165" s="4" t="s">
        <v>34</v>
      </c>
      <c r="I165" s="4" t="str">
        <f t="shared" si="2"/>
        <v>Joseph Jones</v>
      </c>
      <c r="J165" s="4" t="str">
        <f t="shared" ref="J165:K165" si="168">TRIM(PROPER(E165))</f>
        <v>North Matthew</v>
      </c>
      <c r="K165" s="4" t="str">
        <f t="shared" si="168"/>
        <v>Illinois</v>
      </c>
      <c r="L165" s="4" t="str">
        <f t="shared" si="4"/>
        <v>Male</v>
      </c>
      <c r="M165" s="4" t="str">
        <f t="shared" si="5"/>
        <v>Bronze</v>
      </c>
      <c r="N165" s="4" t="str">
        <f t="shared" si="6"/>
        <v>OK</v>
      </c>
    </row>
    <row r="166" ht="14.25" customHeight="1">
      <c r="A166" s="4" t="s">
        <v>559</v>
      </c>
      <c r="B166" s="4" t="s">
        <v>560</v>
      </c>
      <c r="C166" s="4">
        <v>39.0</v>
      </c>
      <c r="D166" s="4" t="s">
        <v>22</v>
      </c>
      <c r="E166" s="4" t="s">
        <v>561</v>
      </c>
      <c r="F166" s="4" t="s">
        <v>90</v>
      </c>
      <c r="G166" s="4" t="s">
        <v>19</v>
      </c>
      <c r="H166" s="4" t="s">
        <v>39</v>
      </c>
      <c r="I166" s="4" t="str">
        <f t="shared" si="2"/>
        <v>Daniel Rivas</v>
      </c>
      <c r="J166" s="4" t="str">
        <f t="shared" ref="J166:K166" si="169">TRIM(PROPER(E166))</f>
        <v>Dominiquefort</v>
      </c>
      <c r="K166" s="4" t="str">
        <f t="shared" si="169"/>
        <v>Georgia</v>
      </c>
      <c r="L166" s="4" t="str">
        <f t="shared" si="4"/>
        <v>Female</v>
      </c>
      <c r="M166" s="4" t="str">
        <f t="shared" si="5"/>
        <v>Silver</v>
      </c>
      <c r="N166" s="4" t="str">
        <f t="shared" si="6"/>
        <v>OK</v>
      </c>
    </row>
    <row r="167" ht="14.25" customHeight="1">
      <c r="A167" s="4" t="s">
        <v>562</v>
      </c>
      <c r="B167" s="4" t="s">
        <v>563</v>
      </c>
      <c r="C167" s="4">
        <v>47.0</v>
      </c>
      <c r="D167" s="4" t="s">
        <v>22</v>
      </c>
      <c r="E167" s="4" t="s">
        <v>564</v>
      </c>
      <c r="F167" s="4" t="s">
        <v>204</v>
      </c>
      <c r="G167" s="4" t="s">
        <v>19</v>
      </c>
      <c r="H167" s="4" t="s">
        <v>25</v>
      </c>
      <c r="I167" s="4" t="str">
        <f t="shared" si="2"/>
        <v>Jason Wheeler</v>
      </c>
      <c r="J167" s="4" t="str">
        <f t="shared" ref="J167:K167" si="170">TRIM(PROPER(E167))</f>
        <v>Carolview</v>
      </c>
      <c r="K167" s="4" t="str">
        <f t="shared" si="170"/>
        <v>Illinois</v>
      </c>
      <c r="L167" s="4" t="str">
        <f t="shared" si="4"/>
        <v>Female</v>
      </c>
      <c r="M167" s="4" t="str">
        <f t="shared" si="5"/>
        <v>Platinum</v>
      </c>
      <c r="N167" s="4" t="str">
        <f t="shared" si="6"/>
        <v>OK</v>
      </c>
    </row>
    <row r="168" ht="14.25" customHeight="1">
      <c r="A168" s="4" t="s">
        <v>565</v>
      </c>
      <c r="B168" s="4" t="s">
        <v>566</v>
      </c>
      <c r="C168" s="4">
        <v>25.0</v>
      </c>
      <c r="D168" s="4" t="s">
        <v>22</v>
      </c>
      <c r="E168" s="4" t="s">
        <v>567</v>
      </c>
      <c r="F168" s="4" t="s">
        <v>166</v>
      </c>
      <c r="G168" s="4" t="s">
        <v>19</v>
      </c>
      <c r="H168" s="4" t="s">
        <v>39</v>
      </c>
      <c r="I168" s="4" t="str">
        <f t="shared" si="2"/>
        <v>Patricia Gardner</v>
      </c>
      <c r="J168" s="4" t="str">
        <f t="shared" ref="J168:K168" si="171">TRIM(PROPER(E168))</f>
        <v>South Ashleyton</v>
      </c>
      <c r="K168" s="4" t="str">
        <f t="shared" si="171"/>
        <v>Michigan</v>
      </c>
      <c r="L168" s="4" t="str">
        <f t="shared" si="4"/>
        <v>Female</v>
      </c>
      <c r="M168" s="4" t="str">
        <f t="shared" si="5"/>
        <v>Silver</v>
      </c>
      <c r="N168" s="4" t="str">
        <f t="shared" si="6"/>
        <v>OK</v>
      </c>
    </row>
    <row r="169" ht="14.25" customHeight="1">
      <c r="A169" s="4" t="s">
        <v>568</v>
      </c>
      <c r="B169" s="4" t="s">
        <v>569</v>
      </c>
      <c r="C169" s="4">
        <v>36.0</v>
      </c>
      <c r="D169" s="4" t="s">
        <v>22</v>
      </c>
      <c r="E169" s="4" t="s">
        <v>570</v>
      </c>
      <c r="F169" s="4" t="s">
        <v>247</v>
      </c>
      <c r="G169" s="4" t="s">
        <v>19</v>
      </c>
      <c r="H169" s="4" t="s">
        <v>56</v>
      </c>
      <c r="I169" s="4" t="str">
        <f t="shared" si="2"/>
        <v>Antonio Wade</v>
      </c>
      <c r="J169" s="4" t="str">
        <f t="shared" ref="J169:K169" si="172">TRIM(PROPER(E169))</f>
        <v>New Jasonmouth</v>
      </c>
      <c r="K169" s="4" t="str">
        <f t="shared" si="172"/>
        <v>Tennessee</v>
      </c>
      <c r="L169" s="4" t="str">
        <f t="shared" si="4"/>
        <v>Female</v>
      </c>
      <c r="M169" s="4" t="str">
        <f t="shared" si="5"/>
        <v>Gold</v>
      </c>
      <c r="N169" s="4" t="str">
        <f t="shared" si="6"/>
        <v>OK</v>
      </c>
    </row>
    <row r="170" ht="14.25" customHeight="1">
      <c r="A170" s="4" t="s">
        <v>571</v>
      </c>
      <c r="B170" s="4" t="s">
        <v>572</v>
      </c>
      <c r="C170" s="4">
        <v>36.0</v>
      </c>
      <c r="D170" s="4" t="s">
        <v>22</v>
      </c>
      <c r="E170" s="4" t="s">
        <v>573</v>
      </c>
      <c r="F170" s="4" t="s">
        <v>260</v>
      </c>
      <c r="G170" s="4" t="s">
        <v>19</v>
      </c>
      <c r="H170" s="4" t="s">
        <v>25</v>
      </c>
      <c r="I170" s="4" t="str">
        <f t="shared" si="2"/>
        <v>Daniel Contreras</v>
      </c>
      <c r="J170" s="4" t="str">
        <f t="shared" ref="J170:K170" si="173">TRIM(PROPER(E170))</f>
        <v>Robertview</v>
      </c>
      <c r="K170" s="4" t="str">
        <f t="shared" si="173"/>
        <v>Florida</v>
      </c>
      <c r="L170" s="4" t="str">
        <f t="shared" si="4"/>
        <v>Female</v>
      </c>
      <c r="M170" s="4" t="str">
        <f t="shared" si="5"/>
        <v>Platinum</v>
      </c>
      <c r="N170" s="4" t="str">
        <f t="shared" si="6"/>
        <v>OK</v>
      </c>
    </row>
    <row r="171" ht="14.25" customHeight="1">
      <c r="A171" s="4" t="s">
        <v>574</v>
      </c>
      <c r="B171" s="4" t="s">
        <v>575</v>
      </c>
      <c r="C171" s="4">
        <v>64.0</v>
      </c>
      <c r="D171" s="4" t="s">
        <v>16</v>
      </c>
      <c r="E171" s="4" t="s">
        <v>576</v>
      </c>
      <c r="F171" s="4" t="s">
        <v>55</v>
      </c>
      <c r="G171" s="4" t="s">
        <v>19</v>
      </c>
      <c r="H171" s="4" t="s">
        <v>34</v>
      </c>
      <c r="I171" s="4" t="str">
        <f t="shared" si="2"/>
        <v>Steve Mclaughlin</v>
      </c>
      <c r="J171" s="4" t="str">
        <f t="shared" ref="J171:K171" si="174">TRIM(PROPER(E171))</f>
        <v>Josephmouth</v>
      </c>
      <c r="K171" s="4" t="str">
        <f t="shared" si="174"/>
        <v>New Hampshire</v>
      </c>
      <c r="L171" s="4" t="str">
        <f t="shared" si="4"/>
        <v>Male</v>
      </c>
      <c r="M171" s="4" t="str">
        <f t="shared" si="5"/>
        <v>Bronze</v>
      </c>
      <c r="N171" s="4" t="str">
        <f t="shared" si="6"/>
        <v>OK</v>
      </c>
    </row>
    <row r="172" ht="14.25" customHeight="1">
      <c r="A172" s="4" t="s">
        <v>577</v>
      </c>
      <c r="B172" s="4" t="s">
        <v>578</v>
      </c>
      <c r="C172" s="4">
        <v>18.0</v>
      </c>
      <c r="D172" s="4" t="s">
        <v>16</v>
      </c>
      <c r="E172" s="4" t="s">
        <v>579</v>
      </c>
      <c r="F172" s="4" t="s">
        <v>123</v>
      </c>
      <c r="G172" s="4" t="s">
        <v>19</v>
      </c>
      <c r="H172" s="4" t="s">
        <v>56</v>
      </c>
      <c r="I172" s="4" t="str">
        <f t="shared" si="2"/>
        <v>Christopher Garcia Dds</v>
      </c>
      <c r="J172" s="4" t="str">
        <f t="shared" ref="J172:K172" si="175">TRIM(PROPER(E172))</f>
        <v>New Joseph</v>
      </c>
      <c r="K172" s="4" t="str">
        <f t="shared" si="175"/>
        <v>Missouri</v>
      </c>
      <c r="L172" s="4" t="str">
        <f t="shared" si="4"/>
        <v>Male</v>
      </c>
      <c r="M172" s="4" t="str">
        <f t="shared" si="5"/>
        <v>Gold</v>
      </c>
      <c r="N172" s="4" t="str">
        <f t="shared" si="6"/>
        <v>OK</v>
      </c>
    </row>
    <row r="173" ht="14.25" customHeight="1">
      <c r="A173" s="4" t="s">
        <v>580</v>
      </c>
      <c r="B173" s="4" t="s">
        <v>581</v>
      </c>
      <c r="C173" s="4">
        <v>44.0</v>
      </c>
      <c r="D173" s="4" t="s">
        <v>22</v>
      </c>
      <c r="E173" s="4" t="s">
        <v>582</v>
      </c>
      <c r="F173" s="4" t="s">
        <v>264</v>
      </c>
      <c r="G173" s="4" t="s">
        <v>19</v>
      </c>
      <c r="H173" s="4" t="s">
        <v>25</v>
      </c>
      <c r="I173" s="4" t="str">
        <f t="shared" si="2"/>
        <v>Amy Wilson</v>
      </c>
      <c r="J173" s="4" t="str">
        <f t="shared" ref="J173:K173" si="176">TRIM(PROPER(E173))</f>
        <v>Morrisburgh</v>
      </c>
      <c r="K173" s="4" t="str">
        <f t="shared" si="176"/>
        <v>Indiana</v>
      </c>
      <c r="L173" s="4" t="str">
        <f t="shared" si="4"/>
        <v>Female</v>
      </c>
      <c r="M173" s="4" t="str">
        <f t="shared" si="5"/>
        <v>Platinum</v>
      </c>
      <c r="N173" s="4" t="str">
        <f t="shared" si="6"/>
        <v>OK</v>
      </c>
    </row>
    <row r="174" ht="14.25" customHeight="1">
      <c r="A174" s="4" t="s">
        <v>583</v>
      </c>
      <c r="B174" s="4" t="s">
        <v>584</v>
      </c>
      <c r="C174" s="4">
        <v>41.0</v>
      </c>
      <c r="D174" s="4" t="s">
        <v>22</v>
      </c>
      <c r="E174" s="4" t="s">
        <v>585</v>
      </c>
      <c r="F174" s="4" t="s">
        <v>51</v>
      </c>
      <c r="G174" s="4" t="s">
        <v>19</v>
      </c>
      <c r="H174" s="4" t="s">
        <v>34</v>
      </c>
      <c r="I174" s="4" t="str">
        <f t="shared" si="2"/>
        <v>Thomas Rhodes</v>
      </c>
      <c r="J174" s="4" t="str">
        <f t="shared" ref="J174:K174" si="177">TRIM(PROPER(E174))</f>
        <v>Port Richard</v>
      </c>
      <c r="K174" s="4" t="str">
        <f t="shared" si="177"/>
        <v>West Virginia</v>
      </c>
      <c r="L174" s="4" t="str">
        <f t="shared" si="4"/>
        <v>Female</v>
      </c>
      <c r="M174" s="4" t="str">
        <f t="shared" si="5"/>
        <v>Bronze</v>
      </c>
      <c r="N174" s="4" t="str">
        <f t="shared" si="6"/>
        <v>OK</v>
      </c>
    </row>
    <row r="175" ht="14.25" customHeight="1">
      <c r="A175" s="4" t="s">
        <v>586</v>
      </c>
      <c r="B175" s="4" t="s">
        <v>587</v>
      </c>
      <c r="C175" s="4">
        <v>41.0</v>
      </c>
      <c r="D175" s="4" t="s">
        <v>22</v>
      </c>
      <c r="E175" s="4" t="s">
        <v>408</v>
      </c>
      <c r="F175" s="4" t="s">
        <v>277</v>
      </c>
      <c r="G175" s="4" t="s">
        <v>19</v>
      </c>
      <c r="H175" s="4" t="s">
        <v>25</v>
      </c>
      <c r="I175" s="4" t="str">
        <f t="shared" si="2"/>
        <v>Teresa Stokes</v>
      </c>
      <c r="J175" s="4" t="str">
        <f t="shared" ref="J175:K175" si="178">TRIM(PROPER(E175))</f>
        <v>New William</v>
      </c>
      <c r="K175" s="4" t="str">
        <f t="shared" si="178"/>
        <v>Iowa</v>
      </c>
      <c r="L175" s="4" t="str">
        <f t="shared" si="4"/>
        <v>Female</v>
      </c>
      <c r="M175" s="4" t="str">
        <f t="shared" si="5"/>
        <v>Platinum</v>
      </c>
      <c r="N175" s="4" t="str">
        <f t="shared" si="6"/>
        <v>OK</v>
      </c>
    </row>
    <row r="176" ht="14.25" customHeight="1">
      <c r="A176" s="4" t="s">
        <v>588</v>
      </c>
      <c r="B176" s="4" t="s">
        <v>589</v>
      </c>
      <c r="C176" s="4">
        <v>26.0</v>
      </c>
      <c r="D176" s="4" t="s">
        <v>22</v>
      </c>
      <c r="E176" s="4" t="s">
        <v>590</v>
      </c>
      <c r="F176" s="4" t="s">
        <v>181</v>
      </c>
      <c r="G176" s="4" t="s">
        <v>19</v>
      </c>
      <c r="H176" s="4" t="s">
        <v>56</v>
      </c>
      <c r="I176" s="4" t="str">
        <f t="shared" si="2"/>
        <v>Maria Davis</v>
      </c>
      <c r="J176" s="4" t="str">
        <f t="shared" ref="J176:K176" si="179">TRIM(PROPER(E176))</f>
        <v>Avilahaven</v>
      </c>
      <c r="K176" s="4" t="str">
        <f t="shared" si="179"/>
        <v>Vermont</v>
      </c>
      <c r="L176" s="4" t="str">
        <f t="shared" si="4"/>
        <v>Female</v>
      </c>
      <c r="M176" s="4" t="str">
        <f t="shared" si="5"/>
        <v>Gold</v>
      </c>
      <c r="N176" s="4" t="str">
        <f t="shared" si="6"/>
        <v>OK</v>
      </c>
    </row>
    <row r="177" ht="14.25" customHeight="1">
      <c r="A177" s="4" t="s">
        <v>591</v>
      </c>
      <c r="B177" s="4" t="s">
        <v>592</v>
      </c>
      <c r="C177" s="4">
        <v>56.0</v>
      </c>
      <c r="D177" s="4" t="s">
        <v>16</v>
      </c>
      <c r="E177" s="4" t="s">
        <v>593</v>
      </c>
      <c r="F177" s="4" t="s">
        <v>109</v>
      </c>
      <c r="G177" s="4" t="s">
        <v>19</v>
      </c>
      <c r="H177" s="4" t="s">
        <v>25</v>
      </c>
      <c r="I177" s="4" t="str">
        <f t="shared" si="2"/>
        <v>Michelle Rogers</v>
      </c>
      <c r="J177" s="4" t="str">
        <f t="shared" ref="J177:K177" si="180">TRIM(PROPER(E177))</f>
        <v>East Jessicaborough</v>
      </c>
      <c r="K177" s="4" t="str">
        <f t="shared" si="180"/>
        <v>Hawaii</v>
      </c>
      <c r="L177" s="4" t="str">
        <f t="shared" si="4"/>
        <v>Male</v>
      </c>
      <c r="M177" s="4" t="str">
        <f t="shared" si="5"/>
        <v>Platinum</v>
      </c>
      <c r="N177" s="4" t="str">
        <f t="shared" si="6"/>
        <v>OK</v>
      </c>
    </row>
    <row r="178" ht="14.25" customHeight="1">
      <c r="A178" s="4" t="s">
        <v>594</v>
      </c>
      <c r="B178" s="4" t="s">
        <v>595</v>
      </c>
      <c r="C178" s="4">
        <v>48.0</v>
      </c>
      <c r="D178" s="4" t="s">
        <v>16</v>
      </c>
      <c r="E178" s="4" t="s">
        <v>596</v>
      </c>
      <c r="F178" s="4" t="s">
        <v>181</v>
      </c>
      <c r="G178" s="4" t="s">
        <v>19</v>
      </c>
      <c r="H178" s="4" t="s">
        <v>39</v>
      </c>
      <c r="I178" s="4" t="str">
        <f t="shared" si="2"/>
        <v>John Bradford</v>
      </c>
      <c r="J178" s="4" t="str">
        <f t="shared" ref="J178:K178" si="181">TRIM(PROPER(E178))</f>
        <v>Anabury</v>
      </c>
      <c r="K178" s="4" t="str">
        <f t="shared" si="181"/>
        <v>Vermont</v>
      </c>
      <c r="L178" s="4" t="str">
        <f t="shared" si="4"/>
        <v>Male</v>
      </c>
      <c r="M178" s="4" t="str">
        <f t="shared" si="5"/>
        <v>Silver</v>
      </c>
      <c r="N178" s="4" t="str">
        <f t="shared" si="6"/>
        <v>OK</v>
      </c>
    </row>
    <row r="179" ht="14.25" customHeight="1">
      <c r="A179" s="4" t="s">
        <v>597</v>
      </c>
      <c r="B179" s="4" t="s">
        <v>598</v>
      </c>
      <c r="C179" s="4">
        <v>55.0</v>
      </c>
      <c r="D179" s="4" t="s">
        <v>16</v>
      </c>
      <c r="E179" s="4" t="s">
        <v>599</v>
      </c>
      <c r="F179" s="4" t="s">
        <v>600</v>
      </c>
      <c r="G179" s="4" t="s">
        <v>19</v>
      </c>
      <c r="H179" s="4" t="s">
        <v>25</v>
      </c>
      <c r="I179" s="4" t="str">
        <f t="shared" si="2"/>
        <v>Curtis Lam</v>
      </c>
      <c r="J179" s="4" t="str">
        <f t="shared" ref="J179:K179" si="182">TRIM(PROPER(E179))</f>
        <v>Butlerberg</v>
      </c>
      <c r="K179" s="4" t="str">
        <f t="shared" si="182"/>
        <v>Kentucky</v>
      </c>
      <c r="L179" s="4" t="str">
        <f t="shared" si="4"/>
        <v>Male</v>
      </c>
      <c r="M179" s="4" t="str">
        <f t="shared" si="5"/>
        <v>Platinum</v>
      </c>
      <c r="N179" s="4" t="str">
        <f t="shared" si="6"/>
        <v>OK</v>
      </c>
    </row>
    <row r="180" ht="14.25" customHeight="1">
      <c r="A180" s="4" t="s">
        <v>601</v>
      </c>
      <c r="B180" s="4" t="s">
        <v>602</v>
      </c>
      <c r="C180" s="4">
        <v>33.0</v>
      </c>
      <c r="D180" s="4" t="s">
        <v>22</v>
      </c>
      <c r="E180" s="4" t="s">
        <v>603</v>
      </c>
      <c r="F180" s="4" t="s">
        <v>327</v>
      </c>
      <c r="G180" s="4" t="s">
        <v>19</v>
      </c>
      <c r="H180" s="4" t="s">
        <v>34</v>
      </c>
      <c r="I180" s="4" t="str">
        <f t="shared" si="2"/>
        <v>Michelle Myers</v>
      </c>
      <c r="J180" s="4" t="str">
        <f t="shared" ref="J180:K180" si="183">TRIM(PROPER(E180))</f>
        <v>West Daniel</v>
      </c>
      <c r="K180" s="4" t="str">
        <f t="shared" si="183"/>
        <v>South Carolina</v>
      </c>
      <c r="L180" s="4" t="str">
        <f t="shared" si="4"/>
        <v>Female</v>
      </c>
      <c r="M180" s="4" t="str">
        <f t="shared" si="5"/>
        <v>Bronze</v>
      </c>
      <c r="N180" s="4" t="str">
        <f t="shared" si="6"/>
        <v>OK</v>
      </c>
    </row>
    <row r="181" ht="14.25" customHeight="1">
      <c r="A181" s="4" t="s">
        <v>604</v>
      </c>
      <c r="B181" s="4" t="s">
        <v>605</v>
      </c>
      <c r="C181" s="4">
        <v>43.0</v>
      </c>
      <c r="D181" s="4" t="s">
        <v>22</v>
      </c>
      <c r="E181" s="4" t="s">
        <v>606</v>
      </c>
      <c r="F181" s="4" t="s">
        <v>127</v>
      </c>
      <c r="G181" s="4" t="s">
        <v>19</v>
      </c>
      <c r="H181" s="4" t="s">
        <v>39</v>
      </c>
      <c r="I181" s="4" t="str">
        <f t="shared" si="2"/>
        <v>Nicholas Bradshaw</v>
      </c>
      <c r="J181" s="4" t="str">
        <f t="shared" ref="J181:K181" si="184">TRIM(PROPER(E181))</f>
        <v>Murphyfurt</v>
      </c>
      <c r="K181" s="4" t="str">
        <f t="shared" si="184"/>
        <v>Utah</v>
      </c>
      <c r="L181" s="4" t="str">
        <f t="shared" si="4"/>
        <v>Female</v>
      </c>
      <c r="M181" s="4" t="str">
        <f t="shared" si="5"/>
        <v>Silver</v>
      </c>
      <c r="N181" s="4" t="str">
        <f t="shared" si="6"/>
        <v>OK</v>
      </c>
    </row>
    <row r="182" ht="14.25" customHeight="1">
      <c r="A182" s="4" t="s">
        <v>607</v>
      </c>
      <c r="B182" s="4" t="s">
        <v>608</v>
      </c>
      <c r="C182" s="4">
        <v>38.0</v>
      </c>
      <c r="D182" s="4" t="s">
        <v>16</v>
      </c>
      <c r="E182" s="4" t="s">
        <v>609</v>
      </c>
      <c r="F182" s="4" t="s">
        <v>445</v>
      </c>
      <c r="G182" s="4" t="s">
        <v>19</v>
      </c>
      <c r="H182" s="4" t="s">
        <v>34</v>
      </c>
      <c r="I182" s="4" t="str">
        <f t="shared" si="2"/>
        <v>Wesley Thompson</v>
      </c>
      <c r="J182" s="4" t="str">
        <f t="shared" ref="J182:K182" si="185">TRIM(PROPER(E182))</f>
        <v>East Davidmouth</v>
      </c>
      <c r="K182" s="4" t="str">
        <f t="shared" si="185"/>
        <v>Maine</v>
      </c>
      <c r="L182" s="4" t="str">
        <f t="shared" si="4"/>
        <v>Male</v>
      </c>
      <c r="M182" s="4" t="str">
        <f t="shared" si="5"/>
        <v>Bronze</v>
      </c>
      <c r="N182" s="4" t="str">
        <f t="shared" si="6"/>
        <v>OK</v>
      </c>
    </row>
    <row r="183" ht="14.25" customHeight="1">
      <c r="A183" s="4" t="s">
        <v>610</v>
      </c>
      <c r="B183" s="4" t="s">
        <v>611</v>
      </c>
      <c r="C183" s="4">
        <v>60.0</v>
      </c>
      <c r="D183" s="4" t="s">
        <v>16</v>
      </c>
      <c r="E183" s="4" t="s">
        <v>612</v>
      </c>
      <c r="F183" s="4" t="s">
        <v>67</v>
      </c>
      <c r="G183" s="4" t="s">
        <v>19</v>
      </c>
      <c r="H183" s="4" t="s">
        <v>34</v>
      </c>
      <c r="I183" s="4" t="str">
        <f t="shared" si="2"/>
        <v>Erin Ward</v>
      </c>
      <c r="J183" s="4" t="str">
        <f t="shared" ref="J183:K183" si="186">TRIM(PROPER(E183))</f>
        <v>New Brianchester</v>
      </c>
      <c r="K183" s="4" t="str">
        <f t="shared" si="186"/>
        <v>New York</v>
      </c>
      <c r="L183" s="4" t="str">
        <f t="shared" si="4"/>
        <v>Male</v>
      </c>
      <c r="M183" s="4" t="str">
        <f t="shared" si="5"/>
        <v>Bronze</v>
      </c>
      <c r="N183" s="4" t="str">
        <f t="shared" si="6"/>
        <v>OK</v>
      </c>
    </row>
    <row r="184" ht="14.25" customHeight="1">
      <c r="A184" s="4" t="s">
        <v>613</v>
      </c>
      <c r="B184" s="4" t="s">
        <v>614</v>
      </c>
      <c r="C184" s="4">
        <v>23.0</v>
      </c>
      <c r="D184" s="4" t="s">
        <v>22</v>
      </c>
      <c r="E184" s="4" t="s">
        <v>615</v>
      </c>
      <c r="F184" s="4" t="s">
        <v>105</v>
      </c>
      <c r="G184" s="4" t="s">
        <v>19</v>
      </c>
      <c r="H184" s="4" t="s">
        <v>39</v>
      </c>
      <c r="I184" s="4" t="str">
        <f t="shared" si="2"/>
        <v>Melissa Hamilton</v>
      </c>
      <c r="J184" s="4" t="str">
        <f t="shared" ref="J184:K184" si="187">TRIM(PROPER(E184))</f>
        <v>Hutchinsonville</v>
      </c>
      <c r="K184" s="4" t="str">
        <f t="shared" si="187"/>
        <v>Oklahoma</v>
      </c>
      <c r="L184" s="4" t="str">
        <f t="shared" si="4"/>
        <v>Female</v>
      </c>
      <c r="M184" s="4" t="str">
        <f t="shared" si="5"/>
        <v>Silver</v>
      </c>
      <c r="N184" s="4" t="str">
        <f t="shared" si="6"/>
        <v>OK</v>
      </c>
    </row>
    <row r="185" ht="14.25" customHeight="1">
      <c r="A185" s="4" t="s">
        <v>616</v>
      </c>
      <c r="B185" s="4" t="s">
        <v>617</v>
      </c>
      <c r="C185" s="4">
        <v>18.0</v>
      </c>
      <c r="D185" s="4" t="s">
        <v>16</v>
      </c>
      <c r="E185" s="4" t="s">
        <v>618</v>
      </c>
      <c r="F185" s="4" t="s">
        <v>67</v>
      </c>
      <c r="G185" s="4" t="s">
        <v>19</v>
      </c>
      <c r="H185" s="4" t="s">
        <v>25</v>
      </c>
      <c r="I185" s="4" t="str">
        <f t="shared" si="2"/>
        <v>Mario Jacobs</v>
      </c>
      <c r="J185" s="4" t="str">
        <f t="shared" ref="J185:K185" si="188">TRIM(PROPER(E185))</f>
        <v>Port James</v>
      </c>
      <c r="K185" s="4" t="str">
        <f t="shared" si="188"/>
        <v>New York</v>
      </c>
      <c r="L185" s="4" t="str">
        <f t="shared" si="4"/>
        <v>Male</v>
      </c>
      <c r="M185" s="4" t="str">
        <f t="shared" si="5"/>
        <v>Platinum</v>
      </c>
      <c r="N185" s="4" t="str">
        <f t="shared" si="6"/>
        <v>OK</v>
      </c>
    </row>
    <row r="186" ht="14.25" customHeight="1">
      <c r="A186" s="4" t="s">
        <v>619</v>
      </c>
      <c r="B186" s="4" t="s">
        <v>620</v>
      </c>
      <c r="C186" s="4">
        <v>46.0</v>
      </c>
      <c r="D186" s="4" t="s">
        <v>22</v>
      </c>
      <c r="E186" s="4" t="s">
        <v>621</v>
      </c>
      <c r="F186" s="4" t="s">
        <v>24</v>
      </c>
      <c r="G186" s="4" t="s">
        <v>19</v>
      </c>
      <c r="H186" s="4" t="s">
        <v>39</v>
      </c>
      <c r="I186" s="4" t="str">
        <f t="shared" si="2"/>
        <v>Leonard Cochran</v>
      </c>
      <c r="J186" s="4" t="str">
        <f t="shared" ref="J186:K186" si="189">TRIM(PROPER(E186))</f>
        <v>Port Sherryview</v>
      </c>
      <c r="K186" s="4" t="str">
        <f t="shared" si="189"/>
        <v>North Dakota</v>
      </c>
      <c r="L186" s="4" t="str">
        <f t="shared" si="4"/>
        <v>Female</v>
      </c>
      <c r="M186" s="4" t="str">
        <f t="shared" si="5"/>
        <v>Silver</v>
      </c>
      <c r="N186" s="4" t="str">
        <f t="shared" si="6"/>
        <v>OK</v>
      </c>
    </row>
    <row r="187" ht="14.25" customHeight="1">
      <c r="A187" s="4" t="s">
        <v>622</v>
      </c>
      <c r="B187" s="4" t="s">
        <v>623</v>
      </c>
      <c r="C187" s="4">
        <v>54.0</v>
      </c>
      <c r="D187" s="4" t="s">
        <v>22</v>
      </c>
      <c r="E187" s="4" t="s">
        <v>624</v>
      </c>
      <c r="F187" s="4" t="s">
        <v>97</v>
      </c>
      <c r="G187" s="4" t="s">
        <v>19</v>
      </c>
      <c r="H187" s="4" t="s">
        <v>25</v>
      </c>
      <c r="I187" s="4" t="str">
        <f t="shared" si="2"/>
        <v>Brent Rivas</v>
      </c>
      <c r="J187" s="4" t="str">
        <f t="shared" ref="J187:K187" si="190">TRIM(PROPER(E187))</f>
        <v>North Kellyberg</v>
      </c>
      <c r="K187" s="4" t="str">
        <f t="shared" si="190"/>
        <v>New Jersey</v>
      </c>
      <c r="L187" s="4" t="str">
        <f t="shared" si="4"/>
        <v>Female</v>
      </c>
      <c r="M187" s="4" t="str">
        <f t="shared" si="5"/>
        <v>Platinum</v>
      </c>
      <c r="N187" s="4" t="str">
        <f t="shared" si="6"/>
        <v>OK</v>
      </c>
    </row>
    <row r="188" ht="14.25" customHeight="1">
      <c r="A188" s="4" t="s">
        <v>625</v>
      </c>
      <c r="B188" s="4" t="s">
        <v>626</v>
      </c>
      <c r="C188" s="4">
        <v>53.0</v>
      </c>
      <c r="D188" s="4" t="s">
        <v>16</v>
      </c>
      <c r="E188" s="4" t="s">
        <v>627</v>
      </c>
      <c r="F188" s="4" t="s">
        <v>123</v>
      </c>
      <c r="G188" s="4" t="s">
        <v>19</v>
      </c>
      <c r="H188" s="4" t="s">
        <v>39</v>
      </c>
      <c r="I188" s="4" t="str">
        <f t="shared" si="2"/>
        <v>Jennifer Pruitt</v>
      </c>
      <c r="J188" s="4" t="str">
        <f t="shared" ref="J188:K188" si="191">TRIM(PROPER(E188))</f>
        <v>East Justin</v>
      </c>
      <c r="K188" s="4" t="str">
        <f t="shared" si="191"/>
        <v>Missouri</v>
      </c>
      <c r="L188" s="4" t="str">
        <f t="shared" si="4"/>
        <v>Male</v>
      </c>
      <c r="M188" s="4" t="str">
        <f t="shared" si="5"/>
        <v>Silver</v>
      </c>
      <c r="N188" s="4" t="str">
        <f t="shared" si="6"/>
        <v>OK</v>
      </c>
    </row>
    <row r="189" ht="14.25" customHeight="1">
      <c r="A189" s="4" t="s">
        <v>628</v>
      </c>
      <c r="B189" s="4" t="s">
        <v>629</v>
      </c>
      <c r="C189" s="4">
        <v>60.0</v>
      </c>
      <c r="D189" s="4" t="s">
        <v>22</v>
      </c>
      <c r="E189" s="4" t="s">
        <v>630</v>
      </c>
      <c r="F189" s="4" t="s">
        <v>29</v>
      </c>
      <c r="G189" s="4" t="s">
        <v>19</v>
      </c>
      <c r="H189" s="4" t="s">
        <v>25</v>
      </c>
      <c r="I189" s="4" t="str">
        <f t="shared" si="2"/>
        <v>Dr. Suzanne Bullock</v>
      </c>
      <c r="J189" s="4" t="str">
        <f t="shared" ref="J189:K189" si="192">TRIM(PROPER(E189))</f>
        <v>Lake Blaketon</v>
      </c>
      <c r="K189" s="4" t="str">
        <f t="shared" si="192"/>
        <v>Alabama</v>
      </c>
      <c r="L189" s="4" t="str">
        <f t="shared" si="4"/>
        <v>Female</v>
      </c>
      <c r="M189" s="4" t="str">
        <f t="shared" si="5"/>
        <v>Platinum</v>
      </c>
      <c r="N189" s="4" t="str">
        <f t="shared" si="6"/>
        <v>OK</v>
      </c>
    </row>
    <row r="190" ht="14.25" customHeight="1">
      <c r="A190" s="4" t="s">
        <v>631</v>
      </c>
      <c r="B190" s="4" t="s">
        <v>632</v>
      </c>
      <c r="C190" s="4">
        <v>42.0</v>
      </c>
      <c r="D190" s="4" t="s">
        <v>16</v>
      </c>
      <c r="E190" s="4" t="s">
        <v>633</v>
      </c>
      <c r="F190" s="4" t="s">
        <v>243</v>
      </c>
      <c r="G190" s="4" t="s">
        <v>19</v>
      </c>
      <c r="H190" s="4" t="s">
        <v>39</v>
      </c>
      <c r="I190" s="4" t="str">
        <f t="shared" si="2"/>
        <v>Kimberly Brooks</v>
      </c>
      <c r="J190" s="4" t="str">
        <f t="shared" ref="J190:K190" si="193">TRIM(PROPER(E190))</f>
        <v>Kingfort</v>
      </c>
      <c r="K190" s="4" t="str">
        <f t="shared" si="193"/>
        <v>New Mexico</v>
      </c>
      <c r="L190" s="4" t="str">
        <f t="shared" si="4"/>
        <v>Male</v>
      </c>
      <c r="M190" s="4" t="str">
        <f t="shared" si="5"/>
        <v>Silver</v>
      </c>
      <c r="N190" s="4" t="str">
        <f t="shared" si="6"/>
        <v>OK</v>
      </c>
    </row>
    <row r="191" ht="14.25" customHeight="1">
      <c r="A191" s="4" t="s">
        <v>634</v>
      </c>
      <c r="B191" s="4" t="s">
        <v>635</v>
      </c>
      <c r="C191" s="4">
        <v>29.0</v>
      </c>
      <c r="D191" s="4" t="s">
        <v>16</v>
      </c>
      <c r="E191" s="4" t="s">
        <v>636</v>
      </c>
      <c r="F191" s="4" t="s">
        <v>600</v>
      </c>
      <c r="G191" s="4" t="s">
        <v>19</v>
      </c>
      <c r="H191" s="4" t="s">
        <v>56</v>
      </c>
      <c r="I191" s="4" t="str">
        <f t="shared" si="2"/>
        <v>Daniel Austin</v>
      </c>
      <c r="J191" s="4" t="str">
        <f t="shared" ref="J191:K191" si="194">TRIM(PROPER(E191))</f>
        <v>Lake Howardberg</v>
      </c>
      <c r="K191" s="4" t="str">
        <f t="shared" si="194"/>
        <v>Kentucky</v>
      </c>
      <c r="L191" s="4" t="str">
        <f t="shared" si="4"/>
        <v>Male</v>
      </c>
      <c r="M191" s="4" t="str">
        <f t="shared" si="5"/>
        <v>Gold</v>
      </c>
      <c r="N191" s="4" t="str">
        <f t="shared" si="6"/>
        <v>OK</v>
      </c>
    </row>
    <row r="192" ht="14.25" customHeight="1">
      <c r="A192" s="4" t="s">
        <v>637</v>
      </c>
      <c r="B192" s="4" t="s">
        <v>638</v>
      </c>
      <c r="C192" s="4">
        <v>21.0</v>
      </c>
      <c r="D192" s="4" t="s">
        <v>16</v>
      </c>
      <c r="E192" s="4" t="s">
        <v>639</v>
      </c>
      <c r="F192" s="4" t="s">
        <v>67</v>
      </c>
      <c r="G192" s="4" t="s">
        <v>19</v>
      </c>
      <c r="H192" s="4" t="s">
        <v>34</v>
      </c>
      <c r="I192" s="4" t="str">
        <f t="shared" si="2"/>
        <v>Christopher Stewart</v>
      </c>
      <c r="J192" s="4" t="str">
        <f t="shared" ref="J192:K192" si="195">TRIM(PROPER(E192))</f>
        <v>Amandaside</v>
      </c>
      <c r="K192" s="4" t="str">
        <f t="shared" si="195"/>
        <v>New York</v>
      </c>
      <c r="L192" s="4" t="str">
        <f t="shared" si="4"/>
        <v>Male</v>
      </c>
      <c r="M192" s="4" t="str">
        <f t="shared" si="5"/>
        <v>Bronze</v>
      </c>
      <c r="N192" s="4" t="str">
        <f t="shared" si="6"/>
        <v>OK</v>
      </c>
    </row>
    <row r="193" ht="14.25" customHeight="1">
      <c r="A193" s="4" t="s">
        <v>640</v>
      </c>
      <c r="B193" s="4" t="s">
        <v>641</v>
      </c>
      <c r="C193" s="4">
        <v>29.0</v>
      </c>
      <c r="D193" s="4" t="s">
        <v>22</v>
      </c>
      <c r="E193" s="4" t="s">
        <v>642</v>
      </c>
      <c r="F193" s="4" t="s">
        <v>33</v>
      </c>
      <c r="G193" s="4" t="s">
        <v>19</v>
      </c>
      <c r="H193" s="4" t="s">
        <v>34</v>
      </c>
      <c r="I193" s="4" t="str">
        <f t="shared" si="2"/>
        <v>Todd Poole</v>
      </c>
      <c r="J193" s="4" t="str">
        <f t="shared" ref="J193:K193" si="196">TRIM(PROPER(E193))</f>
        <v>Johnsonshire</v>
      </c>
      <c r="K193" s="4" t="str">
        <f t="shared" si="196"/>
        <v>Ohio</v>
      </c>
      <c r="L193" s="4" t="str">
        <f t="shared" si="4"/>
        <v>Female</v>
      </c>
      <c r="M193" s="4" t="str">
        <f t="shared" si="5"/>
        <v>Bronze</v>
      </c>
      <c r="N193" s="4" t="str">
        <f t="shared" si="6"/>
        <v>OK</v>
      </c>
    </row>
    <row r="194" ht="14.25" customHeight="1">
      <c r="A194" s="4" t="s">
        <v>643</v>
      </c>
      <c r="B194" s="4" t="s">
        <v>644</v>
      </c>
      <c r="C194" s="4">
        <v>26.0</v>
      </c>
      <c r="D194" s="4" t="s">
        <v>16</v>
      </c>
      <c r="E194" s="4" t="s">
        <v>645</v>
      </c>
      <c r="F194" s="4" t="s">
        <v>116</v>
      </c>
      <c r="G194" s="4" t="s">
        <v>19</v>
      </c>
      <c r="H194" s="4" t="s">
        <v>56</v>
      </c>
      <c r="I194" s="4" t="str">
        <f t="shared" si="2"/>
        <v>Jacob Wood</v>
      </c>
      <c r="J194" s="4" t="str">
        <f t="shared" ref="J194:K194" si="197">TRIM(PROPER(E194))</f>
        <v>Lake Samanthafort</v>
      </c>
      <c r="K194" s="4" t="str">
        <f t="shared" si="197"/>
        <v>Idaho</v>
      </c>
      <c r="L194" s="4" t="str">
        <f t="shared" si="4"/>
        <v>Male</v>
      </c>
      <c r="M194" s="4" t="str">
        <f t="shared" si="5"/>
        <v>Gold</v>
      </c>
      <c r="N194" s="4" t="str">
        <f t="shared" si="6"/>
        <v>OK</v>
      </c>
    </row>
    <row r="195" ht="14.25" customHeight="1">
      <c r="A195" s="4" t="s">
        <v>646</v>
      </c>
      <c r="B195" s="4" t="s">
        <v>647</v>
      </c>
      <c r="C195" s="4">
        <v>38.0</v>
      </c>
      <c r="D195" s="4" t="s">
        <v>16</v>
      </c>
      <c r="E195" s="4" t="s">
        <v>648</v>
      </c>
      <c r="F195" s="4" t="s">
        <v>90</v>
      </c>
      <c r="G195" s="4" t="s">
        <v>19</v>
      </c>
      <c r="H195" s="4" t="s">
        <v>56</v>
      </c>
      <c r="I195" s="4" t="str">
        <f t="shared" si="2"/>
        <v>David Roberts</v>
      </c>
      <c r="J195" s="4" t="str">
        <f t="shared" ref="J195:K195" si="198">TRIM(PROPER(E195))</f>
        <v>Port Amanda</v>
      </c>
      <c r="K195" s="4" t="str">
        <f t="shared" si="198"/>
        <v>Georgia</v>
      </c>
      <c r="L195" s="4" t="str">
        <f t="shared" si="4"/>
        <v>Male</v>
      </c>
      <c r="M195" s="4" t="str">
        <f t="shared" si="5"/>
        <v>Gold</v>
      </c>
      <c r="N195" s="4" t="str">
        <f t="shared" si="6"/>
        <v>OK</v>
      </c>
    </row>
    <row r="196" ht="14.25" customHeight="1">
      <c r="A196" s="4" t="s">
        <v>649</v>
      </c>
      <c r="B196" s="4" t="s">
        <v>650</v>
      </c>
      <c r="C196" s="4">
        <v>46.0</v>
      </c>
      <c r="D196" s="4" t="s">
        <v>16</v>
      </c>
      <c r="E196" s="4" t="s">
        <v>651</v>
      </c>
      <c r="F196" s="4" t="s">
        <v>60</v>
      </c>
      <c r="G196" s="4" t="s">
        <v>19</v>
      </c>
      <c r="H196" s="4" t="s">
        <v>56</v>
      </c>
      <c r="I196" s="4" t="str">
        <f t="shared" si="2"/>
        <v>Ashley Ferguson</v>
      </c>
      <c r="J196" s="4" t="str">
        <f t="shared" ref="J196:K196" si="199">TRIM(PROPER(E196))</f>
        <v>Sarahmouth</v>
      </c>
      <c r="K196" s="4" t="str">
        <f t="shared" si="199"/>
        <v>Pennsylvania</v>
      </c>
      <c r="L196" s="4" t="str">
        <f t="shared" si="4"/>
        <v>Male</v>
      </c>
      <c r="M196" s="4" t="str">
        <f t="shared" si="5"/>
        <v>Gold</v>
      </c>
      <c r="N196" s="4" t="str">
        <f t="shared" si="6"/>
        <v>OK</v>
      </c>
    </row>
    <row r="197" ht="14.25" customHeight="1">
      <c r="A197" s="4" t="s">
        <v>652</v>
      </c>
      <c r="B197" s="4" t="s">
        <v>653</v>
      </c>
      <c r="C197" s="4">
        <v>60.0</v>
      </c>
      <c r="D197" s="4" t="s">
        <v>16</v>
      </c>
      <c r="E197" s="4" t="s">
        <v>654</v>
      </c>
      <c r="F197" s="4" t="s">
        <v>143</v>
      </c>
      <c r="G197" s="4" t="s">
        <v>19</v>
      </c>
      <c r="H197" s="4" t="s">
        <v>39</v>
      </c>
      <c r="I197" s="4" t="str">
        <f t="shared" si="2"/>
        <v>Anthony Garcia</v>
      </c>
      <c r="J197" s="4" t="str">
        <f t="shared" ref="J197:K197" si="200">TRIM(PROPER(E197))</f>
        <v>Taraberg</v>
      </c>
      <c r="K197" s="4" t="str">
        <f t="shared" si="200"/>
        <v>Arizona</v>
      </c>
      <c r="L197" s="4" t="str">
        <f t="shared" si="4"/>
        <v>Male</v>
      </c>
      <c r="M197" s="4" t="str">
        <f t="shared" si="5"/>
        <v>Silver</v>
      </c>
      <c r="N197" s="4" t="str">
        <f t="shared" si="6"/>
        <v>OK</v>
      </c>
    </row>
    <row r="198" ht="14.25" customHeight="1">
      <c r="A198" s="4" t="s">
        <v>655</v>
      </c>
      <c r="B198" s="4" t="s">
        <v>656</v>
      </c>
      <c r="C198" s="4">
        <v>18.0</v>
      </c>
      <c r="D198" s="4" t="s">
        <v>22</v>
      </c>
      <c r="E198" s="4" t="s">
        <v>657</v>
      </c>
      <c r="F198" s="4" t="s">
        <v>173</v>
      </c>
      <c r="G198" s="4" t="s">
        <v>19</v>
      </c>
      <c r="H198" s="4" t="s">
        <v>25</v>
      </c>
      <c r="I198" s="4" t="str">
        <f t="shared" si="2"/>
        <v>Megan Greer</v>
      </c>
      <c r="J198" s="4" t="str">
        <f t="shared" ref="J198:K198" si="201">TRIM(PROPER(E198))</f>
        <v>West John</v>
      </c>
      <c r="K198" s="4" t="str">
        <f t="shared" si="201"/>
        <v>Alaska</v>
      </c>
      <c r="L198" s="4" t="str">
        <f t="shared" si="4"/>
        <v>Female</v>
      </c>
      <c r="M198" s="4" t="str">
        <f t="shared" si="5"/>
        <v>Platinum</v>
      </c>
      <c r="N198" s="4" t="str">
        <f t="shared" si="6"/>
        <v>OK</v>
      </c>
    </row>
    <row r="199" ht="14.25" customHeight="1">
      <c r="A199" s="4" t="s">
        <v>658</v>
      </c>
      <c r="B199" s="4" t="s">
        <v>659</v>
      </c>
      <c r="C199" s="4">
        <v>45.0</v>
      </c>
      <c r="D199" s="4" t="s">
        <v>22</v>
      </c>
      <c r="E199" s="4" t="s">
        <v>217</v>
      </c>
      <c r="F199" s="4" t="s">
        <v>211</v>
      </c>
      <c r="G199" s="4" t="s">
        <v>19</v>
      </c>
      <c r="H199" s="4" t="s">
        <v>25</v>
      </c>
      <c r="I199" s="4" t="str">
        <f t="shared" si="2"/>
        <v>Andrea Jacobs</v>
      </c>
      <c r="J199" s="4" t="str">
        <f t="shared" ref="J199:K199" si="202">TRIM(PROPER(E199))</f>
        <v>Christopherland</v>
      </c>
      <c r="K199" s="4" t="str">
        <f t="shared" si="202"/>
        <v>Minnesota</v>
      </c>
      <c r="L199" s="4" t="str">
        <f t="shared" si="4"/>
        <v>Female</v>
      </c>
      <c r="M199" s="4" t="str">
        <f t="shared" si="5"/>
        <v>Platinum</v>
      </c>
      <c r="N199" s="4" t="str">
        <f t="shared" si="6"/>
        <v>OK</v>
      </c>
    </row>
    <row r="200" ht="14.25" customHeight="1">
      <c r="A200" s="4" t="s">
        <v>660</v>
      </c>
      <c r="B200" s="4" t="s">
        <v>661</v>
      </c>
      <c r="C200" s="4">
        <v>54.0</v>
      </c>
      <c r="D200" s="4" t="s">
        <v>16</v>
      </c>
      <c r="E200" s="4" t="s">
        <v>662</v>
      </c>
      <c r="F200" s="4" t="s">
        <v>181</v>
      </c>
      <c r="G200" s="4" t="s">
        <v>19</v>
      </c>
      <c r="H200" s="4" t="s">
        <v>34</v>
      </c>
      <c r="I200" s="4" t="str">
        <f t="shared" si="2"/>
        <v>Wanda Snyder</v>
      </c>
      <c r="J200" s="4" t="str">
        <f t="shared" ref="J200:K200" si="203">TRIM(PROPER(E200))</f>
        <v>Frostmouth</v>
      </c>
      <c r="K200" s="4" t="str">
        <f t="shared" si="203"/>
        <v>Vermont</v>
      </c>
      <c r="L200" s="4" t="str">
        <f t="shared" si="4"/>
        <v>Male</v>
      </c>
      <c r="M200" s="4" t="str">
        <f t="shared" si="5"/>
        <v>Bronze</v>
      </c>
      <c r="N200" s="4" t="str">
        <f t="shared" si="6"/>
        <v>OK</v>
      </c>
    </row>
    <row r="201" ht="14.25" customHeight="1">
      <c r="A201" s="4" t="s">
        <v>663</v>
      </c>
      <c r="B201" s="4" t="s">
        <v>664</v>
      </c>
      <c r="C201" s="4">
        <v>46.0</v>
      </c>
      <c r="D201" s="4" t="s">
        <v>16</v>
      </c>
      <c r="E201" s="4" t="s">
        <v>665</v>
      </c>
      <c r="F201" s="4" t="s">
        <v>247</v>
      </c>
      <c r="G201" s="4" t="s">
        <v>19</v>
      </c>
      <c r="H201" s="4" t="s">
        <v>34</v>
      </c>
      <c r="I201" s="4" t="str">
        <f t="shared" si="2"/>
        <v>Carmen Price</v>
      </c>
      <c r="J201" s="4" t="str">
        <f t="shared" ref="J201:K201" si="204">TRIM(PROPER(E201))</f>
        <v>North Briannamouth</v>
      </c>
      <c r="K201" s="4" t="str">
        <f t="shared" si="204"/>
        <v>Tennessee</v>
      </c>
      <c r="L201" s="4" t="str">
        <f t="shared" si="4"/>
        <v>Male</v>
      </c>
      <c r="M201" s="4" t="str">
        <f t="shared" si="5"/>
        <v>Bronze</v>
      </c>
      <c r="N201" s="4" t="str">
        <f t="shared" si="6"/>
        <v>OK</v>
      </c>
    </row>
    <row r="202" ht="14.25" customHeight="1">
      <c r="A202" s="4" t="s">
        <v>666</v>
      </c>
      <c r="B202" s="4" t="s">
        <v>667</v>
      </c>
      <c r="C202" s="4">
        <v>30.0</v>
      </c>
      <c r="D202" s="4" t="s">
        <v>16</v>
      </c>
      <c r="E202" s="4" t="s">
        <v>668</v>
      </c>
      <c r="F202" s="4" t="s">
        <v>445</v>
      </c>
      <c r="G202" s="4" t="s">
        <v>19</v>
      </c>
      <c r="H202" s="4" t="s">
        <v>25</v>
      </c>
      <c r="I202" s="4" t="str">
        <f t="shared" si="2"/>
        <v>Anna Perez</v>
      </c>
      <c r="J202" s="4" t="str">
        <f t="shared" ref="J202:K202" si="205">TRIM(PROPER(E202))</f>
        <v>South Jerry</v>
      </c>
      <c r="K202" s="4" t="str">
        <f t="shared" si="205"/>
        <v>Maine</v>
      </c>
      <c r="L202" s="4" t="str">
        <f t="shared" si="4"/>
        <v>Male</v>
      </c>
      <c r="M202" s="4" t="str">
        <f t="shared" si="5"/>
        <v>Platinum</v>
      </c>
      <c r="N202" s="4" t="str">
        <f t="shared" si="6"/>
        <v>OK</v>
      </c>
    </row>
    <row r="203" ht="14.25" customHeight="1">
      <c r="A203" s="4" t="s">
        <v>669</v>
      </c>
      <c r="B203" s="4" t="s">
        <v>670</v>
      </c>
      <c r="C203" s="4">
        <v>25.0</v>
      </c>
      <c r="D203" s="4" t="s">
        <v>22</v>
      </c>
      <c r="E203" s="4" t="s">
        <v>671</v>
      </c>
      <c r="F203" s="4" t="s">
        <v>166</v>
      </c>
      <c r="G203" s="4" t="s">
        <v>19</v>
      </c>
      <c r="H203" s="4" t="s">
        <v>34</v>
      </c>
      <c r="I203" s="4" t="str">
        <f t="shared" si="2"/>
        <v>Mary Boyd</v>
      </c>
      <c r="J203" s="4" t="str">
        <f t="shared" ref="J203:K203" si="206">TRIM(PROPER(E203))</f>
        <v>New Logan</v>
      </c>
      <c r="K203" s="4" t="str">
        <f t="shared" si="206"/>
        <v>Michigan</v>
      </c>
      <c r="L203" s="4" t="str">
        <f t="shared" si="4"/>
        <v>Female</v>
      </c>
      <c r="M203" s="4" t="str">
        <f t="shared" si="5"/>
        <v>Bronze</v>
      </c>
      <c r="N203" s="4" t="str">
        <f t="shared" si="6"/>
        <v>OK</v>
      </c>
    </row>
    <row r="204" ht="14.25" customHeight="1">
      <c r="A204" s="4" t="s">
        <v>672</v>
      </c>
      <c r="B204" s="4" t="s">
        <v>673</v>
      </c>
      <c r="C204" s="4">
        <v>37.0</v>
      </c>
      <c r="D204" s="4" t="s">
        <v>22</v>
      </c>
      <c r="E204" s="4" t="s">
        <v>674</v>
      </c>
      <c r="F204" s="4" t="s">
        <v>71</v>
      </c>
      <c r="G204" s="4" t="s">
        <v>19</v>
      </c>
      <c r="H204" s="4" t="s">
        <v>25</v>
      </c>
      <c r="I204" s="4" t="str">
        <f t="shared" si="2"/>
        <v>Christina Garcia</v>
      </c>
      <c r="J204" s="4" t="str">
        <f t="shared" ref="J204:K204" si="207">TRIM(PROPER(E204))</f>
        <v>Clarkeside</v>
      </c>
      <c r="K204" s="4" t="str">
        <f t="shared" si="207"/>
        <v>Kansas</v>
      </c>
      <c r="L204" s="4" t="str">
        <f t="shared" si="4"/>
        <v>Female</v>
      </c>
      <c r="M204" s="4" t="str">
        <f t="shared" si="5"/>
        <v>Platinum</v>
      </c>
      <c r="N204" s="4" t="str">
        <f t="shared" si="6"/>
        <v>OK</v>
      </c>
    </row>
    <row r="205" ht="14.25" customHeight="1">
      <c r="A205" s="4" t="s">
        <v>675</v>
      </c>
      <c r="B205" s="4" t="s">
        <v>676</v>
      </c>
      <c r="C205" s="4">
        <v>47.0</v>
      </c>
      <c r="D205" s="4" t="s">
        <v>16</v>
      </c>
      <c r="E205" s="4" t="s">
        <v>677</v>
      </c>
      <c r="F205" s="4" t="s">
        <v>277</v>
      </c>
      <c r="G205" s="4" t="s">
        <v>19</v>
      </c>
      <c r="H205" s="4" t="s">
        <v>25</v>
      </c>
      <c r="I205" s="4" t="str">
        <f t="shared" si="2"/>
        <v>Sarah Brady</v>
      </c>
      <c r="J205" s="4" t="str">
        <f t="shared" ref="J205:K205" si="208">TRIM(PROPER(E205))</f>
        <v>Johnsonland</v>
      </c>
      <c r="K205" s="4" t="str">
        <f t="shared" si="208"/>
        <v>Iowa</v>
      </c>
      <c r="L205" s="4" t="str">
        <f t="shared" si="4"/>
        <v>Male</v>
      </c>
      <c r="M205" s="4" t="str">
        <f t="shared" si="5"/>
        <v>Platinum</v>
      </c>
      <c r="N205" s="4" t="str">
        <f t="shared" si="6"/>
        <v>OK</v>
      </c>
    </row>
    <row r="206" ht="14.25" customHeight="1">
      <c r="A206" s="4" t="s">
        <v>678</v>
      </c>
      <c r="B206" s="4" t="s">
        <v>679</v>
      </c>
      <c r="C206" s="4">
        <v>52.0</v>
      </c>
      <c r="D206" s="4" t="s">
        <v>16</v>
      </c>
      <c r="E206" s="4" t="s">
        <v>680</v>
      </c>
      <c r="F206" s="4" t="s">
        <v>297</v>
      </c>
      <c r="G206" s="4" t="s">
        <v>19</v>
      </c>
      <c r="H206" s="4" t="s">
        <v>25</v>
      </c>
      <c r="I206" s="4" t="str">
        <f t="shared" si="2"/>
        <v>Tiffany Herrera</v>
      </c>
      <c r="J206" s="4" t="str">
        <f t="shared" ref="J206:K206" si="209">TRIM(PROPER(E206))</f>
        <v>New Dianebury</v>
      </c>
      <c r="K206" s="4" t="str">
        <f t="shared" si="209"/>
        <v>Virginia</v>
      </c>
      <c r="L206" s="4" t="str">
        <f t="shared" si="4"/>
        <v>Male</v>
      </c>
      <c r="M206" s="4" t="str">
        <f t="shared" si="5"/>
        <v>Platinum</v>
      </c>
      <c r="N206" s="4" t="str">
        <f t="shared" si="6"/>
        <v>OK</v>
      </c>
    </row>
    <row r="207" ht="14.25" customHeight="1">
      <c r="A207" s="4" t="s">
        <v>681</v>
      </c>
      <c r="B207" s="4" t="s">
        <v>682</v>
      </c>
      <c r="C207" s="4">
        <v>44.0</v>
      </c>
      <c r="D207" s="4" t="s">
        <v>22</v>
      </c>
      <c r="E207" s="4" t="s">
        <v>683</v>
      </c>
      <c r="F207" s="4" t="s">
        <v>97</v>
      </c>
      <c r="G207" s="4" t="s">
        <v>19</v>
      </c>
      <c r="H207" s="4" t="s">
        <v>56</v>
      </c>
      <c r="I207" s="4" t="str">
        <f t="shared" si="2"/>
        <v>Michelle Carpenter</v>
      </c>
      <c r="J207" s="4" t="str">
        <f t="shared" ref="J207:K207" si="210">TRIM(PROPER(E207))</f>
        <v>Lake Danielleton</v>
      </c>
      <c r="K207" s="4" t="str">
        <f t="shared" si="210"/>
        <v>New Jersey</v>
      </c>
      <c r="L207" s="4" t="str">
        <f t="shared" si="4"/>
        <v>Female</v>
      </c>
      <c r="M207" s="4" t="str">
        <f t="shared" si="5"/>
        <v>Gold</v>
      </c>
      <c r="N207" s="4" t="str">
        <f t="shared" si="6"/>
        <v>OK</v>
      </c>
    </row>
    <row r="208" ht="14.25" customHeight="1">
      <c r="A208" s="4" t="s">
        <v>684</v>
      </c>
      <c r="B208" s="4" t="s">
        <v>685</v>
      </c>
      <c r="C208" s="4">
        <v>26.0</v>
      </c>
      <c r="D208" s="4" t="s">
        <v>22</v>
      </c>
      <c r="E208" s="4" t="s">
        <v>686</v>
      </c>
      <c r="F208" s="4" t="s">
        <v>247</v>
      </c>
      <c r="G208" s="4" t="s">
        <v>19</v>
      </c>
      <c r="H208" s="4" t="s">
        <v>39</v>
      </c>
      <c r="I208" s="4" t="str">
        <f t="shared" si="2"/>
        <v>Ronald Jones</v>
      </c>
      <c r="J208" s="4" t="str">
        <f t="shared" ref="J208:K208" si="211">TRIM(PROPER(E208))</f>
        <v>Brownshire</v>
      </c>
      <c r="K208" s="4" t="str">
        <f t="shared" si="211"/>
        <v>Tennessee</v>
      </c>
      <c r="L208" s="4" t="str">
        <f t="shared" si="4"/>
        <v>Female</v>
      </c>
      <c r="M208" s="4" t="str">
        <f t="shared" si="5"/>
        <v>Silver</v>
      </c>
      <c r="N208" s="4" t="str">
        <f t="shared" si="6"/>
        <v>OK</v>
      </c>
    </row>
    <row r="209" ht="14.25" customHeight="1">
      <c r="A209" s="4" t="s">
        <v>687</v>
      </c>
      <c r="B209" s="4" t="s">
        <v>688</v>
      </c>
      <c r="C209" s="4">
        <v>28.0</v>
      </c>
      <c r="D209" s="4" t="s">
        <v>22</v>
      </c>
      <c r="E209" s="4" t="s">
        <v>689</v>
      </c>
      <c r="F209" s="4" t="s">
        <v>97</v>
      </c>
      <c r="G209" s="4" t="s">
        <v>19</v>
      </c>
      <c r="H209" s="4" t="s">
        <v>34</v>
      </c>
      <c r="I209" s="4" t="str">
        <f t="shared" si="2"/>
        <v>Jacqueline Pacheco</v>
      </c>
      <c r="J209" s="4" t="str">
        <f t="shared" ref="J209:K209" si="212">TRIM(PROPER(E209))</f>
        <v>South Emily</v>
      </c>
      <c r="K209" s="4" t="str">
        <f t="shared" si="212"/>
        <v>New Jersey</v>
      </c>
      <c r="L209" s="4" t="str">
        <f t="shared" si="4"/>
        <v>Female</v>
      </c>
      <c r="M209" s="4" t="str">
        <f t="shared" si="5"/>
        <v>Bronze</v>
      </c>
      <c r="N209" s="4" t="str">
        <f t="shared" si="6"/>
        <v>OK</v>
      </c>
    </row>
    <row r="210" ht="14.25" customHeight="1">
      <c r="A210" s="4" t="s">
        <v>690</v>
      </c>
      <c r="B210" s="4" t="s">
        <v>691</v>
      </c>
      <c r="C210" s="4">
        <v>54.0</v>
      </c>
      <c r="D210" s="4" t="s">
        <v>16</v>
      </c>
      <c r="E210" s="4" t="s">
        <v>692</v>
      </c>
      <c r="F210" s="4" t="s">
        <v>338</v>
      </c>
      <c r="G210" s="4" t="s">
        <v>19</v>
      </c>
      <c r="H210" s="4" t="s">
        <v>25</v>
      </c>
      <c r="I210" s="4" t="str">
        <f t="shared" si="2"/>
        <v>John Perez</v>
      </c>
      <c r="J210" s="4" t="str">
        <f t="shared" ref="J210:K210" si="213">TRIM(PROPER(E210))</f>
        <v>Kathrynview</v>
      </c>
      <c r="K210" s="4" t="str">
        <f t="shared" si="213"/>
        <v>Louisiana</v>
      </c>
      <c r="L210" s="4" t="str">
        <f t="shared" si="4"/>
        <v>Male</v>
      </c>
      <c r="M210" s="4" t="str">
        <f t="shared" si="5"/>
        <v>Platinum</v>
      </c>
      <c r="N210" s="4" t="str">
        <f t="shared" si="6"/>
        <v>OK</v>
      </c>
    </row>
    <row r="211" ht="14.25" customHeight="1">
      <c r="A211" s="4" t="s">
        <v>693</v>
      </c>
      <c r="B211" s="4" t="s">
        <v>694</v>
      </c>
      <c r="C211" s="4">
        <v>50.0</v>
      </c>
      <c r="D211" s="4" t="s">
        <v>22</v>
      </c>
      <c r="E211" s="4" t="s">
        <v>695</v>
      </c>
      <c r="F211" s="4" t="s">
        <v>445</v>
      </c>
      <c r="G211" s="4" t="s">
        <v>19</v>
      </c>
      <c r="H211" s="4" t="s">
        <v>25</v>
      </c>
      <c r="I211" s="4" t="str">
        <f t="shared" si="2"/>
        <v>Joan Johnson</v>
      </c>
      <c r="J211" s="4" t="str">
        <f t="shared" ref="J211:K211" si="214">TRIM(PROPER(E211))</f>
        <v>Lake Josephport</v>
      </c>
      <c r="K211" s="4" t="str">
        <f t="shared" si="214"/>
        <v>Maine</v>
      </c>
      <c r="L211" s="4" t="str">
        <f t="shared" si="4"/>
        <v>Female</v>
      </c>
      <c r="M211" s="4" t="str">
        <f t="shared" si="5"/>
        <v>Platinum</v>
      </c>
      <c r="N211" s="4" t="str">
        <f t="shared" si="6"/>
        <v>OK</v>
      </c>
    </row>
    <row r="212" ht="14.25" customHeight="1">
      <c r="A212" s="4" t="s">
        <v>696</v>
      </c>
      <c r="B212" s="4" t="s">
        <v>697</v>
      </c>
      <c r="C212" s="4">
        <v>48.0</v>
      </c>
      <c r="D212" s="4" t="s">
        <v>16</v>
      </c>
      <c r="E212" s="4" t="s">
        <v>698</v>
      </c>
      <c r="F212" s="4" t="s">
        <v>90</v>
      </c>
      <c r="G212" s="4" t="s">
        <v>19</v>
      </c>
      <c r="H212" s="4" t="s">
        <v>39</v>
      </c>
      <c r="I212" s="4" t="str">
        <f t="shared" si="2"/>
        <v>Antonio Jones</v>
      </c>
      <c r="J212" s="4" t="str">
        <f t="shared" ref="J212:K212" si="215">TRIM(PROPER(E212))</f>
        <v>Matthewborough</v>
      </c>
      <c r="K212" s="4" t="str">
        <f t="shared" si="215"/>
        <v>Georgia</v>
      </c>
      <c r="L212" s="4" t="str">
        <f t="shared" si="4"/>
        <v>Male</v>
      </c>
      <c r="M212" s="4" t="str">
        <f t="shared" si="5"/>
        <v>Silver</v>
      </c>
      <c r="N212" s="4" t="str">
        <f t="shared" si="6"/>
        <v>OK</v>
      </c>
    </row>
    <row r="213" ht="14.25" customHeight="1">
      <c r="A213" s="4" t="s">
        <v>699</v>
      </c>
      <c r="B213" s="4" t="s">
        <v>700</v>
      </c>
      <c r="C213" s="4">
        <v>20.0</v>
      </c>
      <c r="D213" s="4" t="s">
        <v>22</v>
      </c>
      <c r="E213" s="4" t="s">
        <v>701</v>
      </c>
      <c r="F213" s="4" t="s">
        <v>101</v>
      </c>
      <c r="G213" s="4" t="s">
        <v>19</v>
      </c>
      <c r="H213" s="4" t="s">
        <v>39</v>
      </c>
      <c r="I213" s="4" t="str">
        <f t="shared" si="2"/>
        <v>Rodney Huffman</v>
      </c>
      <c r="J213" s="4" t="str">
        <f t="shared" ref="J213:K213" si="216">TRIM(PROPER(E213))</f>
        <v>Garzafort</v>
      </c>
      <c r="K213" s="4" t="str">
        <f t="shared" si="216"/>
        <v>Delaware</v>
      </c>
      <c r="L213" s="4" t="str">
        <f t="shared" si="4"/>
        <v>Female</v>
      </c>
      <c r="M213" s="4" t="str">
        <f t="shared" si="5"/>
        <v>Silver</v>
      </c>
      <c r="N213" s="4" t="str">
        <f t="shared" si="6"/>
        <v>OK</v>
      </c>
    </row>
    <row r="214" ht="14.25" customHeight="1">
      <c r="A214" s="4" t="s">
        <v>702</v>
      </c>
      <c r="B214" s="4" t="s">
        <v>703</v>
      </c>
      <c r="C214" s="4">
        <v>63.0</v>
      </c>
      <c r="D214" s="4" t="s">
        <v>22</v>
      </c>
      <c r="E214" s="4" t="s">
        <v>704</v>
      </c>
      <c r="F214" s="4" t="s">
        <v>83</v>
      </c>
      <c r="G214" s="4" t="s">
        <v>19</v>
      </c>
      <c r="H214" s="4" t="s">
        <v>25</v>
      </c>
      <c r="I214" s="4" t="str">
        <f t="shared" si="2"/>
        <v>Blake Harrison</v>
      </c>
      <c r="J214" s="4" t="str">
        <f t="shared" ref="J214:K214" si="217">TRIM(PROPER(E214))</f>
        <v>Lyonsfort</v>
      </c>
      <c r="K214" s="4" t="str">
        <f t="shared" si="217"/>
        <v>Washington</v>
      </c>
      <c r="L214" s="4" t="str">
        <f t="shared" si="4"/>
        <v>Female</v>
      </c>
      <c r="M214" s="4" t="str">
        <f t="shared" si="5"/>
        <v>Platinum</v>
      </c>
      <c r="N214" s="4" t="str">
        <f t="shared" si="6"/>
        <v>OK</v>
      </c>
    </row>
    <row r="215" ht="14.25" customHeight="1">
      <c r="A215" s="4" t="s">
        <v>705</v>
      </c>
      <c r="B215" s="4" t="s">
        <v>706</v>
      </c>
      <c r="C215" s="4">
        <v>42.0</v>
      </c>
      <c r="D215" s="4" t="s">
        <v>22</v>
      </c>
      <c r="E215" s="4" t="s">
        <v>707</v>
      </c>
      <c r="F215" s="4" t="s">
        <v>24</v>
      </c>
      <c r="G215" s="4" t="s">
        <v>19</v>
      </c>
      <c r="H215" s="4" t="s">
        <v>25</v>
      </c>
      <c r="I215" s="4" t="str">
        <f t="shared" si="2"/>
        <v>Stuart Johnson</v>
      </c>
      <c r="J215" s="4" t="str">
        <f t="shared" ref="J215:K215" si="218">TRIM(PROPER(E215))</f>
        <v>West Markport</v>
      </c>
      <c r="K215" s="4" t="str">
        <f t="shared" si="218"/>
        <v>North Dakota</v>
      </c>
      <c r="L215" s="4" t="str">
        <f t="shared" si="4"/>
        <v>Female</v>
      </c>
      <c r="M215" s="4" t="str">
        <f t="shared" si="5"/>
        <v>Platinum</v>
      </c>
      <c r="N215" s="4" t="str">
        <f t="shared" si="6"/>
        <v>OK</v>
      </c>
    </row>
    <row r="216" ht="14.25" customHeight="1">
      <c r="A216" s="4" t="s">
        <v>708</v>
      </c>
      <c r="B216" s="4" t="s">
        <v>709</v>
      </c>
      <c r="C216" s="4">
        <v>61.0</v>
      </c>
      <c r="D216" s="4" t="s">
        <v>16</v>
      </c>
      <c r="E216" s="4" t="s">
        <v>710</v>
      </c>
      <c r="F216" s="4" t="s">
        <v>75</v>
      </c>
      <c r="G216" s="4" t="s">
        <v>19</v>
      </c>
      <c r="H216" s="4" t="s">
        <v>56</v>
      </c>
      <c r="I216" s="4" t="str">
        <f t="shared" si="2"/>
        <v>Eric Todd</v>
      </c>
      <c r="J216" s="4" t="str">
        <f t="shared" ref="J216:K216" si="219">TRIM(PROPER(E216))</f>
        <v>Danielstad</v>
      </c>
      <c r="K216" s="4" t="str">
        <f t="shared" si="219"/>
        <v>Montana</v>
      </c>
      <c r="L216" s="4" t="str">
        <f t="shared" si="4"/>
        <v>Male</v>
      </c>
      <c r="M216" s="4" t="str">
        <f t="shared" si="5"/>
        <v>Gold</v>
      </c>
      <c r="N216" s="4" t="str">
        <f t="shared" si="6"/>
        <v>OK</v>
      </c>
    </row>
    <row r="217" ht="14.25" customHeight="1">
      <c r="A217" s="4" t="s">
        <v>711</v>
      </c>
      <c r="B217" s="4" t="s">
        <v>712</v>
      </c>
      <c r="C217" s="4">
        <v>50.0</v>
      </c>
      <c r="D217" s="4" t="s">
        <v>22</v>
      </c>
      <c r="E217" s="4" t="s">
        <v>713</v>
      </c>
      <c r="F217" s="4" t="s">
        <v>43</v>
      </c>
      <c r="G217" s="4" t="s">
        <v>19</v>
      </c>
      <c r="H217" s="4" t="s">
        <v>56</v>
      </c>
      <c r="I217" s="4" t="str">
        <f t="shared" si="2"/>
        <v>Steve Medina</v>
      </c>
      <c r="J217" s="4" t="str">
        <f t="shared" ref="J217:K217" si="220">TRIM(PROPER(E217))</f>
        <v>East Josephside</v>
      </c>
      <c r="K217" s="4" t="str">
        <f t="shared" si="220"/>
        <v>Oregon</v>
      </c>
      <c r="L217" s="4" t="str">
        <f t="shared" si="4"/>
        <v>Female</v>
      </c>
      <c r="M217" s="4" t="str">
        <f t="shared" si="5"/>
        <v>Gold</v>
      </c>
      <c r="N217" s="4" t="str">
        <f t="shared" si="6"/>
        <v>OK</v>
      </c>
    </row>
    <row r="218" ht="14.25" customHeight="1">
      <c r="A218" s="4" t="s">
        <v>714</v>
      </c>
      <c r="B218" s="4" t="s">
        <v>715</v>
      </c>
      <c r="C218" s="4">
        <v>44.0</v>
      </c>
      <c r="D218" s="4" t="s">
        <v>16</v>
      </c>
      <c r="E218" s="4" t="s">
        <v>716</v>
      </c>
      <c r="F218" s="4" t="s">
        <v>38</v>
      </c>
      <c r="G218" s="4" t="s">
        <v>19</v>
      </c>
      <c r="H218" s="4" t="s">
        <v>25</v>
      </c>
      <c r="I218" s="4" t="str">
        <f t="shared" si="2"/>
        <v>Kathryn Garcia</v>
      </c>
      <c r="J218" s="4" t="str">
        <f t="shared" ref="J218:K218" si="221">TRIM(PROPER(E218))</f>
        <v>Morrismouth</v>
      </c>
      <c r="K218" s="4" t="str">
        <f t="shared" si="221"/>
        <v>California</v>
      </c>
      <c r="L218" s="4" t="str">
        <f t="shared" si="4"/>
        <v>Male</v>
      </c>
      <c r="M218" s="4" t="str">
        <f t="shared" si="5"/>
        <v>Platinum</v>
      </c>
      <c r="N218" s="4" t="str">
        <f t="shared" si="6"/>
        <v>OK</v>
      </c>
    </row>
    <row r="219" ht="14.25" customHeight="1">
      <c r="A219" s="4" t="s">
        <v>717</v>
      </c>
      <c r="B219" s="4" t="s">
        <v>718</v>
      </c>
      <c r="C219" s="4">
        <v>42.0</v>
      </c>
      <c r="D219" s="4" t="s">
        <v>16</v>
      </c>
      <c r="E219" s="4" t="s">
        <v>719</v>
      </c>
      <c r="F219" s="4" t="s">
        <v>123</v>
      </c>
      <c r="G219" s="4" t="s">
        <v>19</v>
      </c>
      <c r="H219" s="4" t="s">
        <v>39</v>
      </c>
      <c r="I219" s="4" t="str">
        <f t="shared" si="2"/>
        <v>Kathy Copeland</v>
      </c>
      <c r="J219" s="4" t="str">
        <f t="shared" ref="J219:K219" si="222">TRIM(PROPER(E219))</f>
        <v>North Christinemouth</v>
      </c>
      <c r="K219" s="4" t="str">
        <f t="shared" si="222"/>
        <v>Missouri</v>
      </c>
      <c r="L219" s="4" t="str">
        <f t="shared" si="4"/>
        <v>Male</v>
      </c>
      <c r="M219" s="4" t="str">
        <f t="shared" si="5"/>
        <v>Silver</v>
      </c>
      <c r="N219" s="4" t="str">
        <f t="shared" si="6"/>
        <v>OK</v>
      </c>
    </row>
    <row r="220" ht="14.25" customHeight="1">
      <c r="A220" s="4" t="s">
        <v>720</v>
      </c>
      <c r="B220" s="4" t="s">
        <v>721</v>
      </c>
      <c r="C220" s="4">
        <v>46.0</v>
      </c>
      <c r="D220" s="4" t="s">
        <v>16</v>
      </c>
      <c r="E220" s="4" t="s">
        <v>722</v>
      </c>
      <c r="F220" s="4" t="s">
        <v>38</v>
      </c>
      <c r="G220" s="4" t="s">
        <v>19</v>
      </c>
      <c r="H220" s="4" t="s">
        <v>25</v>
      </c>
      <c r="I220" s="4" t="str">
        <f t="shared" si="2"/>
        <v>Julia Jackson</v>
      </c>
      <c r="J220" s="4" t="str">
        <f t="shared" ref="J220:K220" si="223">TRIM(PROPER(E220))</f>
        <v>Edwardland</v>
      </c>
      <c r="K220" s="4" t="str">
        <f t="shared" si="223"/>
        <v>California</v>
      </c>
      <c r="L220" s="4" t="str">
        <f t="shared" si="4"/>
        <v>Male</v>
      </c>
      <c r="M220" s="4" t="str">
        <f t="shared" si="5"/>
        <v>Platinum</v>
      </c>
      <c r="N220" s="4" t="str">
        <f t="shared" si="6"/>
        <v>OK</v>
      </c>
    </row>
    <row r="221" ht="14.25" customHeight="1">
      <c r="A221" s="4" t="s">
        <v>723</v>
      </c>
      <c r="B221" s="4" t="s">
        <v>724</v>
      </c>
      <c r="C221" s="4">
        <v>47.0</v>
      </c>
      <c r="D221" s="4" t="s">
        <v>22</v>
      </c>
      <c r="E221" s="4" t="s">
        <v>725</v>
      </c>
      <c r="F221" s="4" t="s">
        <v>97</v>
      </c>
      <c r="G221" s="4" t="s">
        <v>19</v>
      </c>
      <c r="H221" s="4" t="s">
        <v>56</v>
      </c>
      <c r="I221" s="4" t="str">
        <f t="shared" si="2"/>
        <v>Jordan Wells</v>
      </c>
      <c r="J221" s="4" t="str">
        <f t="shared" ref="J221:K221" si="224">TRIM(PROPER(E221))</f>
        <v>Phillipschester</v>
      </c>
      <c r="K221" s="4" t="str">
        <f t="shared" si="224"/>
        <v>New Jersey</v>
      </c>
      <c r="L221" s="4" t="str">
        <f t="shared" si="4"/>
        <v>Female</v>
      </c>
      <c r="M221" s="4" t="str">
        <f t="shared" si="5"/>
        <v>Gold</v>
      </c>
      <c r="N221" s="4" t="str">
        <f t="shared" si="6"/>
        <v>OK</v>
      </c>
    </row>
    <row r="222" ht="14.25" customHeight="1">
      <c r="A222" s="4" t="s">
        <v>726</v>
      </c>
      <c r="B222" s="4" t="s">
        <v>727</v>
      </c>
      <c r="C222" s="4">
        <v>50.0</v>
      </c>
      <c r="D222" s="4" t="s">
        <v>22</v>
      </c>
      <c r="E222" s="4" t="s">
        <v>728</v>
      </c>
      <c r="F222" s="4" t="s">
        <v>729</v>
      </c>
      <c r="G222" s="4" t="s">
        <v>19</v>
      </c>
      <c r="H222" s="4" t="s">
        <v>34</v>
      </c>
      <c r="I222" s="4" t="str">
        <f t="shared" si="2"/>
        <v>George Davis</v>
      </c>
      <c r="J222" s="4" t="str">
        <f t="shared" ref="J222:K222" si="225">TRIM(PROPER(E222))</f>
        <v>Lake Lisa</v>
      </c>
      <c r="K222" s="4" t="str">
        <f t="shared" si="225"/>
        <v>Massachusetts</v>
      </c>
      <c r="L222" s="4" t="str">
        <f t="shared" si="4"/>
        <v>Female</v>
      </c>
      <c r="M222" s="4" t="str">
        <f t="shared" si="5"/>
        <v>Bronze</v>
      </c>
      <c r="N222" s="4" t="str">
        <f t="shared" si="6"/>
        <v>OK</v>
      </c>
    </row>
    <row r="223" ht="14.25" customHeight="1">
      <c r="A223" s="4" t="s">
        <v>730</v>
      </c>
      <c r="B223" s="4" t="s">
        <v>731</v>
      </c>
      <c r="C223" s="4">
        <v>38.0</v>
      </c>
      <c r="D223" s="4" t="s">
        <v>16</v>
      </c>
      <c r="E223" s="4" t="s">
        <v>732</v>
      </c>
      <c r="F223" s="4" t="s">
        <v>90</v>
      </c>
      <c r="G223" s="4" t="s">
        <v>19</v>
      </c>
      <c r="H223" s="4" t="s">
        <v>25</v>
      </c>
      <c r="I223" s="4" t="str">
        <f t="shared" si="2"/>
        <v>Lisa Young</v>
      </c>
      <c r="J223" s="4" t="str">
        <f t="shared" ref="J223:K223" si="226">TRIM(PROPER(E223))</f>
        <v>Maybury</v>
      </c>
      <c r="K223" s="4" t="str">
        <f t="shared" si="226"/>
        <v>Georgia</v>
      </c>
      <c r="L223" s="4" t="str">
        <f t="shared" si="4"/>
        <v>Male</v>
      </c>
      <c r="M223" s="4" t="str">
        <f t="shared" si="5"/>
        <v>Platinum</v>
      </c>
      <c r="N223" s="4" t="str">
        <f t="shared" si="6"/>
        <v>OK</v>
      </c>
    </row>
    <row r="224" ht="14.25" customHeight="1">
      <c r="A224" s="4" t="s">
        <v>733</v>
      </c>
      <c r="B224" s="4" t="s">
        <v>734</v>
      </c>
      <c r="C224" s="4">
        <v>35.0</v>
      </c>
      <c r="D224" s="4" t="s">
        <v>16</v>
      </c>
      <c r="E224" s="4" t="s">
        <v>735</v>
      </c>
      <c r="F224" s="4" t="s">
        <v>243</v>
      </c>
      <c r="G224" s="4" t="s">
        <v>19</v>
      </c>
      <c r="H224" s="4" t="s">
        <v>25</v>
      </c>
      <c r="I224" s="4" t="str">
        <f t="shared" si="2"/>
        <v>Alejandro Doyle</v>
      </c>
      <c r="J224" s="4" t="str">
        <f t="shared" ref="J224:K224" si="227">TRIM(PROPER(E224))</f>
        <v>East Crystalton</v>
      </c>
      <c r="K224" s="4" t="str">
        <f t="shared" si="227"/>
        <v>New Mexico</v>
      </c>
      <c r="L224" s="4" t="str">
        <f t="shared" si="4"/>
        <v>Male</v>
      </c>
      <c r="M224" s="4" t="str">
        <f t="shared" si="5"/>
        <v>Platinum</v>
      </c>
      <c r="N224" s="4" t="str">
        <f t="shared" si="6"/>
        <v>OK</v>
      </c>
    </row>
    <row r="225" ht="14.25" customHeight="1">
      <c r="A225" s="4" t="s">
        <v>736</v>
      </c>
      <c r="B225" s="4" t="s">
        <v>737</v>
      </c>
      <c r="C225" s="4">
        <v>50.0</v>
      </c>
      <c r="D225" s="4" t="s">
        <v>16</v>
      </c>
      <c r="E225" s="4" t="s">
        <v>738</v>
      </c>
      <c r="F225" s="4" t="s">
        <v>277</v>
      </c>
      <c r="G225" s="4" t="s">
        <v>19</v>
      </c>
      <c r="H225" s="4" t="s">
        <v>25</v>
      </c>
      <c r="I225" s="4" t="str">
        <f t="shared" si="2"/>
        <v>Robert Harris</v>
      </c>
      <c r="J225" s="4" t="str">
        <f t="shared" ref="J225:K225" si="228">TRIM(PROPER(E225))</f>
        <v>East Jeremy</v>
      </c>
      <c r="K225" s="4" t="str">
        <f t="shared" si="228"/>
        <v>Iowa</v>
      </c>
      <c r="L225" s="4" t="str">
        <f t="shared" si="4"/>
        <v>Male</v>
      </c>
      <c r="M225" s="4" t="str">
        <f t="shared" si="5"/>
        <v>Platinum</v>
      </c>
      <c r="N225" s="4" t="str">
        <f t="shared" si="6"/>
        <v>OK</v>
      </c>
    </row>
    <row r="226" ht="14.25" customHeight="1">
      <c r="A226" s="4" t="s">
        <v>739</v>
      </c>
      <c r="B226" s="4" t="s">
        <v>740</v>
      </c>
      <c r="C226" s="4">
        <v>29.0</v>
      </c>
      <c r="D226" s="4" t="s">
        <v>16</v>
      </c>
      <c r="E226" s="4" t="s">
        <v>741</v>
      </c>
      <c r="F226" s="4" t="s">
        <v>123</v>
      </c>
      <c r="G226" s="4" t="s">
        <v>19</v>
      </c>
      <c r="H226" s="4" t="s">
        <v>39</v>
      </c>
      <c r="I226" s="4" t="str">
        <f t="shared" si="2"/>
        <v>Anthony Morgan</v>
      </c>
      <c r="J226" s="4" t="str">
        <f t="shared" ref="J226:K226" si="229">TRIM(PROPER(E226))</f>
        <v>New Anthonyfurt</v>
      </c>
      <c r="K226" s="4" t="str">
        <f t="shared" si="229"/>
        <v>Missouri</v>
      </c>
      <c r="L226" s="4" t="str">
        <f t="shared" si="4"/>
        <v>Male</v>
      </c>
      <c r="M226" s="4" t="str">
        <f t="shared" si="5"/>
        <v>Silver</v>
      </c>
      <c r="N226" s="4" t="str">
        <f t="shared" si="6"/>
        <v>OK</v>
      </c>
    </row>
    <row r="227" ht="14.25" customHeight="1">
      <c r="A227" s="4" t="s">
        <v>742</v>
      </c>
      <c r="B227" s="4" t="s">
        <v>743</v>
      </c>
      <c r="C227" s="4">
        <v>46.0</v>
      </c>
      <c r="D227" s="4" t="s">
        <v>22</v>
      </c>
      <c r="E227" s="4" t="s">
        <v>744</v>
      </c>
      <c r="F227" s="4" t="s">
        <v>127</v>
      </c>
      <c r="G227" s="4" t="s">
        <v>19</v>
      </c>
      <c r="H227" s="4" t="s">
        <v>25</v>
      </c>
      <c r="I227" s="4" t="str">
        <f t="shared" si="2"/>
        <v>Elizabeth Stanley</v>
      </c>
      <c r="J227" s="4" t="str">
        <f t="shared" ref="J227:K227" si="230">TRIM(PROPER(E227))</f>
        <v>Bethanyton</v>
      </c>
      <c r="K227" s="4" t="str">
        <f t="shared" si="230"/>
        <v>Utah</v>
      </c>
      <c r="L227" s="4" t="str">
        <f t="shared" si="4"/>
        <v>Female</v>
      </c>
      <c r="M227" s="4" t="str">
        <f t="shared" si="5"/>
        <v>Platinum</v>
      </c>
      <c r="N227" s="4" t="str">
        <f t="shared" si="6"/>
        <v>OK</v>
      </c>
    </row>
    <row r="228" ht="14.25" customHeight="1">
      <c r="A228" s="4" t="s">
        <v>745</v>
      </c>
      <c r="B228" s="4" t="s">
        <v>746</v>
      </c>
      <c r="C228" s="4">
        <v>54.0</v>
      </c>
      <c r="D228" s="4" t="s">
        <v>16</v>
      </c>
      <c r="E228" s="4" t="s">
        <v>226</v>
      </c>
      <c r="F228" s="4" t="s">
        <v>173</v>
      </c>
      <c r="G228" s="4" t="s">
        <v>19</v>
      </c>
      <c r="H228" s="4" t="s">
        <v>56</v>
      </c>
      <c r="I228" s="4" t="str">
        <f t="shared" si="2"/>
        <v>Alexis Castaneda</v>
      </c>
      <c r="J228" s="4" t="str">
        <f t="shared" ref="J228:K228" si="231">TRIM(PROPER(E228))</f>
        <v>Morrisbury</v>
      </c>
      <c r="K228" s="4" t="str">
        <f t="shared" si="231"/>
        <v>Alaska</v>
      </c>
      <c r="L228" s="4" t="str">
        <f t="shared" si="4"/>
        <v>Male</v>
      </c>
      <c r="M228" s="4" t="str">
        <f t="shared" si="5"/>
        <v>Gold</v>
      </c>
      <c r="N228" s="4" t="str">
        <f t="shared" si="6"/>
        <v>OK</v>
      </c>
    </row>
    <row r="229" ht="14.25" customHeight="1">
      <c r="A229" s="4" t="s">
        <v>747</v>
      </c>
      <c r="B229" s="4" t="s">
        <v>748</v>
      </c>
      <c r="C229" s="4">
        <v>63.0</v>
      </c>
      <c r="D229" s="4" t="s">
        <v>22</v>
      </c>
      <c r="E229" s="4" t="s">
        <v>749</v>
      </c>
      <c r="F229" s="4" t="s">
        <v>71</v>
      </c>
      <c r="G229" s="4" t="s">
        <v>19</v>
      </c>
      <c r="H229" s="4" t="s">
        <v>56</v>
      </c>
      <c r="I229" s="4" t="str">
        <f t="shared" si="2"/>
        <v>Gregory Pham</v>
      </c>
      <c r="J229" s="4" t="str">
        <f t="shared" ref="J229:K229" si="232">TRIM(PROPER(E229))</f>
        <v>Pollardton</v>
      </c>
      <c r="K229" s="4" t="str">
        <f t="shared" si="232"/>
        <v>Kansas</v>
      </c>
      <c r="L229" s="4" t="str">
        <f t="shared" si="4"/>
        <v>Female</v>
      </c>
      <c r="M229" s="4" t="str">
        <f t="shared" si="5"/>
        <v>Gold</v>
      </c>
      <c r="N229" s="4" t="str">
        <f t="shared" si="6"/>
        <v>OK</v>
      </c>
    </row>
    <row r="230" ht="14.25" customHeight="1">
      <c r="A230" s="4" t="s">
        <v>750</v>
      </c>
      <c r="B230" s="4" t="s">
        <v>751</v>
      </c>
      <c r="C230" s="4">
        <v>52.0</v>
      </c>
      <c r="D230" s="4" t="s">
        <v>22</v>
      </c>
      <c r="E230" s="4" t="s">
        <v>405</v>
      </c>
      <c r="F230" s="4" t="s">
        <v>127</v>
      </c>
      <c r="G230" s="4" t="s">
        <v>19</v>
      </c>
      <c r="H230" s="4" t="s">
        <v>56</v>
      </c>
      <c r="I230" s="4" t="str">
        <f t="shared" si="2"/>
        <v>Casey Flores</v>
      </c>
      <c r="J230" s="4" t="str">
        <f t="shared" ref="J230:K230" si="233">TRIM(PROPER(E230))</f>
        <v>Lake Michael</v>
      </c>
      <c r="K230" s="4" t="str">
        <f t="shared" si="233"/>
        <v>Utah</v>
      </c>
      <c r="L230" s="4" t="str">
        <f t="shared" si="4"/>
        <v>Female</v>
      </c>
      <c r="M230" s="4" t="str">
        <f t="shared" si="5"/>
        <v>Gold</v>
      </c>
      <c r="N230" s="4" t="str">
        <f t="shared" si="6"/>
        <v>OK</v>
      </c>
    </row>
    <row r="231" ht="14.25" customHeight="1">
      <c r="A231" s="4" t="s">
        <v>752</v>
      </c>
      <c r="B231" s="4" t="s">
        <v>753</v>
      </c>
      <c r="C231" s="4">
        <v>32.0</v>
      </c>
      <c r="D231" s="4" t="s">
        <v>22</v>
      </c>
      <c r="E231" s="4" t="s">
        <v>754</v>
      </c>
      <c r="F231" s="4" t="s">
        <v>150</v>
      </c>
      <c r="G231" s="4" t="s">
        <v>19</v>
      </c>
      <c r="H231" s="4" t="s">
        <v>34</v>
      </c>
      <c r="I231" s="4" t="str">
        <f t="shared" si="2"/>
        <v>Tanner Thompson</v>
      </c>
      <c r="J231" s="4" t="str">
        <f t="shared" ref="J231:K231" si="234">TRIM(PROPER(E231))</f>
        <v>Port Lisashire</v>
      </c>
      <c r="K231" s="4" t="str">
        <f t="shared" si="234"/>
        <v>Maryland</v>
      </c>
      <c r="L231" s="4" t="str">
        <f t="shared" si="4"/>
        <v>Female</v>
      </c>
      <c r="M231" s="4" t="str">
        <f t="shared" si="5"/>
        <v>Bronze</v>
      </c>
      <c r="N231" s="4" t="str">
        <f t="shared" si="6"/>
        <v>OK</v>
      </c>
    </row>
    <row r="232" ht="14.25" customHeight="1">
      <c r="A232" s="4" t="s">
        <v>755</v>
      </c>
      <c r="B232" s="4" t="s">
        <v>756</v>
      </c>
      <c r="C232" s="4">
        <v>29.0</v>
      </c>
      <c r="D232" s="4" t="s">
        <v>16</v>
      </c>
      <c r="E232" s="4" t="s">
        <v>757</v>
      </c>
      <c r="F232" s="4" t="s">
        <v>260</v>
      </c>
      <c r="G232" s="4" t="s">
        <v>19</v>
      </c>
      <c r="H232" s="4" t="s">
        <v>34</v>
      </c>
      <c r="I232" s="4" t="str">
        <f t="shared" si="2"/>
        <v>Timothy Sanders</v>
      </c>
      <c r="J232" s="4" t="str">
        <f t="shared" ref="J232:K232" si="235">TRIM(PROPER(E232))</f>
        <v>Aaronmouth</v>
      </c>
      <c r="K232" s="4" t="str">
        <f t="shared" si="235"/>
        <v>Florida</v>
      </c>
      <c r="L232" s="4" t="str">
        <f t="shared" si="4"/>
        <v>Male</v>
      </c>
      <c r="M232" s="4" t="str">
        <f t="shared" si="5"/>
        <v>Bronze</v>
      </c>
      <c r="N232" s="4" t="str">
        <f t="shared" si="6"/>
        <v>OK</v>
      </c>
    </row>
    <row r="233" ht="14.25" customHeight="1">
      <c r="A233" s="4" t="s">
        <v>758</v>
      </c>
      <c r="B233" s="4" t="s">
        <v>759</v>
      </c>
      <c r="C233" s="4">
        <v>22.0</v>
      </c>
      <c r="D233" s="4" t="s">
        <v>22</v>
      </c>
      <c r="E233" s="4" t="s">
        <v>760</v>
      </c>
      <c r="F233" s="4" t="s">
        <v>327</v>
      </c>
      <c r="G233" s="4" t="s">
        <v>19</v>
      </c>
      <c r="H233" s="4" t="s">
        <v>34</v>
      </c>
      <c r="I233" s="4" t="str">
        <f t="shared" si="2"/>
        <v>Timothy Juarez</v>
      </c>
      <c r="J233" s="4" t="str">
        <f t="shared" ref="J233:K233" si="236">TRIM(PROPER(E233))</f>
        <v>Grahamstad</v>
      </c>
      <c r="K233" s="4" t="str">
        <f t="shared" si="236"/>
        <v>South Carolina</v>
      </c>
      <c r="L233" s="4" t="str">
        <f t="shared" si="4"/>
        <v>Female</v>
      </c>
      <c r="M233" s="4" t="str">
        <f t="shared" si="5"/>
        <v>Bronze</v>
      </c>
      <c r="N233" s="4" t="str">
        <f t="shared" si="6"/>
        <v>OK</v>
      </c>
    </row>
    <row r="234" ht="14.25" customHeight="1">
      <c r="A234" s="4" t="s">
        <v>761</v>
      </c>
      <c r="B234" s="4" t="s">
        <v>762</v>
      </c>
      <c r="C234" s="4">
        <v>27.0</v>
      </c>
      <c r="D234" s="4" t="s">
        <v>22</v>
      </c>
      <c r="E234" s="4" t="s">
        <v>763</v>
      </c>
      <c r="F234" s="4" t="s">
        <v>97</v>
      </c>
      <c r="G234" s="4" t="s">
        <v>19</v>
      </c>
      <c r="H234" s="4" t="s">
        <v>25</v>
      </c>
      <c r="I234" s="4" t="str">
        <f t="shared" si="2"/>
        <v>Christy Hill</v>
      </c>
      <c r="J234" s="4" t="str">
        <f t="shared" ref="J234:K234" si="237">TRIM(PROPER(E234))</f>
        <v>Tammyton</v>
      </c>
      <c r="K234" s="4" t="str">
        <f t="shared" si="237"/>
        <v>New Jersey</v>
      </c>
      <c r="L234" s="4" t="str">
        <f t="shared" si="4"/>
        <v>Female</v>
      </c>
      <c r="M234" s="4" t="str">
        <f t="shared" si="5"/>
        <v>Platinum</v>
      </c>
      <c r="N234" s="4" t="str">
        <f t="shared" si="6"/>
        <v>OK</v>
      </c>
    </row>
    <row r="235" ht="14.25" customHeight="1">
      <c r="A235" s="4" t="s">
        <v>764</v>
      </c>
      <c r="B235" s="4" t="s">
        <v>765</v>
      </c>
      <c r="C235" s="4">
        <v>59.0</v>
      </c>
      <c r="D235" s="4" t="s">
        <v>16</v>
      </c>
      <c r="E235" s="4" t="s">
        <v>766</v>
      </c>
      <c r="F235" s="4" t="s">
        <v>51</v>
      </c>
      <c r="G235" s="4" t="s">
        <v>19</v>
      </c>
      <c r="H235" s="4" t="s">
        <v>39</v>
      </c>
      <c r="I235" s="4" t="str">
        <f t="shared" si="2"/>
        <v>Michelle Gonzalez</v>
      </c>
      <c r="J235" s="4" t="str">
        <f t="shared" ref="J235:K235" si="238">TRIM(PROPER(E235))</f>
        <v>Clarkport</v>
      </c>
      <c r="K235" s="4" t="str">
        <f t="shared" si="238"/>
        <v>West Virginia</v>
      </c>
      <c r="L235" s="4" t="str">
        <f t="shared" si="4"/>
        <v>Male</v>
      </c>
      <c r="M235" s="4" t="str">
        <f t="shared" si="5"/>
        <v>Silver</v>
      </c>
      <c r="N235" s="4" t="str">
        <f t="shared" si="6"/>
        <v>OK</v>
      </c>
    </row>
    <row r="236" ht="14.25" customHeight="1">
      <c r="A236" s="4" t="s">
        <v>767</v>
      </c>
      <c r="B236" s="4" t="s">
        <v>768</v>
      </c>
      <c r="C236" s="4">
        <v>43.0</v>
      </c>
      <c r="D236" s="4" t="s">
        <v>22</v>
      </c>
      <c r="E236" s="4" t="s">
        <v>769</v>
      </c>
      <c r="F236" s="4" t="s">
        <v>71</v>
      </c>
      <c r="G236" s="4" t="s">
        <v>19</v>
      </c>
      <c r="H236" s="4" t="s">
        <v>56</v>
      </c>
      <c r="I236" s="4" t="str">
        <f t="shared" si="2"/>
        <v>Nathaniel Hill</v>
      </c>
      <c r="J236" s="4" t="str">
        <f t="shared" ref="J236:K236" si="239">TRIM(PROPER(E236))</f>
        <v>Lake Mark</v>
      </c>
      <c r="K236" s="4" t="str">
        <f t="shared" si="239"/>
        <v>Kansas</v>
      </c>
      <c r="L236" s="4" t="str">
        <f t="shared" si="4"/>
        <v>Female</v>
      </c>
      <c r="M236" s="4" t="str">
        <f t="shared" si="5"/>
        <v>Gold</v>
      </c>
      <c r="N236" s="4" t="str">
        <f t="shared" si="6"/>
        <v>OK</v>
      </c>
    </row>
    <row r="237" ht="14.25" customHeight="1">
      <c r="A237" s="4" t="s">
        <v>770</v>
      </c>
      <c r="B237" s="4" t="s">
        <v>771</v>
      </c>
      <c r="C237" s="4">
        <v>28.0</v>
      </c>
      <c r="D237" s="4" t="s">
        <v>22</v>
      </c>
      <c r="E237" s="4" t="s">
        <v>772</v>
      </c>
      <c r="F237" s="4" t="s">
        <v>101</v>
      </c>
      <c r="G237" s="4" t="s">
        <v>19</v>
      </c>
      <c r="H237" s="4" t="s">
        <v>34</v>
      </c>
      <c r="I237" s="4" t="str">
        <f t="shared" si="2"/>
        <v>Jon Ortiz</v>
      </c>
      <c r="J237" s="4" t="str">
        <f t="shared" ref="J237:K237" si="240">TRIM(PROPER(E237))</f>
        <v>South Angelaport</v>
      </c>
      <c r="K237" s="4" t="str">
        <f t="shared" si="240"/>
        <v>Delaware</v>
      </c>
      <c r="L237" s="4" t="str">
        <f t="shared" si="4"/>
        <v>Female</v>
      </c>
      <c r="M237" s="4" t="str">
        <f t="shared" si="5"/>
        <v>Bronze</v>
      </c>
      <c r="N237" s="4" t="str">
        <f t="shared" si="6"/>
        <v>OK</v>
      </c>
    </row>
    <row r="238" ht="14.25" customHeight="1">
      <c r="A238" s="4" t="s">
        <v>773</v>
      </c>
      <c r="B238" s="4" t="s">
        <v>774</v>
      </c>
      <c r="C238" s="4">
        <v>42.0</v>
      </c>
      <c r="D238" s="4" t="s">
        <v>22</v>
      </c>
      <c r="E238" s="4" t="s">
        <v>775</v>
      </c>
      <c r="F238" s="4" t="s">
        <v>297</v>
      </c>
      <c r="G238" s="4" t="s">
        <v>19</v>
      </c>
      <c r="H238" s="4" t="s">
        <v>34</v>
      </c>
      <c r="I238" s="4" t="str">
        <f t="shared" si="2"/>
        <v>Joshua Wilson</v>
      </c>
      <c r="J238" s="4" t="str">
        <f t="shared" ref="J238:K238" si="241">TRIM(PROPER(E238))</f>
        <v>North Larryport</v>
      </c>
      <c r="K238" s="4" t="str">
        <f t="shared" si="241"/>
        <v>Virginia</v>
      </c>
      <c r="L238" s="4" t="str">
        <f t="shared" si="4"/>
        <v>Female</v>
      </c>
      <c r="M238" s="4" t="str">
        <f t="shared" si="5"/>
        <v>Bronze</v>
      </c>
      <c r="N238" s="4" t="str">
        <f t="shared" si="6"/>
        <v>OK</v>
      </c>
    </row>
    <row r="239" ht="14.25" customHeight="1">
      <c r="A239" s="4" t="s">
        <v>776</v>
      </c>
      <c r="B239" s="4" t="s">
        <v>777</v>
      </c>
      <c r="C239" s="4">
        <v>41.0</v>
      </c>
      <c r="D239" s="4" t="s">
        <v>22</v>
      </c>
      <c r="E239" s="4" t="s">
        <v>778</v>
      </c>
      <c r="F239" s="4" t="s">
        <v>75</v>
      </c>
      <c r="G239" s="4" t="s">
        <v>19</v>
      </c>
      <c r="H239" s="4" t="s">
        <v>56</v>
      </c>
      <c r="I239" s="4" t="str">
        <f t="shared" si="2"/>
        <v>Wesley Short</v>
      </c>
      <c r="J239" s="4" t="str">
        <f t="shared" ref="J239:K239" si="242">TRIM(PROPER(E239))</f>
        <v>Susanstad</v>
      </c>
      <c r="K239" s="4" t="str">
        <f t="shared" si="242"/>
        <v>Montana</v>
      </c>
      <c r="L239" s="4" t="str">
        <f t="shared" si="4"/>
        <v>Female</v>
      </c>
      <c r="M239" s="4" t="str">
        <f t="shared" si="5"/>
        <v>Gold</v>
      </c>
      <c r="N239" s="4" t="str">
        <f t="shared" si="6"/>
        <v>OK</v>
      </c>
    </row>
    <row r="240" ht="14.25" customHeight="1">
      <c r="A240" s="4" t="s">
        <v>779</v>
      </c>
      <c r="B240" s="4" t="s">
        <v>780</v>
      </c>
      <c r="C240" s="4">
        <v>40.0</v>
      </c>
      <c r="D240" s="4" t="s">
        <v>16</v>
      </c>
      <c r="E240" s="4" t="s">
        <v>781</v>
      </c>
      <c r="F240" s="4" t="s">
        <v>51</v>
      </c>
      <c r="G240" s="4" t="s">
        <v>19</v>
      </c>
      <c r="H240" s="4" t="s">
        <v>25</v>
      </c>
      <c r="I240" s="4" t="str">
        <f t="shared" si="2"/>
        <v>Steven Smith</v>
      </c>
      <c r="J240" s="4" t="str">
        <f t="shared" ref="J240:K240" si="243">TRIM(PROPER(E240))</f>
        <v>Port Krista</v>
      </c>
      <c r="K240" s="4" t="str">
        <f t="shared" si="243"/>
        <v>West Virginia</v>
      </c>
      <c r="L240" s="4" t="str">
        <f t="shared" si="4"/>
        <v>Male</v>
      </c>
      <c r="M240" s="4" t="str">
        <f t="shared" si="5"/>
        <v>Platinum</v>
      </c>
      <c r="N240" s="4" t="str">
        <f t="shared" si="6"/>
        <v>OK</v>
      </c>
    </row>
    <row r="241" ht="14.25" customHeight="1">
      <c r="A241" s="4" t="s">
        <v>782</v>
      </c>
      <c r="B241" s="4" t="s">
        <v>783</v>
      </c>
      <c r="C241" s="4">
        <v>58.0</v>
      </c>
      <c r="D241" s="4" t="s">
        <v>22</v>
      </c>
      <c r="E241" s="4" t="s">
        <v>784</v>
      </c>
      <c r="F241" s="4" t="s">
        <v>194</v>
      </c>
      <c r="G241" s="4" t="s">
        <v>19</v>
      </c>
      <c r="H241" s="4" t="s">
        <v>25</v>
      </c>
      <c r="I241" s="4" t="str">
        <f t="shared" si="2"/>
        <v>Maria Hill</v>
      </c>
      <c r="J241" s="4" t="str">
        <f t="shared" ref="J241:K241" si="244">TRIM(PROPER(E241))</f>
        <v>Zamoraborough</v>
      </c>
      <c r="K241" s="4" t="str">
        <f t="shared" si="244"/>
        <v>Nevada</v>
      </c>
      <c r="L241" s="4" t="str">
        <f t="shared" si="4"/>
        <v>Female</v>
      </c>
      <c r="M241" s="4" t="str">
        <f t="shared" si="5"/>
        <v>Platinum</v>
      </c>
      <c r="N241" s="4" t="str">
        <f t="shared" si="6"/>
        <v>OK</v>
      </c>
    </row>
    <row r="242" ht="14.25" customHeight="1">
      <c r="A242" s="4" t="s">
        <v>785</v>
      </c>
      <c r="B242" s="4" t="s">
        <v>786</v>
      </c>
      <c r="C242" s="4">
        <v>59.0</v>
      </c>
      <c r="D242" s="4" t="s">
        <v>22</v>
      </c>
      <c r="E242" s="4" t="s">
        <v>787</v>
      </c>
      <c r="F242" s="4" t="s">
        <v>166</v>
      </c>
      <c r="G242" s="4" t="s">
        <v>19</v>
      </c>
      <c r="H242" s="4" t="s">
        <v>25</v>
      </c>
      <c r="I242" s="4" t="str">
        <f t="shared" si="2"/>
        <v>William Hull</v>
      </c>
      <c r="J242" s="4" t="str">
        <f t="shared" ref="J242:K242" si="245">TRIM(PROPER(E242))</f>
        <v>Heathfort</v>
      </c>
      <c r="K242" s="4" t="str">
        <f t="shared" si="245"/>
        <v>Michigan</v>
      </c>
      <c r="L242" s="4" t="str">
        <f t="shared" si="4"/>
        <v>Female</v>
      </c>
      <c r="M242" s="4" t="str">
        <f t="shared" si="5"/>
        <v>Platinum</v>
      </c>
      <c r="N242" s="4" t="str">
        <f t="shared" si="6"/>
        <v>OK</v>
      </c>
    </row>
    <row r="243" ht="14.25" customHeight="1">
      <c r="A243" s="4" t="s">
        <v>788</v>
      </c>
      <c r="B243" s="4" t="s">
        <v>789</v>
      </c>
      <c r="C243" s="4">
        <v>31.0</v>
      </c>
      <c r="D243" s="4" t="s">
        <v>16</v>
      </c>
      <c r="E243" s="4" t="s">
        <v>790</v>
      </c>
      <c r="F243" s="4" t="s">
        <v>297</v>
      </c>
      <c r="G243" s="4" t="s">
        <v>19</v>
      </c>
      <c r="H243" s="4" t="s">
        <v>25</v>
      </c>
      <c r="I243" s="4" t="str">
        <f t="shared" si="2"/>
        <v>Mr. William Horton</v>
      </c>
      <c r="J243" s="4" t="str">
        <f t="shared" ref="J243:K243" si="246">TRIM(PROPER(E243))</f>
        <v>Dawsonchester</v>
      </c>
      <c r="K243" s="4" t="str">
        <f t="shared" si="246"/>
        <v>Virginia</v>
      </c>
      <c r="L243" s="4" t="str">
        <f t="shared" si="4"/>
        <v>Male</v>
      </c>
      <c r="M243" s="4" t="str">
        <f t="shared" si="5"/>
        <v>Platinum</v>
      </c>
      <c r="N243" s="4" t="str">
        <f t="shared" si="6"/>
        <v>OK</v>
      </c>
    </row>
    <row r="244" ht="14.25" customHeight="1">
      <c r="A244" s="4" t="s">
        <v>791</v>
      </c>
      <c r="B244" s="4" t="s">
        <v>792</v>
      </c>
      <c r="C244" s="4">
        <v>58.0</v>
      </c>
      <c r="D244" s="4" t="s">
        <v>22</v>
      </c>
      <c r="E244" s="4" t="s">
        <v>793</v>
      </c>
      <c r="F244" s="4" t="s">
        <v>177</v>
      </c>
      <c r="G244" s="4" t="s">
        <v>19</v>
      </c>
      <c r="H244" s="4" t="s">
        <v>39</v>
      </c>
      <c r="I244" s="4" t="str">
        <f t="shared" si="2"/>
        <v>William Jackson</v>
      </c>
      <c r="J244" s="4" t="str">
        <f t="shared" ref="J244:K244" si="247">TRIM(PROPER(E244))</f>
        <v>New Tina</v>
      </c>
      <c r="K244" s="4" t="str">
        <f t="shared" si="247"/>
        <v>Connecticut</v>
      </c>
      <c r="L244" s="4" t="str">
        <f t="shared" si="4"/>
        <v>Female</v>
      </c>
      <c r="M244" s="4" t="str">
        <f t="shared" si="5"/>
        <v>Silver</v>
      </c>
      <c r="N244" s="4" t="str">
        <f t="shared" si="6"/>
        <v>OK</v>
      </c>
    </row>
    <row r="245" ht="14.25" customHeight="1">
      <c r="A245" s="4" t="s">
        <v>794</v>
      </c>
      <c r="B245" s="4" t="s">
        <v>795</v>
      </c>
      <c r="C245" s="4">
        <v>56.0</v>
      </c>
      <c r="D245" s="4" t="s">
        <v>22</v>
      </c>
      <c r="E245" s="4" t="s">
        <v>796</v>
      </c>
      <c r="F245" s="4" t="s">
        <v>369</v>
      </c>
      <c r="G245" s="4" t="s">
        <v>19</v>
      </c>
      <c r="H245" s="4" t="s">
        <v>56</v>
      </c>
      <c r="I245" s="4" t="str">
        <f t="shared" si="2"/>
        <v>Brian Hammond</v>
      </c>
      <c r="J245" s="4" t="str">
        <f t="shared" ref="J245:K245" si="248">TRIM(PROPER(E245))</f>
        <v>North Nicholas</v>
      </c>
      <c r="K245" s="4" t="str">
        <f t="shared" si="248"/>
        <v>Texas</v>
      </c>
      <c r="L245" s="4" t="str">
        <f t="shared" si="4"/>
        <v>Female</v>
      </c>
      <c r="M245" s="4" t="str">
        <f t="shared" si="5"/>
        <v>Gold</v>
      </c>
      <c r="N245" s="4" t="str">
        <f t="shared" si="6"/>
        <v>OK</v>
      </c>
    </row>
    <row r="246" ht="14.25" customHeight="1">
      <c r="A246" s="4" t="s">
        <v>797</v>
      </c>
      <c r="B246" s="4" t="s">
        <v>798</v>
      </c>
      <c r="C246" s="4">
        <v>19.0</v>
      </c>
      <c r="D246" s="4" t="s">
        <v>16</v>
      </c>
      <c r="E246" s="4" t="s">
        <v>799</v>
      </c>
      <c r="F246" s="4" t="s">
        <v>127</v>
      </c>
      <c r="G246" s="4" t="s">
        <v>19</v>
      </c>
      <c r="H246" s="4" t="s">
        <v>34</v>
      </c>
      <c r="I246" s="4" t="str">
        <f t="shared" si="2"/>
        <v>Nancy Page</v>
      </c>
      <c r="J246" s="4" t="str">
        <f t="shared" ref="J246:K246" si="249">TRIM(PROPER(E246))</f>
        <v>West Julia</v>
      </c>
      <c r="K246" s="4" t="str">
        <f t="shared" si="249"/>
        <v>Utah</v>
      </c>
      <c r="L246" s="4" t="str">
        <f t="shared" si="4"/>
        <v>Male</v>
      </c>
      <c r="M246" s="4" t="str">
        <f t="shared" si="5"/>
        <v>Bronze</v>
      </c>
      <c r="N246" s="4" t="str">
        <f t="shared" si="6"/>
        <v>OK</v>
      </c>
    </row>
    <row r="247" ht="14.25" customHeight="1">
      <c r="A247" s="4" t="s">
        <v>800</v>
      </c>
      <c r="B247" s="4" t="s">
        <v>801</v>
      </c>
      <c r="C247" s="4">
        <v>57.0</v>
      </c>
      <c r="D247" s="4" t="s">
        <v>22</v>
      </c>
      <c r="E247" s="4" t="s">
        <v>802</v>
      </c>
      <c r="F247" s="4" t="s">
        <v>166</v>
      </c>
      <c r="G247" s="4" t="s">
        <v>19</v>
      </c>
      <c r="H247" s="4" t="s">
        <v>25</v>
      </c>
      <c r="I247" s="4" t="str">
        <f t="shared" si="2"/>
        <v>Laura Soto</v>
      </c>
      <c r="J247" s="4" t="str">
        <f t="shared" ref="J247:K247" si="250">TRIM(PROPER(E247))</f>
        <v>Rodriguezton</v>
      </c>
      <c r="K247" s="4" t="str">
        <f t="shared" si="250"/>
        <v>Michigan</v>
      </c>
      <c r="L247" s="4" t="str">
        <f t="shared" si="4"/>
        <v>Female</v>
      </c>
      <c r="M247" s="4" t="str">
        <f t="shared" si="5"/>
        <v>Platinum</v>
      </c>
      <c r="N247" s="4" t="str">
        <f t="shared" si="6"/>
        <v>OK</v>
      </c>
    </row>
    <row r="248" ht="14.25" customHeight="1">
      <c r="A248" s="4" t="s">
        <v>803</v>
      </c>
      <c r="B248" s="4" t="s">
        <v>804</v>
      </c>
      <c r="C248" s="4">
        <v>58.0</v>
      </c>
      <c r="D248" s="4" t="s">
        <v>16</v>
      </c>
      <c r="E248" s="4" t="s">
        <v>805</v>
      </c>
      <c r="F248" s="4" t="s">
        <v>301</v>
      </c>
      <c r="G248" s="4" t="s">
        <v>19</v>
      </c>
      <c r="H248" s="4" t="s">
        <v>34</v>
      </c>
      <c r="I248" s="4" t="str">
        <f t="shared" si="2"/>
        <v>Mary Russell</v>
      </c>
      <c r="J248" s="4" t="str">
        <f t="shared" ref="J248:K248" si="251">TRIM(PROPER(E248))</f>
        <v>South Regina</v>
      </c>
      <c r="K248" s="4" t="str">
        <f t="shared" si="251"/>
        <v>Arkansas</v>
      </c>
      <c r="L248" s="4" t="str">
        <f t="shared" si="4"/>
        <v>Male</v>
      </c>
      <c r="M248" s="4" t="str">
        <f t="shared" si="5"/>
        <v>Bronze</v>
      </c>
      <c r="N248" s="4" t="str">
        <f t="shared" si="6"/>
        <v>OK</v>
      </c>
    </row>
    <row r="249" ht="14.25" customHeight="1">
      <c r="A249" s="4" t="s">
        <v>806</v>
      </c>
      <c r="B249" s="4" t="s">
        <v>807</v>
      </c>
      <c r="C249" s="4">
        <v>32.0</v>
      </c>
      <c r="D249" s="4" t="s">
        <v>16</v>
      </c>
      <c r="E249" s="4" t="s">
        <v>808</v>
      </c>
      <c r="F249" s="4" t="s">
        <v>55</v>
      </c>
      <c r="G249" s="4" t="s">
        <v>19</v>
      </c>
      <c r="H249" s="4" t="s">
        <v>25</v>
      </c>
      <c r="I249" s="4" t="str">
        <f t="shared" si="2"/>
        <v>Douglas Rhodes</v>
      </c>
      <c r="J249" s="4" t="str">
        <f t="shared" ref="J249:K249" si="252">TRIM(PROPER(E249))</f>
        <v>Mikehaven</v>
      </c>
      <c r="K249" s="4" t="str">
        <f t="shared" si="252"/>
        <v>New Hampshire</v>
      </c>
      <c r="L249" s="4" t="str">
        <f t="shared" si="4"/>
        <v>Male</v>
      </c>
      <c r="M249" s="4" t="str">
        <f t="shared" si="5"/>
        <v>Platinum</v>
      </c>
      <c r="N249" s="4" t="str">
        <f t="shared" si="6"/>
        <v>OK</v>
      </c>
    </row>
    <row r="250" ht="14.25" customHeight="1">
      <c r="A250" s="4" t="s">
        <v>809</v>
      </c>
      <c r="B250" s="4" t="s">
        <v>810</v>
      </c>
      <c r="C250" s="4">
        <v>19.0</v>
      </c>
      <c r="D250" s="4" t="s">
        <v>16</v>
      </c>
      <c r="E250" s="4" t="s">
        <v>811</v>
      </c>
      <c r="F250" s="4" t="s">
        <v>194</v>
      </c>
      <c r="G250" s="4" t="s">
        <v>19</v>
      </c>
      <c r="H250" s="4" t="s">
        <v>56</v>
      </c>
      <c r="I250" s="4" t="str">
        <f t="shared" si="2"/>
        <v>Nicholas Webb</v>
      </c>
      <c r="J250" s="4" t="str">
        <f t="shared" ref="J250:K250" si="253">TRIM(PROPER(E250))</f>
        <v>Lake Timothy</v>
      </c>
      <c r="K250" s="4" t="str">
        <f t="shared" si="253"/>
        <v>Nevada</v>
      </c>
      <c r="L250" s="4" t="str">
        <f t="shared" si="4"/>
        <v>Male</v>
      </c>
      <c r="M250" s="4" t="str">
        <f t="shared" si="5"/>
        <v>Gold</v>
      </c>
      <c r="N250" s="4" t="str">
        <f t="shared" si="6"/>
        <v>OK</v>
      </c>
    </row>
    <row r="251" ht="14.25" customHeight="1">
      <c r="A251" s="4" t="s">
        <v>812</v>
      </c>
      <c r="B251" s="4" t="s">
        <v>813</v>
      </c>
      <c r="C251" s="4">
        <v>41.0</v>
      </c>
      <c r="D251" s="4" t="s">
        <v>22</v>
      </c>
      <c r="E251" s="4" t="s">
        <v>814</v>
      </c>
      <c r="F251" s="4" t="s">
        <v>67</v>
      </c>
      <c r="G251" s="4" t="s">
        <v>19</v>
      </c>
      <c r="H251" s="4" t="s">
        <v>56</v>
      </c>
      <c r="I251" s="4" t="str">
        <f t="shared" si="2"/>
        <v>Lauren George</v>
      </c>
      <c r="J251" s="4" t="str">
        <f t="shared" ref="J251:K251" si="254">TRIM(PROPER(E251))</f>
        <v>Garciamouth</v>
      </c>
      <c r="K251" s="4" t="str">
        <f t="shared" si="254"/>
        <v>New York</v>
      </c>
      <c r="L251" s="4" t="str">
        <f t="shared" si="4"/>
        <v>Female</v>
      </c>
      <c r="M251" s="4" t="str">
        <f t="shared" si="5"/>
        <v>Gold</v>
      </c>
      <c r="N251" s="4" t="str">
        <f t="shared" si="6"/>
        <v>OK</v>
      </c>
    </row>
    <row r="252" ht="14.25" customHeight="1">
      <c r="A252" s="4" t="s">
        <v>815</v>
      </c>
      <c r="B252" s="4" t="s">
        <v>816</v>
      </c>
      <c r="C252" s="4">
        <v>48.0</v>
      </c>
      <c r="D252" s="4" t="s">
        <v>16</v>
      </c>
      <c r="E252" s="4" t="s">
        <v>817</v>
      </c>
      <c r="F252" s="4" t="s">
        <v>101</v>
      </c>
      <c r="G252" s="4" t="s">
        <v>19</v>
      </c>
      <c r="H252" s="4" t="s">
        <v>25</v>
      </c>
      <c r="I252" s="4" t="str">
        <f t="shared" si="2"/>
        <v>Veronica Newman</v>
      </c>
      <c r="J252" s="4" t="str">
        <f t="shared" ref="J252:K252" si="255">TRIM(PROPER(E252))</f>
        <v>New Daniel</v>
      </c>
      <c r="K252" s="4" t="str">
        <f t="shared" si="255"/>
        <v>Delaware</v>
      </c>
      <c r="L252" s="4" t="str">
        <f t="shared" si="4"/>
        <v>Male</v>
      </c>
      <c r="M252" s="4" t="str">
        <f t="shared" si="5"/>
        <v>Platinum</v>
      </c>
      <c r="N252" s="4" t="str">
        <f t="shared" si="6"/>
        <v>OK</v>
      </c>
    </row>
    <row r="253" ht="14.25" customHeight="1">
      <c r="A253" s="4" t="s">
        <v>818</v>
      </c>
      <c r="B253" s="4" t="s">
        <v>819</v>
      </c>
      <c r="C253" s="4">
        <v>64.0</v>
      </c>
      <c r="D253" s="4" t="s">
        <v>16</v>
      </c>
      <c r="E253" s="4" t="s">
        <v>820</v>
      </c>
      <c r="F253" s="4" t="s">
        <v>29</v>
      </c>
      <c r="G253" s="4" t="s">
        <v>19</v>
      </c>
      <c r="H253" s="4" t="s">
        <v>39</v>
      </c>
      <c r="I253" s="4" t="str">
        <f t="shared" si="2"/>
        <v>Tyler Garner</v>
      </c>
      <c r="J253" s="4" t="str">
        <f t="shared" ref="J253:K253" si="256">TRIM(PROPER(E253))</f>
        <v>Port Coreyfort</v>
      </c>
      <c r="K253" s="4" t="str">
        <f t="shared" si="256"/>
        <v>Alabama</v>
      </c>
      <c r="L253" s="4" t="str">
        <f t="shared" si="4"/>
        <v>Male</v>
      </c>
      <c r="M253" s="4" t="str">
        <f t="shared" si="5"/>
        <v>Silver</v>
      </c>
      <c r="N253" s="4" t="str">
        <f t="shared" si="6"/>
        <v>OK</v>
      </c>
    </row>
    <row r="254" ht="14.25" customHeight="1">
      <c r="A254" s="4" t="s">
        <v>821</v>
      </c>
      <c r="B254" s="4" t="s">
        <v>822</v>
      </c>
      <c r="C254" s="4">
        <v>26.0</v>
      </c>
      <c r="D254" s="4" t="s">
        <v>16</v>
      </c>
      <c r="E254" s="4" t="s">
        <v>823</v>
      </c>
      <c r="F254" s="4" t="s">
        <v>47</v>
      </c>
      <c r="G254" s="4" t="s">
        <v>19</v>
      </c>
      <c r="H254" s="4" t="s">
        <v>39</v>
      </c>
      <c r="I254" s="4" t="str">
        <f t="shared" si="2"/>
        <v>John Mccoy</v>
      </c>
      <c r="J254" s="4" t="str">
        <f t="shared" ref="J254:K254" si="257">TRIM(PROPER(E254))</f>
        <v>Robinborough</v>
      </c>
      <c r="K254" s="4" t="str">
        <f t="shared" si="257"/>
        <v>South Dakota</v>
      </c>
      <c r="L254" s="4" t="str">
        <f t="shared" si="4"/>
        <v>Male</v>
      </c>
      <c r="M254" s="4" t="str">
        <f t="shared" si="5"/>
        <v>Silver</v>
      </c>
      <c r="N254" s="4" t="str">
        <f t="shared" si="6"/>
        <v>OK</v>
      </c>
    </row>
    <row r="255" ht="14.25" customHeight="1">
      <c r="A255" s="4" t="s">
        <v>824</v>
      </c>
      <c r="B255" s="4" t="s">
        <v>825</v>
      </c>
      <c r="C255" s="4">
        <v>32.0</v>
      </c>
      <c r="D255" s="4" t="s">
        <v>16</v>
      </c>
      <c r="E255" s="4" t="s">
        <v>826</v>
      </c>
      <c r="F255" s="4" t="s">
        <v>334</v>
      </c>
      <c r="G255" s="4" t="s">
        <v>19</v>
      </c>
      <c r="H255" s="4" t="s">
        <v>34</v>
      </c>
      <c r="I255" s="4" t="str">
        <f t="shared" si="2"/>
        <v>Dr. Ashley Yates Md</v>
      </c>
      <c r="J255" s="4" t="str">
        <f t="shared" ref="J255:K255" si="258">TRIM(PROPER(E255))</f>
        <v>New Maria</v>
      </c>
      <c r="K255" s="4" t="str">
        <f t="shared" si="258"/>
        <v>Wisconsin</v>
      </c>
      <c r="L255" s="4" t="str">
        <f t="shared" si="4"/>
        <v>Male</v>
      </c>
      <c r="M255" s="4" t="str">
        <f t="shared" si="5"/>
        <v>Bronze</v>
      </c>
      <c r="N255" s="4" t="str">
        <f t="shared" si="6"/>
        <v>OK</v>
      </c>
    </row>
    <row r="256" ht="14.25" customHeight="1">
      <c r="A256" s="4" t="s">
        <v>827</v>
      </c>
      <c r="B256" s="4" t="s">
        <v>828</v>
      </c>
      <c r="C256" s="4">
        <v>34.0</v>
      </c>
      <c r="D256" s="4" t="s">
        <v>16</v>
      </c>
      <c r="E256" s="4" t="s">
        <v>829</v>
      </c>
      <c r="F256" s="4" t="s">
        <v>173</v>
      </c>
      <c r="G256" s="4" t="s">
        <v>19</v>
      </c>
      <c r="H256" s="4" t="s">
        <v>39</v>
      </c>
      <c r="I256" s="4" t="str">
        <f t="shared" si="2"/>
        <v>Linda Kline</v>
      </c>
      <c r="J256" s="4" t="str">
        <f t="shared" ref="J256:K256" si="259">TRIM(PROPER(E256))</f>
        <v>Masseyland</v>
      </c>
      <c r="K256" s="4" t="str">
        <f t="shared" si="259"/>
        <v>Alaska</v>
      </c>
      <c r="L256" s="4" t="str">
        <f t="shared" si="4"/>
        <v>Male</v>
      </c>
      <c r="M256" s="4" t="str">
        <f t="shared" si="5"/>
        <v>Silver</v>
      </c>
      <c r="N256" s="4" t="str">
        <f t="shared" si="6"/>
        <v>OK</v>
      </c>
    </row>
    <row r="257" ht="14.25" customHeight="1">
      <c r="A257" s="4" t="s">
        <v>830</v>
      </c>
      <c r="B257" s="4" t="s">
        <v>831</v>
      </c>
      <c r="C257" s="4">
        <v>21.0</v>
      </c>
      <c r="D257" s="4" t="s">
        <v>16</v>
      </c>
      <c r="E257" s="4" t="s">
        <v>832</v>
      </c>
      <c r="F257" s="4" t="s">
        <v>33</v>
      </c>
      <c r="G257" s="4" t="s">
        <v>19</v>
      </c>
      <c r="H257" s="4" t="s">
        <v>56</v>
      </c>
      <c r="I257" s="4" t="str">
        <f t="shared" si="2"/>
        <v>Damon Perez</v>
      </c>
      <c r="J257" s="4" t="str">
        <f t="shared" ref="J257:K257" si="260">TRIM(PROPER(E257))</f>
        <v>Jasonton</v>
      </c>
      <c r="K257" s="4" t="str">
        <f t="shared" si="260"/>
        <v>Ohio</v>
      </c>
      <c r="L257" s="4" t="str">
        <f t="shared" si="4"/>
        <v>Male</v>
      </c>
      <c r="M257" s="4" t="str">
        <f t="shared" si="5"/>
        <v>Gold</v>
      </c>
      <c r="N257" s="4" t="str">
        <f t="shared" si="6"/>
        <v>OK</v>
      </c>
    </row>
    <row r="258" ht="14.25" customHeight="1">
      <c r="A258" s="4" t="s">
        <v>833</v>
      </c>
      <c r="B258" s="4" t="s">
        <v>834</v>
      </c>
      <c r="C258" s="4">
        <v>57.0</v>
      </c>
      <c r="D258" s="4" t="s">
        <v>16</v>
      </c>
      <c r="E258" s="4" t="s">
        <v>835</v>
      </c>
      <c r="F258" s="4" t="s">
        <v>301</v>
      </c>
      <c r="G258" s="4" t="s">
        <v>19</v>
      </c>
      <c r="H258" s="4" t="s">
        <v>25</v>
      </c>
      <c r="I258" s="4" t="str">
        <f t="shared" si="2"/>
        <v>Kristen Fischer</v>
      </c>
      <c r="J258" s="4" t="str">
        <f t="shared" ref="J258:K258" si="261">TRIM(PROPER(E258))</f>
        <v>Lake Christopher</v>
      </c>
      <c r="K258" s="4" t="str">
        <f t="shared" si="261"/>
        <v>Arkansas</v>
      </c>
      <c r="L258" s="4" t="str">
        <f t="shared" si="4"/>
        <v>Male</v>
      </c>
      <c r="M258" s="4" t="str">
        <f t="shared" si="5"/>
        <v>Platinum</v>
      </c>
      <c r="N258" s="4" t="str">
        <f t="shared" si="6"/>
        <v>OK</v>
      </c>
    </row>
    <row r="259" ht="14.25" customHeight="1">
      <c r="A259" s="4" t="s">
        <v>836</v>
      </c>
      <c r="B259" s="4" t="s">
        <v>837</v>
      </c>
      <c r="C259" s="4">
        <v>42.0</v>
      </c>
      <c r="D259" s="4" t="s">
        <v>16</v>
      </c>
      <c r="E259" s="4" t="s">
        <v>838</v>
      </c>
      <c r="F259" s="4" t="s">
        <v>729</v>
      </c>
      <c r="G259" s="4" t="s">
        <v>19</v>
      </c>
      <c r="H259" s="4" t="s">
        <v>39</v>
      </c>
      <c r="I259" s="4" t="str">
        <f t="shared" si="2"/>
        <v>Christopher David</v>
      </c>
      <c r="J259" s="4" t="str">
        <f t="shared" ref="J259:K259" si="262">TRIM(PROPER(E259))</f>
        <v>Karenmouth</v>
      </c>
      <c r="K259" s="4" t="str">
        <f t="shared" si="262"/>
        <v>Massachusetts</v>
      </c>
      <c r="L259" s="4" t="str">
        <f t="shared" si="4"/>
        <v>Male</v>
      </c>
      <c r="M259" s="4" t="str">
        <f t="shared" si="5"/>
        <v>Silver</v>
      </c>
      <c r="N259" s="4" t="str">
        <f t="shared" si="6"/>
        <v>OK</v>
      </c>
    </row>
    <row r="260" ht="14.25" customHeight="1">
      <c r="A260" s="4" t="s">
        <v>839</v>
      </c>
      <c r="B260" s="4" t="s">
        <v>840</v>
      </c>
      <c r="C260" s="4">
        <v>24.0</v>
      </c>
      <c r="D260" s="4" t="s">
        <v>22</v>
      </c>
      <c r="E260" s="4" t="s">
        <v>841</v>
      </c>
      <c r="F260" s="4" t="s">
        <v>369</v>
      </c>
      <c r="G260" s="4" t="s">
        <v>19</v>
      </c>
      <c r="H260" s="4" t="s">
        <v>25</v>
      </c>
      <c r="I260" s="4" t="str">
        <f t="shared" si="2"/>
        <v>Sarah Stewart</v>
      </c>
      <c r="J260" s="4" t="str">
        <f t="shared" ref="J260:K260" si="263">TRIM(PROPER(E260))</f>
        <v>East Richard</v>
      </c>
      <c r="K260" s="4" t="str">
        <f t="shared" si="263"/>
        <v>Texas</v>
      </c>
      <c r="L260" s="4" t="str">
        <f t="shared" si="4"/>
        <v>Female</v>
      </c>
      <c r="M260" s="4" t="str">
        <f t="shared" si="5"/>
        <v>Platinum</v>
      </c>
      <c r="N260" s="4" t="str">
        <f t="shared" si="6"/>
        <v>OK</v>
      </c>
    </row>
    <row r="261" ht="14.25" customHeight="1">
      <c r="A261" s="4" t="s">
        <v>842</v>
      </c>
      <c r="B261" s="4" t="s">
        <v>843</v>
      </c>
      <c r="C261" s="4">
        <v>32.0</v>
      </c>
      <c r="D261" s="4" t="s">
        <v>22</v>
      </c>
      <c r="E261" s="4" t="s">
        <v>844</v>
      </c>
      <c r="F261" s="4" t="s">
        <v>105</v>
      </c>
      <c r="G261" s="4" t="s">
        <v>19</v>
      </c>
      <c r="H261" s="4" t="s">
        <v>39</v>
      </c>
      <c r="I261" s="4" t="str">
        <f t="shared" si="2"/>
        <v>Beth Allen</v>
      </c>
      <c r="J261" s="4" t="str">
        <f t="shared" ref="J261:K261" si="264">TRIM(PROPER(E261))</f>
        <v>South Kathrynmouth</v>
      </c>
      <c r="K261" s="4" t="str">
        <f t="shared" si="264"/>
        <v>Oklahoma</v>
      </c>
      <c r="L261" s="4" t="str">
        <f t="shared" si="4"/>
        <v>Female</v>
      </c>
      <c r="M261" s="4" t="str">
        <f t="shared" si="5"/>
        <v>Silver</v>
      </c>
      <c r="N261" s="4" t="str">
        <f t="shared" si="6"/>
        <v>OK</v>
      </c>
    </row>
    <row r="262" ht="14.25" customHeight="1">
      <c r="A262" s="4" t="s">
        <v>845</v>
      </c>
      <c r="B262" s="4" t="s">
        <v>846</v>
      </c>
      <c r="C262" s="4">
        <v>63.0</v>
      </c>
      <c r="D262" s="4" t="s">
        <v>22</v>
      </c>
      <c r="E262" s="4" t="s">
        <v>847</v>
      </c>
      <c r="F262" s="4" t="s">
        <v>143</v>
      </c>
      <c r="G262" s="4" t="s">
        <v>19</v>
      </c>
      <c r="H262" s="4" t="s">
        <v>25</v>
      </c>
      <c r="I262" s="4" t="str">
        <f t="shared" si="2"/>
        <v>Russell Lamb</v>
      </c>
      <c r="J262" s="4" t="str">
        <f t="shared" ref="J262:K262" si="265">TRIM(PROPER(E262))</f>
        <v>North Jonathon</v>
      </c>
      <c r="K262" s="4" t="str">
        <f t="shared" si="265"/>
        <v>Arizona</v>
      </c>
      <c r="L262" s="4" t="str">
        <f t="shared" si="4"/>
        <v>Female</v>
      </c>
      <c r="M262" s="4" t="str">
        <f t="shared" si="5"/>
        <v>Platinum</v>
      </c>
      <c r="N262" s="4" t="str">
        <f t="shared" si="6"/>
        <v>OK</v>
      </c>
    </row>
    <row r="263" ht="14.25" customHeight="1">
      <c r="A263" s="4" t="s">
        <v>848</v>
      </c>
      <c r="B263" s="4" t="s">
        <v>849</v>
      </c>
      <c r="C263" s="4">
        <v>27.0</v>
      </c>
      <c r="D263" s="4" t="s">
        <v>22</v>
      </c>
      <c r="E263" s="4" t="s">
        <v>850</v>
      </c>
      <c r="F263" s="4" t="s">
        <v>43</v>
      </c>
      <c r="G263" s="4" t="s">
        <v>19</v>
      </c>
      <c r="H263" s="4" t="s">
        <v>39</v>
      </c>
      <c r="I263" s="4" t="str">
        <f t="shared" si="2"/>
        <v>Carol Bishop</v>
      </c>
      <c r="J263" s="4" t="str">
        <f t="shared" ref="J263:K263" si="266">TRIM(PROPER(E263))</f>
        <v>Lake Saramouth</v>
      </c>
      <c r="K263" s="4" t="str">
        <f t="shared" si="266"/>
        <v>Oregon</v>
      </c>
      <c r="L263" s="4" t="str">
        <f t="shared" si="4"/>
        <v>Female</v>
      </c>
      <c r="M263" s="4" t="str">
        <f t="shared" si="5"/>
        <v>Silver</v>
      </c>
      <c r="N263" s="4" t="str">
        <f t="shared" si="6"/>
        <v>OK</v>
      </c>
    </row>
    <row r="264" ht="14.25" customHeight="1">
      <c r="A264" s="4" t="s">
        <v>851</v>
      </c>
      <c r="B264" s="4" t="s">
        <v>852</v>
      </c>
      <c r="C264" s="4">
        <v>60.0</v>
      </c>
      <c r="D264" s="4" t="s">
        <v>22</v>
      </c>
      <c r="E264" s="4" t="s">
        <v>853</v>
      </c>
      <c r="F264" s="4" t="s">
        <v>75</v>
      </c>
      <c r="G264" s="4" t="s">
        <v>19</v>
      </c>
      <c r="H264" s="4" t="s">
        <v>39</v>
      </c>
      <c r="I264" s="4" t="str">
        <f t="shared" si="2"/>
        <v>Katherine Cowan</v>
      </c>
      <c r="J264" s="4" t="str">
        <f t="shared" ref="J264:K264" si="267">TRIM(PROPER(E264))</f>
        <v>New Ana</v>
      </c>
      <c r="K264" s="4" t="str">
        <f t="shared" si="267"/>
        <v>Montana</v>
      </c>
      <c r="L264" s="4" t="str">
        <f t="shared" si="4"/>
        <v>Female</v>
      </c>
      <c r="M264" s="4" t="str">
        <f t="shared" si="5"/>
        <v>Silver</v>
      </c>
      <c r="N264" s="4" t="str">
        <f t="shared" si="6"/>
        <v>OK</v>
      </c>
    </row>
    <row r="265" ht="14.25" customHeight="1">
      <c r="A265" s="4" t="s">
        <v>854</v>
      </c>
      <c r="B265" s="4" t="s">
        <v>855</v>
      </c>
      <c r="C265" s="4">
        <v>50.0</v>
      </c>
      <c r="D265" s="4" t="s">
        <v>16</v>
      </c>
      <c r="E265" s="4" t="s">
        <v>856</v>
      </c>
      <c r="F265" s="4" t="s">
        <v>338</v>
      </c>
      <c r="G265" s="4" t="s">
        <v>19</v>
      </c>
      <c r="H265" s="4" t="s">
        <v>34</v>
      </c>
      <c r="I265" s="4" t="str">
        <f t="shared" si="2"/>
        <v>Crystal Davis</v>
      </c>
      <c r="J265" s="4" t="str">
        <f t="shared" ref="J265:K265" si="268">TRIM(PROPER(E265))</f>
        <v>Sallymouth</v>
      </c>
      <c r="K265" s="4" t="str">
        <f t="shared" si="268"/>
        <v>Louisiana</v>
      </c>
      <c r="L265" s="4" t="str">
        <f t="shared" si="4"/>
        <v>Male</v>
      </c>
      <c r="M265" s="4" t="str">
        <f t="shared" si="5"/>
        <v>Bronze</v>
      </c>
      <c r="N265" s="4" t="str">
        <f t="shared" si="6"/>
        <v>OK</v>
      </c>
    </row>
    <row r="266" ht="14.25" customHeight="1">
      <c r="A266" s="4" t="s">
        <v>857</v>
      </c>
      <c r="B266" s="4" t="s">
        <v>858</v>
      </c>
      <c r="C266" s="4">
        <v>25.0</v>
      </c>
      <c r="D266" s="4" t="s">
        <v>16</v>
      </c>
      <c r="E266" s="4" t="s">
        <v>859</v>
      </c>
      <c r="F266" s="4" t="s">
        <v>860</v>
      </c>
      <c r="G266" s="4" t="s">
        <v>19</v>
      </c>
      <c r="H266" s="4" t="s">
        <v>56</v>
      </c>
      <c r="I266" s="4" t="str">
        <f t="shared" si="2"/>
        <v>Matthew Payne</v>
      </c>
      <c r="J266" s="4" t="str">
        <f t="shared" ref="J266:K266" si="269">TRIM(PROPER(E266))</f>
        <v>Grahamfurt</v>
      </c>
      <c r="K266" s="4" t="str">
        <f t="shared" si="269"/>
        <v>Wyoming</v>
      </c>
      <c r="L266" s="4" t="str">
        <f t="shared" si="4"/>
        <v>Male</v>
      </c>
      <c r="M266" s="4" t="str">
        <f t="shared" si="5"/>
        <v>Gold</v>
      </c>
      <c r="N266" s="4" t="str">
        <f t="shared" si="6"/>
        <v>OK</v>
      </c>
    </row>
    <row r="267" ht="14.25" customHeight="1">
      <c r="A267" s="4" t="s">
        <v>861</v>
      </c>
      <c r="B267" s="4" t="s">
        <v>862</v>
      </c>
      <c r="C267" s="4">
        <v>38.0</v>
      </c>
      <c r="D267" s="4" t="s">
        <v>16</v>
      </c>
      <c r="E267" s="4" t="s">
        <v>863</v>
      </c>
      <c r="F267" s="4" t="s">
        <v>247</v>
      </c>
      <c r="G267" s="4" t="s">
        <v>19</v>
      </c>
      <c r="H267" s="4" t="s">
        <v>39</v>
      </c>
      <c r="I267" s="4" t="str">
        <f t="shared" si="2"/>
        <v>Tracy Kelly</v>
      </c>
      <c r="J267" s="4" t="str">
        <f t="shared" ref="J267:K267" si="270">TRIM(PROPER(E267))</f>
        <v>West Jamieport</v>
      </c>
      <c r="K267" s="4" t="str">
        <f t="shared" si="270"/>
        <v>Tennessee</v>
      </c>
      <c r="L267" s="4" t="str">
        <f t="shared" si="4"/>
        <v>Male</v>
      </c>
      <c r="M267" s="4" t="str">
        <f t="shared" si="5"/>
        <v>Silver</v>
      </c>
      <c r="N267" s="4" t="str">
        <f t="shared" si="6"/>
        <v>OK</v>
      </c>
    </row>
    <row r="268" ht="14.25" customHeight="1">
      <c r="A268" s="4" t="s">
        <v>864</v>
      </c>
      <c r="B268" s="4" t="s">
        <v>865</v>
      </c>
      <c r="C268" s="4">
        <v>32.0</v>
      </c>
      <c r="D268" s="4" t="s">
        <v>22</v>
      </c>
      <c r="E268" s="4" t="s">
        <v>866</v>
      </c>
      <c r="F268" s="4" t="s">
        <v>600</v>
      </c>
      <c r="G268" s="4" t="s">
        <v>19</v>
      </c>
      <c r="H268" s="4" t="s">
        <v>34</v>
      </c>
      <c r="I268" s="4" t="str">
        <f t="shared" si="2"/>
        <v>Cynthia Payne</v>
      </c>
      <c r="J268" s="4" t="str">
        <f t="shared" ref="J268:K268" si="271">TRIM(PROPER(E268))</f>
        <v>South Gina</v>
      </c>
      <c r="K268" s="4" t="str">
        <f t="shared" si="271"/>
        <v>Kentucky</v>
      </c>
      <c r="L268" s="4" t="str">
        <f t="shared" si="4"/>
        <v>Female</v>
      </c>
      <c r="M268" s="4" t="str">
        <f t="shared" si="5"/>
        <v>Bronze</v>
      </c>
      <c r="N268" s="4" t="str">
        <f t="shared" si="6"/>
        <v>OK</v>
      </c>
    </row>
    <row r="269" ht="14.25" customHeight="1">
      <c r="A269" s="4" t="s">
        <v>867</v>
      </c>
      <c r="B269" s="4" t="s">
        <v>868</v>
      </c>
      <c r="C269" s="4">
        <v>18.0</v>
      </c>
      <c r="D269" s="4" t="s">
        <v>16</v>
      </c>
      <c r="E269" s="4" t="s">
        <v>796</v>
      </c>
      <c r="F269" s="4" t="s">
        <v>75</v>
      </c>
      <c r="G269" s="4" t="s">
        <v>19</v>
      </c>
      <c r="H269" s="4" t="s">
        <v>34</v>
      </c>
      <c r="I269" s="4" t="str">
        <f t="shared" si="2"/>
        <v>Zachary Shelton</v>
      </c>
      <c r="J269" s="4" t="str">
        <f t="shared" ref="J269:K269" si="272">TRIM(PROPER(E269))</f>
        <v>North Nicholas</v>
      </c>
      <c r="K269" s="4" t="str">
        <f t="shared" si="272"/>
        <v>Montana</v>
      </c>
      <c r="L269" s="4" t="str">
        <f t="shared" si="4"/>
        <v>Male</v>
      </c>
      <c r="M269" s="4" t="str">
        <f t="shared" si="5"/>
        <v>Bronze</v>
      </c>
      <c r="N269" s="4" t="str">
        <f t="shared" si="6"/>
        <v>OK</v>
      </c>
    </row>
    <row r="270" ht="14.25" customHeight="1">
      <c r="A270" s="4" t="s">
        <v>869</v>
      </c>
      <c r="B270" s="4" t="s">
        <v>870</v>
      </c>
      <c r="C270" s="4">
        <v>53.0</v>
      </c>
      <c r="D270" s="4" t="s">
        <v>22</v>
      </c>
      <c r="E270" s="4" t="s">
        <v>871</v>
      </c>
      <c r="F270" s="4" t="s">
        <v>211</v>
      </c>
      <c r="G270" s="4" t="s">
        <v>19</v>
      </c>
      <c r="H270" s="4" t="s">
        <v>34</v>
      </c>
      <c r="I270" s="4" t="str">
        <f t="shared" si="2"/>
        <v>Kevin Orr</v>
      </c>
      <c r="J270" s="4" t="str">
        <f t="shared" ref="J270:K270" si="273">TRIM(PROPER(E270))</f>
        <v>Ryanberg</v>
      </c>
      <c r="K270" s="4" t="str">
        <f t="shared" si="273"/>
        <v>Minnesota</v>
      </c>
      <c r="L270" s="4" t="str">
        <f t="shared" si="4"/>
        <v>Female</v>
      </c>
      <c r="M270" s="4" t="str">
        <f t="shared" si="5"/>
        <v>Bronze</v>
      </c>
      <c r="N270" s="4" t="str">
        <f t="shared" si="6"/>
        <v>OK</v>
      </c>
    </row>
    <row r="271" ht="14.25" customHeight="1">
      <c r="A271" s="4" t="s">
        <v>872</v>
      </c>
      <c r="B271" s="4" t="s">
        <v>873</v>
      </c>
      <c r="C271" s="4">
        <v>45.0</v>
      </c>
      <c r="D271" s="4" t="s">
        <v>22</v>
      </c>
      <c r="E271" s="4" t="s">
        <v>874</v>
      </c>
      <c r="F271" s="4" t="s">
        <v>38</v>
      </c>
      <c r="G271" s="4" t="s">
        <v>19</v>
      </c>
      <c r="H271" s="4" t="s">
        <v>39</v>
      </c>
      <c r="I271" s="4" t="str">
        <f t="shared" si="2"/>
        <v>Tyrone Olson</v>
      </c>
      <c r="J271" s="4" t="str">
        <f t="shared" ref="J271:K271" si="274">TRIM(PROPER(E271))</f>
        <v>Emilytown</v>
      </c>
      <c r="K271" s="4" t="str">
        <f t="shared" si="274"/>
        <v>California</v>
      </c>
      <c r="L271" s="4" t="str">
        <f t="shared" si="4"/>
        <v>Female</v>
      </c>
      <c r="M271" s="4" t="str">
        <f t="shared" si="5"/>
        <v>Silver</v>
      </c>
      <c r="N271" s="4" t="str">
        <f t="shared" si="6"/>
        <v>OK</v>
      </c>
    </row>
    <row r="272" ht="14.25" customHeight="1">
      <c r="A272" s="4" t="s">
        <v>875</v>
      </c>
      <c r="B272" s="4" t="s">
        <v>876</v>
      </c>
      <c r="C272" s="4">
        <v>31.0</v>
      </c>
      <c r="D272" s="4" t="s">
        <v>22</v>
      </c>
      <c r="E272" s="4" t="s">
        <v>877</v>
      </c>
      <c r="F272" s="4" t="s">
        <v>338</v>
      </c>
      <c r="G272" s="4" t="s">
        <v>19</v>
      </c>
      <c r="H272" s="4" t="s">
        <v>56</v>
      </c>
      <c r="I272" s="4" t="str">
        <f t="shared" si="2"/>
        <v>Brian Garcia</v>
      </c>
      <c r="J272" s="4" t="str">
        <f t="shared" ref="J272:K272" si="275">TRIM(PROPER(E272))</f>
        <v>Ramosmouth</v>
      </c>
      <c r="K272" s="4" t="str">
        <f t="shared" si="275"/>
        <v>Louisiana</v>
      </c>
      <c r="L272" s="4" t="str">
        <f t="shared" si="4"/>
        <v>Female</v>
      </c>
      <c r="M272" s="4" t="str">
        <f t="shared" si="5"/>
        <v>Gold</v>
      </c>
      <c r="N272" s="4" t="str">
        <f t="shared" si="6"/>
        <v>OK</v>
      </c>
    </row>
    <row r="273" ht="14.25" customHeight="1">
      <c r="A273" s="4" t="s">
        <v>878</v>
      </c>
      <c r="B273" s="4" t="s">
        <v>879</v>
      </c>
      <c r="C273" s="4">
        <v>64.0</v>
      </c>
      <c r="D273" s="4" t="s">
        <v>16</v>
      </c>
      <c r="E273" s="4" t="s">
        <v>880</v>
      </c>
      <c r="F273" s="4" t="s">
        <v>79</v>
      </c>
      <c r="G273" s="4" t="s">
        <v>19</v>
      </c>
      <c r="H273" s="4" t="s">
        <v>25</v>
      </c>
      <c r="I273" s="4" t="str">
        <f t="shared" si="2"/>
        <v>Daisy Johnson Dds</v>
      </c>
      <c r="J273" s="4" t="str">
        <f t="shared" ref="J273:K273" si="276">TRIM(PROPER(E273))</f>
        <v>North Stephanie</v>
      </c>
      <c r="K273" s="4" t="str">
        <f t="shared" si="276"/>
        <v>Nebraska</v>
      </c>
      <c r="L273" s="4" t="str">
        <f t="shared" si="4"/>
        <v>Male</v>
      </c>
      <c r="M273" s="4" t="str">
        <f t="shared" si="5"/>
        <v>Platinum</v>
      </c>
      <c r="N273" s="4" t="str">
        <f t="shared" si="6"/>
        <v>OK</v>
      </c>
    </row>
    <row r="274" ht="14.25" customHeight="1">
      <c r="A274" s="4" t="s">
        <v>881</v>
      </c>
      <c r="B274" s="4" t="s">
        <v>882</v>
      </c>
      <c r="C274" s="4">
        <v>48.0</v>
      </c>
      <c r="D274" s="4" t="s">
        <v>22</v>
      </c>
      <c r="E274" s="4" t="s">
        <v>883</v>
      </c>
      <c r="F274" s="4" t="s">
        <v>38</v>
      </c>
      <c r="G274" s="4" t="s">
        <v>19</v>
      </c>
      <c r="H274" s="4" t="s">
        <v>56</v>
      </c>
      <c r="I274" s="4" t="str">
        <f t="shared" si="2"/>
        <v>Adam Rowland</v>
      </c>
      <c r="J274" s="4" t="str">
        <f t="shared" ref="J274:K274" si="277">TRIM(PROPER(E274))</f>
        <v>Welchview</v>
      </c>
      <c r="K274" s="4" t="str">
        <f t="shared" si="277"/>
        <v>California</v>
      </c>
      <c r="L274" s="4" t="str">
        <f t="shared" si="4"/>
        <v>Female</v>
      </c>
      <c r="M274" s="4" t="str">
        <f t="shared" si="5"/>
        <v>Gold</v>
      </c>
      <c r="N274" s="4" t="str">
        <f t="shared" si="6"/>
        <v>OK</v>
      </c>
    </row>
    <row r="275" ht="14.25" customHeight="1">
      <c r="A275" s="4" t="s">
        <v>884</v>
      </c>
      <c r="B275" s="4" t="s">
        <v>885</v>
      </c>
      <c r="C275" s="4">
        <v>23.0</v>
      </c>
      <c r="D275" s="4" t="s">
        <v>16</v>
      </c>
      <c r="E275" s="4" t="s">
        <v>886</v>
      </c>
      <c r="F275" s="4" t="s">
        <v>323</v>
      </c>
      <c r="G275" s="4" t="s">
        <v>19</v>
      </c>
      <c r="H275" s="4" t="s">
        <v>34</v>
      </c>
      <c r="I275" s="4" t="str">
        <f t="shared" si="2"/>
        <v>Samantha Robinson</v>
      </c>
      <c r="J275" s="4" t="str">
        <f t="shared" ref="J275:K275" si="278">TRIM(PROPER(E275))</f>
        <v>North Roy</v>
      </c>
      <c r="K275" s="4" t="str">
        <f t="shared" si="278"/>
        <v>Mississippi</v>
      </c>
      <c r="L275" s="4" t="str">
        <f t="shared" si="4"/>
        <v>Male</v>
      </c>
      <c r="M275" s="4" t="str">
        <f t="shared" si="5"/>
        <v>Bronze</v>
      </c>
      <c r="N275" s="4" t="str">
        <f t="shared" si="6"/>
        <v>OK</v>
      </c>
    </row>
    <row r="276" ht="14.25" customHeight="1">
      <c r="A276" s="4" t="s">
        <v>887</v>
      </c>
      <c r="B276" s="4" t="s">
        <v>888</v>
      </c>
      <c r="C276" s="4">
        <v>38.0</v>
      </c>
      <c r="D276" s="4" t="s">
        <v>16</v>
      </c>
      <c r="E276" s="4" t="s">
        <v>889</v>
      </c>
      <c r="F276" s="4" t="s">
        <v>181</v>
      </c>
      <c r="G276" s="4" t="s">
        <v>19</v>
      </c>
      <c r="H276" s="4" t="s">
        <v>39</v>
      </c>
      <c r="I276" s="4" t="str">
        <f t="shared" si="2"/>
        <v>Sarah Lane</v>
      </c>
      <c r="J276" s="4" t="str">
        <f t="shared" ref="J276:K276" si="279">TRIM(PROPER(E276))</f>
        <v>Edwardborough</v>
      </c>
      <c r="K276" s="4" t="str">
        <f t="shared" si="279"/>
        <v>Vermont</v>
      </c>
      <c r="L276" s="4" t="str">
        <f t="shared" si="4"/>
        <v>Male</v>
      </c>
      <c r="M276" s="4" t="str">
        <f t="shared" si="5"/>
        <v>Silver</v>
      </c>
      <c r="N276" s="4" t="str">
        <f t="shared" si="6"/>
        <v>OK</v>
      </c>
    </row>
    <row r="277" ht="14.25" customHeight="1">
      <c r="A277" s="4" t="s">
        <v>890</v>
      </c>
      <c r="B277" s="4" t="s">
        <v>891</v>
      </c>
      <c r="C277" s="4">
        <v>22.0</v>
      </c>
      <c r="D277" s="4" t="s">
        <v>16</v>
      </c>
      <c r="E277" s="4" t="s">
        <v>892</v>
      </c>
      <c r="F277" s="4" t="s">
        <v>600</v>
      </c>
      <c r="G277" s="4" t="s">
        <v>19</v>
      </c>
      <c r="H277" s="4" t="s">
        <v>56</v>
      </c>
      <c r="I277" s="4" t="str">
        <f t="shared" si="2"/>
        <v>Shannon Miller</v>
      </c>
      <c r="J277" s="4" t="str">
        <f t="shared" ref="J277:K277" si="280">TRIM(PROPER(E277))</f>
        <v>North Austinport</v>
      </c>
      <c r="K277" s="4" t="str">
        <f t="shared" si="280"/>
        <v>Kentucky</v>
      </c>
      <c r="L277" s="4" t="str">
        <f t="shared" si="4"/>
        <v>Male</v>
      </c>
      <c r="M277" s="4" t="str">
        <f t="shared" si="5"/>
        <v>Gold</v>
      </c>
      <c r="N277" s="4" t="str">
        <f t="shared" si="6"/>
        <v>OK</v>
      </c>
    </row>
    <row r="278" ht="14.25" customHeight="1">
      <c r="A278" s="4" t="s">
        <v>893</v>
      </c>
      <c r="B278" s="4" t="s">
        <v>894</v>
      </c>
      <c r="C278" s="4">
        <v>38.0</v>
      </c>
      <c r="D278" s="4" t="s">
        <v>16</v>
      </c>
      <c r="E278" s="4" t="s">
        <v>895</v>
      </c>
      <c r="F278" s="4" t="s">
        <v>194</v>
      </c>
      <c r="G278" s="4" t="s">
        <v>19</v>
      </c>
      <c r="H278" s="4" t="s">
        <v>56</v>
      </c>
      <c r="I278" s="4" t="str">
        <f t="shared" si="2"/>
        <v>Arthur Warren</v>
      </c>
      <c r="J278" s="4" t="str">
        <f t="shared" ref="J278:K278" si="281">TRIM(PROPER(E278))</f>
        <v>Ericshire</v>
      </c>
      <c r="K278" s="4" t="str">
        <f t="shared" si="281"/>
        <v>Nevada</v>
      </c>
      <c r="L278" s="4" t="str">
        <f t="shared" si="4"/>
        <v>Male</v>
      </c>
      <c r="M278" s="4" t="str">
        <f t="shared" si="5"/>
        <v>Gold</v>
      </c>
      <c r="N278" s="4" t="str">
        <f t="shared" si="6"/>
        <v>OK</v>
      </c>
    </row>
    <row r="279" ht="14.25" customHeight="1">
      <c r="A279" s="4" t="s">
        <v>896</v>
      </c>
      <c r="B279" s="4" t="s">
        <v>897</v>
      </c>
      <c r="C279" s="4">
        <v>22.0</v>
      </c>
      <c r="D279" s="4" t="s">
        <v>22</v>
      </c>
      <c r="E279" s="4" t="s">
        <v>898</v>
      </c>
      <c r="F279" s="4" t="s">
        <v>284</v>
      </c>
      <c r="G279" s="4" t="s">
        <v>19</v>
      </c>
      <c r="H279" s="4" t="s">
        <v>25</v>
      </c>
      <c r="I279" s="4" t="str">
        <f t="shared" si="2"/>
        <v>Jeffrey Gomez</v>
      </c>
      <c r="J279" s="4" t="str">
        <f t="shared" ref="J279:K279" si="282">TRIM(PROPER(E279))</f>
        <v>Lake Nicole</v>
      </c>
      <c r="K279" s="4" t="str">
        <f t="shared" si="282"/>
        <v>Colorado</v>
      </c>
      <c r="L279" s="4" t="str">
        <f t="shared" si="4"/>
        <v>Female</v>
      </c>
      <c r="M279" s="4" t="str">
        <f t="shared" si="5"/>
        <v>Platinum</v>
      </c>
      <c r="N279" s="4" t="str">
        <f t="shared" si="6"/>
        <v>OK</v>
      </c>
    </row>
    <row r="280" ht="14.25" customHeight="1">
      <c r="A280" s="4" t="s">
        <v>899</v>
      </c>
      <c r="B280" s="4" t="s">
        <v>900</v>
      </c>
      <c r="C280" s="4">
        <v>42.0</v>
      </c>
      <c r="D280" s="4" t="s">
        <v>22</v>
      </c>
      <c r="E280" s="4" t="s">
        <v>901</v>
      </c>
      <c r="F280" s="4" t="s">
        <v>227</v>
      </c>
      <c r="G280" s="4" t="s">
        <v>19</v>
      </c>
      <c r="H280" s="4" t="s">
        <v>25</v>
      </c>
      <c r="I280" s="4" t="str">
        <f t="shared" si="2"/>
        <v>Stephen Fowler</v>
      </c>
      <c r="J280" s="4" t="str">
        <f t="shared" ref="J280:K280" si="283">TRIM(PROPER(E280))</f>
        <v>Port Mariastad</v>
      </c>
      <c r="K280" s="4" t="str">
        <f t="shared" si="283"/>
        <v>Rhode Island</v>
      </c>
      <c r="L280" s="4" t="str">
        <f t="shared" si="4"/>
        <v>Female</v>
      </c>
      <c r="M280" s="4" t="str">
        <f t="shared" si="5"/>
        <v>Platinum</v>
      </c>
      <c r="N280" s="4" t="str">
        <f t="shared" si="6"/>
        <v>OK</v>
      </c>
    </row>
    <row r="281" ht="14.25" customHeight="1">
      <c r="A281" s="4" t="s">
        <v>902</v>
      </c>
      <c r="B281" s="4" t="s">
        <v>903</v>
      </c>
      <c r="C281" s="4">
        <v>21.0</v>
      </c>
      <c r="D281" s="4" t="s">
        <v>22</v>
      </c>
      <c r="E281" s="4" t="s">
        <v>904</v>
      </c>
      <c r="F281" s="4" t="s">
        <v>33</v>
      </c>
      <c r="G281" s="4" t="s">
        <v>19</v>
      </c>
      <c r="H281" s="4" t="s">
        <v>34</v>
      </c>
      <c r="I281" s="4" t="str">
        <f t="shared" si="2"/>
        <v>Aaron Luna</v>
      </c>
      <c r="J281" s="4" t="str">
        <f t="shared" ref="J281:K281" si="284">TRIM(PROPER(E281))</f>
        <v>Gilltown</v>
      </c>
      <c r="K281" s="4" t="str">
        <f t="shared" si="284"/>
        <v>Ohio</v>
      </c>
      <c r="L281" s="4" t="str">
        <f t="shared" si="4"/>
        <v>Female</v>
      </c>
      <c r="M281" s="4" t="str">
        <f t="shared" si="5"/>
        <v>Bronze</v>
      </c>
      <c r="N281" s="4" t="str">
        <f t="shared" si="6"/>
        <v>OK</v>
      </c>
    </row>
    <row r="282" ht="14.25" customHeight="1">
      <c r="A282" s="4" t="s">
        <v>905</v>
      </c>
      <c r="B282" s="4" t="s">
        <v>906</v>
      </c>
      <c r="C282" s="4">
        <v>48.0</v>
      </c>
      <c r="D282" s="4" t="s">
        <v>16</v>
      </c>
      <c r="E282" s="4" t="s">
        <v>907</v>
      </c>
      <c r="F282" s="4" t="s">
        <v>109</v>
      </c>
      <c r="G282" s="4" t="s">
        <v>19</v>
      </c>
      <c r="H282" s="4" t="s">
        <v>34</v>
      </c>
      <c r="I282" s="4" t="str">
        <f t="shared" si="2"/>
        <v>Antonio Leon</v>
      </c>
      <c r="J282" s="4" t="str">
        <f t="shared" ref="J282:K282" si="285">TRIM(PROPER(E282))</f>
        <v>Morrisville</v>
      </c>
      <c r="K282" s="4" t="str">
        <f t="shared" si="285"/>
        <v>Hawaii</v>
      </c>
      <c r="L282" s="4" t="str">
        <f t="shared" si="4"/>
        <v>Male</v>
      </c>
      <c r="M282" s="4" t="str">
        <f t="shared" si="5"/>
        <v>Bronze</v>
      </c>
      <c r="N282" s="4" t="str">
        <f t="shared" si="6"/>
        <v>OK</v>
      </c>
    </row>
    <row r="283" ht="14.25" customHeight="1">
      <c r="A283" s="4" t="s">
        <v>908</v>
      </c>
      <c r="B283" s="4" t="s">
        <v>909</v>
      </c>
      <c r="C283" s="4">
        <v>59.0</v>
      </c>
      <c r="D283" s="4" t="s">
        <v>16</v>
      </c>
      <c r="E283" s="4" t="s">
        <v>910</v>
      </c>
      <c r="F283" s="4" t="s">
        <v>177</v>
      </c>
      <c r="G283" s="4" t="s">
        <v>19</v>
      </c>
      <c r="H283" s="4" t="s">
        <v>25</v>
      </c>
      <c r="I283" s="4" t="str">
        <f t="shared" si="2"/>
        <v>Brittany Watson</v>
      </c>
      <c r="J283" s="4" t="str">
        <f t="shared" ref="J283:K283" si="286">TRIM(PROPER(E283))</f>
        <v>North Joshualand</v>
      </c>
      <c r="K283" s="4" t="str">
        <f t="shared" si="286"/>
        <v>Connecticut</v>
      </c>
      <c r="L283" s="4" t="str">
        <f t="shared" si="4"/>
        <v>Male</v>
      </c>
      <c r="M283" s="4" t="str">
        <f t="shared" si="5"/>
        <v>Platinum</v>
      </c>
      <c r="N283" s="4" t="str">
        <f t="shared" si="6"/>
        <v>OK</v>
      </c>
    </row>
    <row r="284" ht="14.25" customHeight="1">
      <c r="A284" s="4" t="s">
        <v>911</v>
      </c>
      <c r="B284" s="4" t="s">
        <v>912</v>
      </c>
      <c r="C284" s="4">
        <v>46.0</v>
      </c>
      <c r="D284" s="4" t="s">
        <v>22</v>
      </c>
      <c r="E284" s="4" t="s">
        <v>913</v>
      </c>
      <c r="F284" s="4" t="s">
        <v>97</v>
      </c>
      <c r="G284" s="4" t="s">
        <v>19</v>
      </c>
      <c r="H284" s="4" t="s">
        <v>56</v>
      </c>
      <c r="I284" s="4" t="str">
        <f t="shared" si="2"/>
        <v>Kristi Lopez</v>
      </c>
      <c r="J284" s="4" t="str">
        <f t="shared" ref="J284:K284" si="287">TRIM(PROPER(E284))</f>
        <v>Spencermouth</v>
      </c>
      <c r="K284" s="4" t="str">
        <f t="shared" si="287"/>
        <v>New Jersey</v>
      </c>
      <c r="L284" s="4" t="str">
        <f t="shared" si="4"/>
        <v>Female</v>
      </c>
      <c r="M284" s="4" t="str">
        <f t="shared" si="5"/>
        <v>Gold</v>
      </c>
      <c r="N284" s="4" t="str">
        <f t="shared" si="6"/>
        <v>OK</v>
      </c>
    </row>
    <row r="285" ht="14.25" customHeight="1">
      <c r="A285" s="4" t="s">
        <v>914</v>
      </c>
      <c r="B285" s="4" t="s">
        <v>915</v>
      </c>
      <c r="C285" s="4">
        <v>54.0</v>
      </c>
      <c r="D285" s="4" t="s">
        <v>22</v>
      </c>
      <c r="E285" s="4" t="s">
        <v>916</v>
      </c>
      <c r="F285" s="4" t="s">
        <v>860</v>
      </c>
      <c r="G285" s="4" t="s">
        <v>19</v>
      </c>
      <c r="H285" s="4" t="s">
        <v>39</v>
      </c>
      <c r="I285" s="4" t="str">
        <f t="shared" si="2"/>
        <v>Bryan Garcia</v>
      </c>
      <c r="J285" s="4" t="str">
        <f t="shared" ref="J285:K285" si="288">TRIM(PROPER(E285))</f>
        <v>Garciaborough</v>
      </c>
      <c r="K285" s="4" t="str">
        <f t="shared" si="288"/>
        <v>Wyoming</v>
      </c>
      <c r="L285" s="4" t="str">
        <f t="shared" si="4"/>
        <v>Female</v>
      </c>
      <c r="M285" s="4" t="str">
        <f t="shared" si="5"/>
        <v>Silver</v>
      </c>
      <c r="N285" s="4" t="str">
        <f t="shared" si="6"/>
        <v>OK</v>
      </c>
    </row>
    <row r="286" ht="14.25" customHeight="1">
      <c r="A286" s="4" t="s">
        <v>917</v>
      </c>
      <c r="B286" s="4" t="s">
        <v>918</v>
      </c>
      <c r="C286" s="4">
        <v>54.0</v>
      </c>
      <c r="D286" s="4" t="s">
        <v>16</v>
      </c>
      <c r="E286" s="4" t="s">
        <v>919</v>
      </c>
      <c r="F286" s="4" t="s">
        <v>177</v>
      </c>
      <c r="G286" s="4" t="s">
        <v>19</v>
      </c>
      <c r="H286" s="4" t="s">
        <v>56</v>
      </c>
      <c r="I286" s="4" t="str">
        <f t="shared" si="2"/>
        <v>Hunter Sutton</v>
      </c>
      <c r="J286" s="4" t="str">
        <f t="shared" ref="J286:K286" si="289">TRIM(PROPER(E286))</f>
        <v>Patrickshire</v>
      </c>
      <c r="K286" s="4" t="str">
        <f t="shared" si="289"/>
        <v>Connecticut</v>
      </c>
      <c r="L286" s="4" t="str">
        <f t="shared" si="4"/>
        <v>Male</v>
      </c>
      <c r="M286" s="4" t="str">
        <f t="shared" si="5"/>
        <v>Gold</v>
      </c>
      <c r="N286" s="4" t="str">
        <f t="shared" si="6"/>
        <v>OK</v>
      </c>
    </row>
    <row r="287" ht="14.25" customHeight="1">
      <c r="A287" s="4" t="s">
        <v>920</v>
      </c>
      <c r="B287" s="4" t="s">
        <v>921</v>
      </c>
      <c r="C287" s="4">
        <v>46.0</v>
      </c>
      <c r="D287" s="4" t="s">
        <v>22</v>
      </c>
      <c r="E287" s="4" t="s">
        <v>922</v>
      </c>
      <c r="F287" s="4" t="s">
        <v>729</v>
      </c>
      <c r="G287" s="4" t="s">
        <v>19</v>
      </c>
      <c r="H287" s="4" t="s">
        <v>39</v>
      </c>
      <c r="I287" s="4" t="str">
        <f t="shared" si="2"/>
        <v>Donna Guerra</v>
      </c>
      <c r="J287" s="4" t="str">
        <f t="shared" ref="J287:K287" si="290">TRIM(PROPER(E287))</f>
        <v>North Robert</v>
      </c>
      <c r="K287" s="4" t="str">
        <f t="shared" si="290"/>
        <v>Massachusetts</v>
      </c>
      <c r="L287" s="4" t="str">
        <f t="shared" si="4"/>
        <v>Female</v>
      </c>
      <c r="M287" s="4" t="str">
        <f t="shared" si="5"/>
        <v>Silver</v>
      </c>
      <c r="N287" s="4" t="str">
        <f t="shared" si="6"/>
        <v>OK</v>
      </c>
    </row>
    <row r="288" ht="14.25" customHeight="1">
      <c r="A288" s="4" t="s">
        <v>923</v>
      </c>
      <c r="B288" s="4" t="s">
        <v>924</v>
      </c>
      <c r="C288" s="4">
        <v>22.0</v>
      </c>
      <c r="D288" s="4" t="s">
        <v>16</v>
      </c>
      <c r="E288" s="4" t="s">
        <v>925</v>
      </c>
      <c r="F288" s="4" t="s">
        <v>47</v>
      </c>
      <c r="G288" s="4" t="s">
        <v>19</v>
      </c>
      <c r="H288" s="4" t="s">
        <v>39</v>
      </c>
      <c r="I288" s="4" t="str">
        <f t="shared" si="2"/>
        <v>Tommy Roberts</v>
      </c>
      <c r="J288" s="4" t="str">
        <f t="shared" ref="J288:K288" si="291">TRIM(PROPER(E288))</f>
        <v>Port Tonyfort</v>
      </c>
      <c r="K288" s="4" t="str">
        <f t="shared" si="291"/>
        <v>South Dakota</v>
      </c>
      <c r="L288" s="4" t="str">
        <f t="shared" si="4"/>
        <v>Male</v>
      </c>
      <c r="M288" s="4" t="str">
        <f t="shared" si="5"/>
        <v>Silver</v>
      </c>
      <c r="N288" s="4" t="str">
        <f t="shared" si="6"/>
        <v>OK</v>
      </c>
    </row>
    <row r="289" ht="14.25" customHeight="1">
      <c r="A289" s="4" t="s">
        <v>926</v>
      </c>
      <c r="B289" s="4" t="s">
        <v>927</v>
      </c>
      <c r="C289" s="4">
        <v>22.0</v>
      </c>
      <c r="D289" s="4" t="s">
        <v>22</v>
      </c>
      <c r="E289" s="4" t="s">
        <v>928</v>
      </c>
      <c r="F289" s="4" t="s">
        <v>181</v>
      </c>
      <c r="G289" s="4" t="s">
        <v>19</v>
      </c>
      <c r="H289" s="4" t="s">
        <v>56</v>
      </c>
      <c r="I289" s="4" t="str">
        <f t="shared" si="2"/>
        <v>Cynthia Roberts</v>
      </c>
      <c r="J289" s="4" t="str">
        <f t="shared" ref="J289:K289" si="292">TRIM(PROPER(E289))</f>
        <v>Millerfort</v>
      </c>
      <c r="K289" s="4" t="str">
        <f t="shared" si="292"/>
        <v>Vermont</v>
      </c>
      <c r="L289" s="4" t="str">
        <f t="shared" si="4"/>
        <v>Female</v>
      </c>
      <c r="M289" s="4" t="str">
        <f t="shared" si="5"/>
        <v>Gold</v>
      </c>
      <c r="N289" s="4" t="str">
        <f t="shared" si="6"/>
        <v>OK</v>
      </c>
    </row>
    <row r="290" ht="14.25" customHeight="1">
      <c r="A290" s="4" t="s">
        <v>929</v>
      </c>
      <c r="B290" s="4" t="s">
        <v>930</v>
      </c>
      <c r="C290" s="4">
        <v>58.0</v>
      </c>
      <c r="D290" s="4" t="s">
        <v>16</v>
      </c>
      <c r="E290" s="4" t="s">
        <v>931</v>
      </c>
      <c r="F290" s="4" t="s">
        <v>177</v>
      </c>
      <c r="G290" s="4" t="s">
        <v>19</v>
      </c>
      <c r="H290" s="4" t="s">
        <v>56</v>
      </c>
      <c r="I290" s="4" t="str">
        <f t="shared" si="2"/>
        <v>Misty Ferguson</v>
      </c>
      <c r="J290" s="4" t="str">
        <f t="shared" ref="J290:K290" si="293">TRIM(PROPER(E290))</f>
        <v>North Joseside</v>
      </c>
      <c r="K290" s="4" t="str">
        <f t="shared" si="293"/>
        <v>Connecticut</v>
      </c>
      <c r="L290" s="4" t="str">
        <f t="shared" si="4"/>
        <v>Male</v>
      </c>
      <c r="M290" s="4" t="str">
        <f t="shared" si="5"/>
        <v>Gold</v>
      </c>
      <c r="N290" s="4" t="str">
        <f t="shared" si="6"/>
        <v>OK</v>
      </c>
    </row>
    <row r="291" ht="14.25" customHeight="1">
      <c r="A291" s="4" t="s">
        <v>932</v>
      </c>
      <c r="B291" s="4" t="s">
        <v>933</v>
      </c>
      <c r="C291" s="4">
        <v>45.0</v>
      </c>
      <c r="D291" s="4" t="s">
        <v>16</v>
      </c>
      <c r="E291" s="4" t="s">
        <v>934</v>
      </c>
      <c r="F291" s="4" t="s">
        <v>33</v>
      </c>
      <c r="G291" s="4" t="s">
        <v>19</v>
      </c>
      <c r="H291" s="4" t="s">
        <v>34</v>
      </c>
      <c r="I291" s="4" t="str">
        <f t="shared" si="2"/>
        <v>Jennifer Figueroa</v>
      </c>
      <c r="J291" s="4" t="str">
        <f t="shared" ref="J291:K291" si="294">TRIM(PROPER(E291))</f>
        <v>North Brookestad</v>
      </c>
      <c r="K291" s="4" t="str">
        <f t="shared" si="294"/>
        <v>Ohio</v>
      </c>
      <c r="L291" s="4" t="str">
        <f t="shared" si="4"/>
        <v>Male</v>
      </c>
      <c r="M291" s="4" t="str">
        <f t="shared" si="5"/>
        <v>Bronze</v>
      </c>
      <c r="N291" s="4" t="str">
        <f t="shared" si="6"/>
        <v>OK</v>
      </c>
    </row>
    <row r="292" ht="14.25" customHeight="1">
      <c r="A292" s="4" t="s">
        <v>935</v>
      </c>
      <c r="B292" s="4" t="s">
        <v>936</v>
      </c>
      <c r="C292" s="4">
        <v>52.0</v>
      </c>
      <c r="D292" s="4" t="s">
        <v>22</v>
      </c>
      <c r="E292" s="4" t="s">
        <v>937</v>
      </c>
      <c r="F292" s="4" t="s">
        <v>297</v>
      </c>
      <c r="G292" s="4" t="s">
        <v>19</v>
      </c>
      <c r="H292" s="4" t="s">
        <v>39</v>
      </c>
      <c r="I292" s="4" t="str">
        <f t="shared" si="2"/>
        <v>Chase Williams Md</v>
      </c>
      <c r="J292" s="4" t="str">
        <f t="shared" ref="J292:K292" si="295">TRIM(PROPER(E292))</f>
        <v>Sherimouth</v>
      </c>
      <c r="K292" s="4" t="str">
        <f t="shared" si="295"/>
        <v>Virginia</v>
      </c>
      <c r="L292" s="4" t="str">
        <f t="shared" si="4"/>
        <v>Female</v>
      </c>
      <c r="M292" s="4" t="str">
        <f t="shared" si="5"/>
        <v>Silver</v>
      </c>
      <c r="N292" s="4" t="str">
        <f t="shared" si="6"/>
        <v>OK</v>
      </c>
    </row>
    <row r="293" ht="14.25" customHeight="1">
      <c r="A293" s="4" t="s">
        <v>938</v>
      </c>
      <c r="B293" s="4" t="s">
        <v>939</v>
      </c>
      <c r="C293" s="4">
        <v>40.0</v>
      </c>
      <c r="D293" s="4" t="s">
        <v>22</v>
      </c>
      <c r="E293" s="4" t="s">
        <v>940</v>
      </c>
      <c r="F293" s="4" t="s">
        <v>123</v>
      </c>
      <c r="G293" s="4" t="s">
        <v>19</v>
      </c>
      <c r="H293" s="4" t="s">
        <v>34</v>
      </c>
      <c r="I293" s="4" t="str">
        <f t="shared" si="2"/>
        <v>James Powell</v>
      </c>
      <c r="J293" s="4" t="str">
        <f t="shared" ref="J293:K293" si="296">TRIM(PROPER(E293))</f>
        <v>West Beverlymouth</v>
      </c>
      <c r="K293" s="4" t="str">
        <f t="shared" si="296"/>
        <v>Missouri</v>
      </c>
      <c r="L293" s="4" t="str">
        <f t="shared" si="4"/>
        <v>Female</v>
      </c>
      <c r="M293" s="4" t="str">
        <f t="shared" si="5"/>
        <v>Bronze</v>
      </c>
      <c r="N293" s="4" t="str">
        <f t="shared" si="6"/>
        <v>OK</v>
      </c>
    </row>
    <row r="294" ht="14.25" customHeight="1">
      <c r="A294" s="4" t="s">
        <v>941</v>
      </c>
      <c r="B294" s="4" t="s">
        <v>942</v>
      </c>
      <c r="C294" s="4">
        <v>30.0</v>
      </c>
      <c r="D294" s="4" t="s">
        <v>16</v>
      </c>
      <c r="E294" s="4" t="s">
        <v>943</v>
      </c>
      <c r="F294" s="4" t="s">
        <v>211</v>
      </c>
      <c r="G294" s="4" t="s">
        <v>19</v>
      </c>
      <c r="H294" s="4" t="s">
        <v>39</v>
      </c>
      <c r="I294" s="4" t="str">
        <f t="shared" si="2"/>
        <v>Ricardo Jones</v>
      </c>
      <c r="J294" s="4" t="str">
        <f t="shared" ref="J294:K294" si="297">TRIM(PROPER(E294))</f>
        <v>Danielland</v>
      </c>
      <c r="K294" s="4" t="str">
        <f t="shared" si="297"/>
        <v>Minnesota</v>
      </c>
      <c r="L294" s="4" t="str">
        <f t="shared" si="4"/>
        <v>Male</v>
      </c>
      <c r="M294" s="4" t="str">
        <f t="shared" si="5"/>
        <v>Silver</v>
      </c>
      <c r="N294" s="4" t="str">
        <f t="shared" si="6"/>
        <v>OK</v>
      </c>
    </row>
    <row r="295" ht="14.25" customHeight="1">
      <c r="A295" s="4" t="s">
        <v>944</v>
      </c>
      <c r="B295" s="4" t="s">
        <v>945</v>
      </c>
      <c r="C295" s="4">
        <v>56.0</v>
      </c>
      <c r="D295" s="4" t="s">
        <v>22</v>
      </c>
      <c r="E295" s="4" t="s">
        <v>946</v>
      </c>
      <c r="F295" s="4" t="s">
        <v>338</v>
      </c>
      <c r="G295" s="4" t="s">
        <v>19</v>
      </c>
      <c r="H295" s="4" t="s">
        <v>25</v>
      </c>
      <c r="I295" s="4" t="str">
        <f t="shared" si="2"/>
        <v>Gloria Taylor</v>
      </c>
      <c r="J295" s="4" t="str">
        <f t="shared" ref="J295:K295" si="298">TRIM(PROPER(E295))</f>
        <v>North Daniel</v>
      </c>
      <c r="K295" s="4" t="str">
        <f t="shared" si="298"/>
        <v>Louisiana</v>
      </c>
      <c r="L295" s="4" t="str">
        <f t="shared" si="4"/>
        <v>Female</v>
      </c>
      <c r="M295" s="4" t="str">
        <f t="shared" si="5"/>
        <v>Platinum</v>
      </c>
      <c r="N295" s="4" t="str">
        <f t="shared" si="6"/>
        <v>OK</v>
      </c>
    </row>
    <row r="296" ht="14.25" customHeight="1">
      <c r="A296" s="4" t="s">
        <v>947</v>
      </c>
      <c r="B296" s="4" t="s">
        <v>948</v>
      </c>
      <c r="C296" s="4">
        <v>29.0</v>
      </c>
      <c r="D296" s="4" t="s">
        <v>16</v>
      </c>
      <c r="E296" s="4" t="s">
        <v>585</v>
      </c>
      <c r="F296" s="4" t="s">
        <v>75</v>
      </c>
      <c r="G296" s="4" t="s">
        <v>19</v>
      </c>
      <c r="H296" s="4" t="s">
        <v>25</v>
      </c>
      <c r="I296" s="4" t="str">
        <f t="shared" si="2"/>
        <v>Lisa Chandler</v>
      </c>
      <c r="J296" s="4" t="str">
        <f t="shared" ref="J296:K296" si="299">TRIM(PROPER(E296))</f>
        <v>Port Richard</v>
      </c>
      <c r="K296" s="4" t="str">
        <f t="shared" si="299"/>
        <v>Montana</v>
      </c>
      <c r="L296" s="4" t="str">
        <f t="shared" si="4"/>
        <v>Male</v>
      </c>
      <c r="M296" s="4" t="str">
        <f t="shared" si="5"/>
        <v>Platinum</v>
      </c>
      <c r="N296" s="4" t="str">
        <f t="shared" si="6"/>
        <v>OK</v>
      </c>
    </row>
    <row r="297" ht="14.25" customHeight="1">
      <c r="A297" s="4" t="s">
        <v>949</v>
      </c>
      <c r="B297" s="4" t="s">
        <v>950</v>
      </c>
      <c r="C297" s="4">
        <v>19.0</v>
      </c>
      <c r="D297" s="4" t="s">
        <v>22</v>
      </c>
      <c r="E297" s="4" t="s">
        <v>951</v>
      </c>
      <c r="F297" s="4" t="s">
        <v>71</v>
      </c>
      <c r="G297" s="4" t="s">
        <v>19</v>
      </c>
      <c r="H297" s="4" t="s">
        <v>34</v>
      </c>
      <c r="I297" s="4" t="str">
        <f t="shared" si="2"/>
        <v>Crystal Waters</v>
      </c>
      <c r="J297" s="4" t="str">
        <f t="shared" ref="J297:K297" si="300">TRIM(PROPER(E297))</f>
        <v>North Michelleport</v>
      </c>
      <c r="K297" s="4" t="str">
        <f t="shared" si="300"/>
        <v>Kansas</v>
      </c>
      <c r="L297" s="4" t="str">
        <f t="shared" si="4"/>
        <v>Female</v>
      </c>
      <c r="M297" s="4" t="str">
        <f t="shared" si="5"/>
        <v>Bronze</v>
      </c>
      <c r="N297" s="4" t="str">
        <f t="shared" si="6"/>
        <v>OK</v>
      </c>
    </row>
    <row r="298" ht="14.25" customHeight="1">
      <c r="A298" s="4" t="s">
        <v>952</v>
      </c>
      <c r="B298" s="4" t="s">
        <v>953</v>
      </c>
      <c r="C298" s="4">
        <v>28.0</v>
      </c>
      <c r="D298" s="4" t="s">
        <v>22</v>
      </c>
      <c r="E298" s="4" t="s">
        <v>307</v>
      </c>
      <c r="F298" s="4" t="s">
        <v>51</v>
      </c>
      <c r="G298" s="4" t="s">
        <v>19</v>
      </c>
      <c r="H298" s="4" t="s">
        <v>34</v>
      </c>
      <c r="I298" s="4" t="str">
        <f t="shared" si="2"/>
        <v>Jared Moran</v>
      </c>
      <c r="J298" s="4" t="str">
        <f t="shared" ref="J298:K298" si="301">TRIM(PROPER(E298))</f>
        <v>South David</v>
      </c>
      <c r="K298" s="4" t="str">
        <f t="shared" si="301"/>
        <v>West Virginia</v>
      </c>
      <c r="L298" s="4" t="str">
        <f t="shared" si="4"/>
        <v>Female</v>
      </c>
      <c r="M298" s="4" t="str">
        <f t="shared" si="5"/>
        <v>Bronze</v>
      </c>
      <c r="N298" s="4" t="str">
        <f t="shared" si="6"/>
        <v>OK</v>
      </c>
    </row>
    <row r="299" ht="14.25" customHeight="1">
      <c r="A299" s="4" t="s">
        <v>954</v>
      </c>
      <c r="B299" s="4" t="s">
        <v>955</v>
      </c>
      <c r="C299" s="4">
        <v>47.0</v>
      </c>
      <c r="D299" s="4" t="s">
        <v>22</v>
      </c>
      <c r="E299" s="4" t="s">
        <v>956</v>
      </c>
      <c r="F299" s="4" t="s">
        <v>123</v>
      </c>
      <c r="G299" s="4" t="s">
        <v>19</v>
      </c>
      <c r="H299" s="4" t="s">
        <v>39</v>
      </c>
      <c r="I299" s="4" t="str">
        <f t="shared" si="2"/>
        <v>Jennifer Carr</v>
      </c>
      <c r="J299" s="4" t="str">
        <f t="shared" ref="J299:K299" si="302">TRIM(PROPER(E299))</f>
        <v>Lake Brett</v>
      </c>
      <c r="K299" s="4" t="str">
        <f t="shared" si="302"/>
        <v>Missouri</v>
      </c>
      <c r="L299" s="4" t="str">
        <f t="shared" si="4"/>
        <v>Female</v>
      </c>
      <c r="M299" s="4" t="str">
        <f t="shared" si="5"/>
        <v>Silver</v>
      </c>
      <c r="N299" s="4" t="str">
        <f t="shared" si="6"/>
        <v>OK</v>
      </c>
    </row>
    <row r="300" ht="14.25" customHeight="1">
      <c r="A300" s="4" t="s">
        <v>957</v>
      </c>
      <c r="B300" s="4" t="s">
        <v>958</v>
      </c>
      <c r="C300" s="4">
        <v>64.0</v>
      </c>
      <c r="D300" s="4" t="s">
        <v>16</v>
      </c>
      <c r="E300" s="4" t="s">
        <v>959</v>
      </c>
      <c r="F300" s="4" t="s">
        <v>445</v>
      </c>
      <c r="G300" s="4" t="s">
        <v>19</v>
      </c>
      <c r="H300" s="4" t="s">
        <v>25</v>
      </c>
      <c r="I300" s="4" t="str">
        <f t="shared" si="2"/>
        <v>Tracy Stephens</v>
      </c>
      <c r="J300" s="4" t="str">
        <f t="shared" ref="J300:K300" si="303">TRIM(PROPER(E300))</f>
        <v>New Joshuatown</v>
      </c>
      <c r="K300" s="4" t="str">
        <f t="shared" si="303"/>
        <v>Maine</v>
      </c>
      <c r="L300" s="4" t="str">
        <f t="shared" si="4"/>
        <v>Male</v>
      </c>
      <c r="M300" s="4" t="str">
        <f t="shared" si="5"/>
        <v>Platinum</v>
      </c>
      <c r="N300" s="4" t="str">
        <f t="shared" si="6"/>
        <v>OK</v>
      </c>
    </row>
    <row r="301" ht="14.25" customHeight="1">
      <c r="A301" s="4" t="s">
        <v>960</v>
      </c>
      <c r="B301" s="4" t="s">
        <v>961</v>
      </c>
      <c r="C301" s="4">
        <v>48.0</v>
      </c>
      <c r="D301" s="4" t="s">
        <v>22</v>
      </c>
      <c r="E301" s="4" t="s">
        <v>962</v>
      </c>
      <c r="F301" s="4" t="s">
        <v>338</v>
      </c>
      <c r="G301" s="4" t="s">
        <v>19</v>
      </c>
      <c r="H301" s="4" t="s">
        <v>25</v>
      </c>
      <c r="I301" s="4" t="str">
        <f t="shared" si="2"/>
        <v>Stephanie Jacobs</v>
      </c>
      <c r="J301" s="4" t="str">
        <f t="shared" ref="J301:K301" si="304">TRIM(PROPER(E301))</f>
        <v>West Robinmouth</v>
      </c>
      <c r="K301" s="4" t="str">
        <f t="shared" si="304"/>
        <v>Louisiana</v>
      </c>
      <c r="L301" s="4" t="str">
        <f t="shared" si="4"/>
        <v>Female</v>
      </c>
      <c r="M301" s="4" t="str">
        <f t="shared" si="5"/>
        <v>Platinum</v>
      </c>
      <c r="N301" s="4" t="str">
        <f t="shared" si="6"/>
        <v>OK</v>
      </c>
    </row>
    <row r="302" ht="14.25" customHeight="1">
      <c r="A302" s="4" t="s">
        <v>963</v>
      </c>
      <c r="B302" s="4" t="s">
        <v>964</v>
      </c>
      <c r="C302" s="4">
        <v>29.0</v>
      </c>
      <c r="D302" s="4" t="s">
        <v>16</v>
      </c>
      <c r="E302" s="4" t="s">
        <v>965</v>
      </c>
      <c r="F302" s="4" t="s">
        <v>43</v>
      </c>
      <c r="G302" s="4" t="s">
        <v>19</v>
      </c>
      <c r="H302" s="4" t="s">
        <v>39</v>
      </c>
      <c r="I302" s="4" t="str">
        <f t="shared" si="2"/>
        <v>Matthew Avery</v>
      </c>
      <c r="J302" s="4" t="str">
        <f t="shared" ref="J302:K302" si="305">TRIM(PROPER(E302))</f>
        <v>Lake Melissashire</v>
      </c>
      <c r="K302" s="4" t="str">
        <f t="shared" si="305"/>
        <v>Oregon</v>
      </c>
      <c r="L302" s="4" t="str">
        <f t="shared" si="4"/>
        <v>Male</v>
      </c>
      <c r="M302" s="4" t="str">
        <f t="shared" si="5"/>
        <v>Silver</v>
      </c>
      <c r="N302" s="4" t="str">
        <f t="shared" si="6"/>
        <v>OK</v>
      </c>
    </row>
    <row r="303" ht="14.25" customHeight="1">
      <c r="A303" s="4" t="s">
        <v>966</v>
      </c>
      <c r="B303" s="4" t="s">
        <v>967</v>
      </c>
      <c r="C303" s="4">
        <v>50.0</v>
      </c>
      <c r="D303" s="4" t="s">
        <v>16</v>
      </c>
      <c r="E303" s="4" t="s">
        <v>968</v>
      </c>
      <c r="F303" s="4" t="s">
        <v>297</v>
      </c>
      <c r="G303" s="4" t="s">
        <v>19</v>
      </c>
      <c r="H303" s="4" t="s">
        <v>56</v>
      </c>
      <c r="I303" s="4" t="str">
        <f t="shared" si="2"/>
        <v>Ryan Kane</v>
      </c>
      <c r="J303" s="4" t="str">
        <f t="shared" ref="J303:K303" si="306">TRIM(PROPER(E303))</f>
        <v>West Bruceburgh</v>
      </c>
      <c r="K303" s="4" t="str">
        <f t="shared" si="306"/>
        <v>Virginia</v>
      </c>
      <c r="L303" s="4" t="str">
        <f t="shared" si="4"/>
        <v>Male</v>
      </c>
      <c r="M303" s="4" t="str">
        <f t="shared" si="5"/>
        <v>Gold</v>
      </c>
      <c r="N303" s="4" t="str">
        <f t="shared" si="6"/>
        <v>OK</v>
      </c>
    </row>
    <row r="304" ht="14.25" customHeight="1">
      <c r="A304" s="4" t="s">
        <v>969</v>
      </c>
      <c r="B304" s="4" t="s">
        <v>970</v>
      </c>
      <c r="C304" s="4">
        <v>36.0</v>
      </c>
      <c r="D304" s="4" t="s">
        <v>16</v>
      </c>
      <c r="E304" s="4" t="s">
        <v>971</v>
      </c>
      <c r="F304" s="4" t="s">
        <v>143</v>
      </c>
      <c r="G304" s="4" t="s">
        <v>19</v>
      </c>
      <c r="H304" s="4" t="s">
        <v>56</v>
      </c>
      <c r="I304" s="4" t="str">
        <f t="shared" si="2"/>
        <v>Edward Cole</v>
      </c>
      <c r="J304" s="4" t="str">
        <f t="shared" ref="J304:K304" si="307">TRIM(PROPER(E304))</f>
        <v>Lake Charlotte</v>
      </c>
      <c r="K304" s="4" t="str">
        <f t="shared" si="307"/>
        <v>Arizona</v>
      </c>
      <c r="L304" s="4" t="str">
        <f t="shared" si="4"/>
        <v>Male</v>
      </c>
      <c r="M304" s="4" t="str">
        <f t="shared" si="5"/>
        <v>Gold</v>
      </c>
      <c r="N304" s="4" t="str">
        <f t="shared" si="6"/>
        <v>OK</v>
      </c>
    </row>
    <row r="305" ht="14.25" customHeight="1">
      <c r="A305" s="4" t="s">
        <v>972</v>
      </c>
      <c r="B305" s="4" t="s">
        <v>973</v>
      </c>
      <c r="C305" s="4">
        <v>23.0</v>
      </c>
      <c r="D305" s="4" t="s">
        <v>22</v>
      </c>
      <c r="E305" s="4" t="s">
        <v>974</v>
      </c>
      <c r="F305" s="4" t="s">
        <v>101</v>
      </c>
      <c r="G305" s="4" t="s">
        <v>19</v>
      </c>
      <c r="H305" s="4" t="s">
        <v>25</v>
      </c>
      <c r="I305" s="4" t="str">
        <f t="shared" si="2"/>
        <v>John Sloan</v>
      </c>
      <c r="J305" s="4" t="str">
        <f t="shared" ref="J305:K305" si="308">TRIM(PROPER(E305))</f>
        <v>East Johntown</v>
      </c>
      <c r="K305" s="4" t="str">
        <f t="shared" si="308"/>
        <v>Delaware</v>
      </c>
      <c r="L305" s="4" t="str">
        <f t="shared" si="4"/>
        <v>Female</v>
      </c>
      <c r="M305" s="4" t="str">
        <f t="shared" si="5"/>
        <v>Platinum</v>
      </c>
      <c r="N305" s="4" t="str">
        <f t="shared" si="6"/>
        <v>OK</v>
      </c>
    </row>
    <row r="306" ht="14.25" customHeight="1">
      <c r="A306" s="4" t="s">
        <v>975</v>
      </c>
      <c r="B306" s="4" t="s">
        <v>976</v>
      </c>
      <c r="C306" s="4">
        <v>41.0</v>
      </c>
      <c r="D306" s="4" t="s">
        <v>16</v>
      </c>
      <c r="E306" s="4" t="s">
        <v>977</v>
      </c>
      <c r="F306" s="4" t="s">
        <v>71</v>
      </c>
      <c r="G306" s="4" t="s">
        <v>19</v>
      </c>
      <c r="H306" s="4" t="s">
        <v>39</v>
      </c>
      <c r="I306" s="4" t="str">
        <f t="shared" si="2"/>
        <v>Miss Alexandria Li Dvm</v>
      </c>
      <c r="J306" s="4" t="str">
        <f t="shared" ref="J306:K306" si="309">TRIM(PROPER(E306))</f>
        <v>Port Jenniferton</v>
      </c>
      <c r="K306" s="4" t="str">
        <f t="shared" si="309"/>
        <v>Kansas</v>
      </c>
      <c r="L306" s="4" t="str">
        <f t="shared" si="4"/>
        <v>Male</v>
      </c>
      <c r="M306" s="4" t="str">
        <f t="shared" si="5"/>
        <v>Silver</v>
      </c>
      <c r="N306" s="4" t="str">
        <f t="shared" si="6"/>
        <v>OK</v>
      </c>
    </row>
    <row r="307" ht="14.25" customHeight="1">
      <c r="A307" s="4" t="s">
        <v>978</v>
      </c>
      <c r="B307" s="4" t="s">
        <v>979</v>
      </c>
      <c r="C307" s="4">
        <v>64.0</v>
      </c>
      <c r="D307" s="4" t="s">
        <v>16</v>
      </c>
      <c r="E307" s="4" t="s">
        <v>980</v>
      </c>
      <c r="F307" s="4" t="s">
        <v>83</v>
      </c>
      <c r="G307" s="4" t="s">
        <v>19</v>
      </c>
      <c r="H307" s="4" t="s">
        <v>25</v>
      </c>
      <c r="I307" s="4" t="str">
        <f t="shared" si="2"/>
        <v>Roberta Green</v>
      </c>
      <c r="J307" s="4" t="str">
        <f t="shared" ref="J307:K307" si="310">TRIM(PROPER(E307))</f>
        <v>West Joseph</v>
      </c>
      <c r="K307" s="4" t="str">
        <f t="shared" si="310"/>
        <v>Washington</v>
      </c>
      <c r="L307" s="4" t="str">
        <f t="shared" si="4"/>
        <v>Male</v>
      </c>
      <c r="M307" s="4" t="str">
        <f t="shared" si="5"/>
        <v>Platinum</v>
      </c>
      <c r="N307" s="4" t="str">
        <f t="shared" si="6"/>
        <v>OK</v>
      </c>
    </row>
    <row r="308" ht="14.25" customHeight="1">
      <c r="A308" s="4" t="s">
        <v>981</v>
      </c>
      <c r="B308" s="4" t="s">
        <v>982</v>
      </c>
      <c r="C308" s="4">
        <v>44.0</v>
      </c>
      <c r="D308" s="4" t="s">
        <v>16</v>
      </c>
      <c r="E308" s="4" t="s">
        <v>983</v>
      </c>
      <c r="F308" s="4" t="s">
        <v>247</v>
      </c>
      <c r="G308" s="4" t="s">
        <v>19</v>
      </c>
      <c r="H308" s="4" t="s">
        <v>25</v>
      </c>
      <c r="I308" s="4" t="str">
        <f t="shared" si="2"/>
        <v>Angela Robinson</v>
      </c>
      <c r="J308" s="4" t="str">
        <f t="shared" ref="J308:K308" si="311">TRIM(PROPER(E308))</f>
        <v>New Nicholasstad</v>
      </c>
      <c r="K308" s="4" t="str">
        <f t="shared" si="311"/>
        <v>Tennessee</v>
      </c>
      <c r="L308" s="4" t="str">
        <f t="shared" si="4"/>
        <v>Male</v>
      </c>
      <c r="M308" s="4" t="str">
        <f t="shared" si="5"/>
        <v>Platinum</v>
      </c>
      <c r="N308" s="4" t="str">
        <f t="shared" si="6"/>
        <v>OK</v>
      </c>
    </row>
    <row r="309" ht="14.25" customHeight="1">
      <c r="A309" s="4" t="s">
        <v>984</v>
      </c>
      <c r="B309" s="4" t="s">
        <v>985</v>
      </c>
      <c r="C309" s="4">
        <v>56.0</v>
      </c>
      <c r="D309" s="4" t="s">
        <v>22</v>
      </c>
      <c r="E309" s="4" t="s">
        <v>986</v>
      </c>
      <c r="F309" s="4" t="s">
        <v>29</v>
      </c>
      <c r="G309" s="4" t="s">
        <v>19</v>
      </c>
      <c r="H309" s="4" t="s">
        <v>34</v>
      </c>
      <c r="I309" s="4" t="str">
        <f t="shared" si="2"/>
        <v>Brandy Thompson</v>
      </c>
      <c r="J309" s="4" t="str">
        <f t="shared" ref="J309:K309" si="312">TRIM(PROPER(E309))</f>
        <v>West Patriciaview</v>
      </c>
      <c r="K309" s="4" t="str">
        <f t="shared" si="312"/>
        <v>Alabama</v>
      </c>
      <c r="L309" s="4" t="str">
        <f t="shared" si="4"/>
        <v>Female</v>
      </c>
      <c r="M309" s="4" t="str">
        <f t="shared" si="5"/>
        <v>Bronze</v>
      </c>
      <c r="N309" s="4" t="str">
        <f t="shared" si="6"/>
        <v>OK</v>
      </c>
    </row>
    <row r="310" ht="14.25" customHeight="1">
      <c r="A310" s="4" t="s">
        <v>987</v>
      </c>
      <c r="B310" s="4" t="s">
        <v>988</v>
      </c>
      <c r="C310" s="4">
        <v>60.0</v>
      </c>
      <c r="D310" s="4" t="s">
        <v>22</v>
      </c>
      <c r="E310" s="4" t="s">
        <v>989</v>
      </c>
      <c r="F310" s="4" t="s">
        <v>277</v>
      </c>
      <c r="G310" s="4" t="s">
        <v>19</v>
      </c>
      <c r="H310" s="4" t="s">
        <v>56</v>
      </c>
      <c r="I310" s="4" t="str">
        <f t="shared" si="2"/>
        <v>Jennifer Zamora</v>
      </c>
      <c r="J310" s="4" t="str">
        <f t="shared" ref="J310:K310" si="313">TRIM(PROPER(E310))</f>
        <v>Sarahland</v>
      </c>
      <c r="K310" s="4" t="str">
        <f t="shared" si="313"/>
        <v>Iowa</v>
      </c>
      <c r="L310" s="4" t="str">
        <f t="shared" si="4"/>
        <v>Female</v>
      </c>
      <c r="M310" s="4" t="str">
        <f t="shared" si="5"/>
        <v>Gold</v>
      </c>
      <c r="N310" s="4" t="str">
        <f t="shared" si="6"/>
        <v>OK</v>
      </c>
    </row>
    <row r="311" ht="14.25" customHeight="1">
      <c r="A311" s="4" t="s">
        <v>990</v>
      </c>
      <c r="B311" s="4" t="s">
        <v>991</v>
      </c>
      <c r="C311" s="4">
        <v>41.0</v>
      </c>
      <c r="D311" s="4" t="s">
        <v>22</v>
      </c>
      <c r="E311" s="4" t="s">
        <v>992</v>
      </c>
      <c r="F311" s="4" t="s">
        <v>38</v>
      </c>
      <c r="G311" s="4" t="s">
        <v>19</v>
      </c>
      <c r="H311" s="4" t="s">
        <v>34</v>
      </c>
      <c r="I311" s="4" t="str">
        <f t="shared" si="2"/>
        <v>Stacy Collins</v>
      </c>
      <c r="J311" s="4" t="str">
        <f t="shared" ref="J311:K311" si="314">TRIM(PROPER(E311))</f>
        <v>Randychester</v>
      </c>
      <c r="K311" s="4" t="str">
        <f t="shared" si="314"/>
        <v>California</v>
      </c>
      <c r="L311" s="4" t="str">
        <f t="shared" si="4"/>
        <v>Female</v>
      </c>
      <c r="M311" s="4" t="str">
        <f t="shared" si="5"/>
        <v>Bronze</v>
      </c>
      <c r="N311" s="4" t="str">
        <f t="shared" si="6"/>
        <v>OK</v>
      </c>
    </row>
    <row r="312" ht="14.25" customHeight="1">
      <c r="A312" s="4" t="s">
        <v>993</v>
      </c>
      <c r="B312" s="4" t="s">
        <v>994</v>
      </c>
      <c r="C312" s="4">
        <v>20.0</v>
      </c>
      <c r="D312" s="4" t="s">
        <v>16</v>
      </c>
      <c r="E312" s="4" t="s">
        <v>995</v>
      </c>
      <c r="F312" s="4" t="s">
        <v>181</v>
      </c>
      <c r="G312" s="4" t="s">
        <v>19</v>
      </c>
      <c r="H312" s="4" t="s">
        <v>39</v>
      </c>
      <c r="I312" s="4" t="str">
        <f t="shared" si="2"/>
        <v>Kara Dodson</v>
      </c>
      <c r="J312" s="4" t="str">
        <f t="shared" ref="J312:K312" si="315">TRIM(PROPER(E312))</f>
        <v>Joelside</v>
      </c>
      <c r="K312" s="4" t="str">
        <f t="shared" si="315"/>
        <v>Vermont</v>
      </c>
      <c r="L312" s="4" t="str">
        <f t="shared" si="4"/>
        <v>Male</v>
      </c>
      <c r="M312" s="4" t="str">
        <f t="shared" si="5"/>
        <v>Silver</v>
      </c>
      <c r="N312" s="4" t="str">
        <f t="shared" si="6"/>
        <v>OK</v>
      </c>
    </row>
    <row r="313" ht="14.25" customHeight="1">
      <c r="A313" s="4" t="s">
        <v>996</v>
      </c>
      <c r="B313" s="4" t="s">
        <v>997</v>
      </c>
      <c r="C313" s="4">
        <v>35.0</v>
      </c>
      <c r="D313" s="4" t="s">
        <v>16</v>
      </c>
      <c r="E313" s="4" t="s">
        <v>998</v>
      </c>
      <c r="F313" s="4" t="s">
        <v>43</v>
      </c>
      <c r="G313" s="4" t="s">
        <v>19</v>
      </c>
      <c r="H313" s="4" t="s">
        <v>25</v>
      </c>
      <c r="I313" s="4" t="str">
        <f t="shared" si="2"/>
        <v>Kevin Larson</v>
      </c>
      <c r="J313" s="4" t="str">
        <f t="shared" ref="J313:K313" si="316">TRIM(PROPER(E313))</f>
        <v>Port Edwardmouth</v>
      </c>
      <c r="K313" s="4" t="str">
        <f t="shared" si="316"/>
        <v>Oregon</v>
      </c>
      <c r="L313" s="4" t="str">
        <f t="shared" si="4"/>
        <v>Male</v>
      </c>
      <c r="M313" s="4" t="str">
        <f t="shared" si="5"/>
        <v>Platinum</v>
      </c>
      <c r="N313" s="4" t="str">
        <f t="shared" si="6"/>
        <v>OK</v>
      </c>
    </row>
    <row r="314" ht="14.25" customHeight="1">
      <c r="A314" s="4" t="s">
        <v>999</v>
      </c>
      <c r="B314" s="4" t="s">
        <v>1000</v>
      </c>
      <c r="C314" s="4">
        <v>47.0</v>
      </c>
      <c r="D314" s="4" t="s">
        <v>22</v>
      </c>
      <c r="E314" s="4" t="s">
        <v>1001</v>
      </c>
      <c r="F314" s="4" t="s">
        <v>101</v>
      </c>
      <c r="G314" s="4" t="s">
        <v>19</v>
      </c>
      <c r="H314" s="4" t="s">
        <v>39</v>
      </c>
      <c r="I314" s="4" t="str">
        <f t="shared" si="2"/>
        <v>Jason Mullins</v>
      </c>
      <c r="J314" s="4" t="str">
        <f t="shared" ref="J314:K314" si="317">TRIM(PROPER(E314))</f>
        <v>Brianchester</v>
      </c>
      <c r="K314" s="4" t="str">
        <f t="shared" si="317"/>
        <v>Delaware</v>
      </c>
      <c r="L314" s="4" t="str">
        <f t="shared" si="4"/>
        <v>Female</v>
      </c>
      <c r="M314" s="4" t="str">
        <f t="shared" si="5"/>
        <v>Silver</v>
      </c>
      <c r="N314" s="4" t="str">
        <f t="shared" si="6"/>
        <v>OK</v>
      </c>
    </row>
    <row r="315" ht="14.25" customHeight="1">
      <c r="A315" s="4" t="s">
        <v>1002</v>
      </c>
      <c r="B315" s="4" t="s">
        <v>1003</v>
      </c>
      <c r="C315" s="4">
        <v>62.0</v>
      </c>
      <c r="D315" s="4" t="s">
        <v>16</v>
      </c>
      <c r="E315" s="4" t="s">
        <v>1004</v>
      </c>
      <c r="F315" s="4" t="s">
        <v>150</v>
      </c>
      <c r="G315" s="4" t="s">
        <v>19</v>
      </c>
      <c r="H315" s="4" t="s">
        <v>25</v>
      </c>
      <c r="I315" s="4" t="str">
        <f t="shared" si="2"/>
        <v>Elizabeth Jones</v>
      </c>
      <c r="J315" s="4" t="str">
        <f t="shared" ref="J315:K315" si="318">TRIM(PROPER(E315))</f>
        <v>Brownburgh</v>
      </c>
      <c r="K315" s="4" t="str">
        <f t="shared" si="318"/>
        <v>Maryland</v>
      </c>
      <c r="L315" s="4" t="str">
        <f t="shared" si="4"/>
        <v>Male</v>
      </c>
      <c r="M315" s="4" t="str">
        <f t="shared" si="5"/>
        <v>Platinum</v>
      </c>
      <c r="N315" s="4" t="str">
        <f t="shared" si="6"/>
        <v>OK</v>
      </c>
    </row>
    <row r="316" ht="14.25" customHeight="1">
      <c r="A316" s="4" t="s">
        <v>1005</v>
      </c>
      <c r="B316" s="4" t="s">
        <v>1006</v>
      </c>
      <c r="C316" s="4">
        <v>53.0</v>
      </c>
      <c r="D316" s="4" t="s">
        <v>22</v>
      </c>
      <c r="E316" s="4" t="s">
        <v>1007</v>
      </c>
      <c r="F316" s="4" t="s">
        <v>83</v>
      </c>
      <c r="G316" s="4" t="s">
        <v>19</v>
      </c>
      <c r="H316" s="4" t="s">
        <v>39</v>
      </c>
      <c r="I316" s="4" t="str">
        <f t="shared" si="2"/>
        <v>Elizabeth Johnson</v>
      </c>
      <c r="J316" s="4" t="str">
        <f t="shared" ref="J316:K316" si="319">TRIM(PROPER(E316))</f>
        <v>Anitaland</v>
      </c>
      <c r="K316" s="4" t="str">
        <f t="shared" si="319"/>
        <v>Washington</v>
      </c>
      <c r="L316" s="4" t="str">
        <f t="shared" si="4"/>
        <v>Female</v>
      </c>
      <c r="M316" s="4" t="str">
        <f t="shared" si="5"/>
        <v>Silver</v>
      </c>
      <c r="N316" s="4" t="str">
        <f t="shared" si="6"/>
        <v>OK</v>
      </c>
    </row>
    <row r="317" ht="14.25" customHeight="1">
      <c r="A317" s="4" t="s">
        <v>1008</v>
      </c>
      <c r="B317" s="4" t="s">
        <v>1009</v>
      </c>
      <c r="C317" s="4">
        <v>49.0</v>
      </c>
      <c r="D317" s="4" t="s">
        <v>16</v>
      </c>
      <c r="E317" s="4" t="s">
        <v>1010</v>
      </c>
      <c r="F317" s="4" t="s">
        <v>729</v>
      </c>
      <c r="G317" s="4" t="s">
        <v>19</v>
      </c>
      <c r="H317" s="4" t="s">
        <v>39</v>
      </c>
      <c r="I317" s="4" t="str">
        <f t="shared" si="2"/>
        <v>William Rodriguez</v>
      </c>
      <c r="J317" s="4" t="str">
        <f t="shared" ref="J317:K317" si="320">TRIM(PROPER(E317))</f>
        <v>Port Chad</v>
      </c>
      <c r="K317" s="4" t="str">
        <f t="shared" si="320"/>
        <v>Massachusetts</v>
      </c>
      <c r="L317" s="4" t="str">
        <f t="shared" si="4"/>
        <v>Male</v>
      </c>
      <c r="M317" s="4" t="str">
        <f t="shared" si="5"/>
        <v>Silver</v>
      </c>
      <c r="N317" s="4" t="str">
        <f t="shared" si="6"/>
        <v>OK</v>
      </c>
    </row>
    <row r="318" ht="14.25" customHeight="1">
      <c r="A318" s="4" t="s">
        <v>1011</v>
      </c>
      <c r="B318" s="4" t="s">
        <v>1012</v>
      </c>
      <c r="C318" s="4">
        <v>34.0</v>
      </c>
      <c r="D318" s="4" t="s">
        <v>16</v>
      </c>
      <c r="E318" s="4" t="s">
        <v>1013</v>
      </c>
      <c r="F318" s="4" t="s">
        <v>150</v>
      </c>
      <c r="G318" s="4" t="s">
        <v>19</v>
      </c>
      <c r="H318" s="4" t="s">
        <v>56</v>
      </c>
      <c r="I318" s="4" t="str">
        <f t="shared" si="2"/>
        <v>Robert House</v>
      </c>
      <c r="J318" s="4" t="str">
        <f t="shared" ref="J318:K318" si="321">TRIM(PROPER(E318))</f>
        <v>Lake James</v>
      </c>
      <c r="K318" s="4" t="str">
        <f t="shared" si="321"/>
        <v>Maryland</v>
      </c>
      <c r="L318" s="4" t="str">
        <f t="shared" si="4"/>
        <v>Male</v>
      </c>
      <c r="M318" s="4" t="str">
        <f t="shared" si="5"/>
        <v>Gold</v>
      </c>
      <c r="N318" s="4" t="str">
        <f t="shared" si="6"/>
        <v>OK</v>
      </c>
    </row>
    <row r="319" ht="14.25" customHeight="1">
      <c r="A319" s="4" t="s">
        <v>1014</v>
      </c>
      <c r="B319" s="4" t="s">
        <v>1015</v>
      </c>
      <c r="C319" s="4">
        <v>64.0</v>
      </c>
      <c r="D319" s="4" t="s">
        <v>22</v>
      </c>
      <c r="E319" s="4" t="s">
        <v>1016</v>
      </c>
      <c r="F319" s="4" t="s">
        <v>55</v>
      </c>
      <c r="G319" s="4" t="s">
        <v>19</v>
      </c>
      <c r="H319" s="4" t="s">
        <v>56</v>
      </c>
      <c r="I319" s="4" t="str">
        <f t="shared" si="2"/>
        <v>Tiffany Williams</v>
      </c>
      <c r="J319" s="4" t="str">
        <f t="shared" ref="J319:K319" si="322">TRIM(PROPER(E319))</f>
        <v>Richardsport</v>
      </c>
      <c r="K319" s="4" t="str">
        <f t="shared" si="322"/>
        <v>New Hampshire</v>
      </c>
      <c r="L319" s="4" t="str">
        <f t="shared" si="4"/>
        <v>Female</v>
      </c>
      <c r="M319" s="4" t="str">
        <f t="shared" si="5"/>
        <v>Gold</v>
      </c>
      <c r="N319" s="4" t="str">
        <f t="shared" si="6"/>
        <v>OK</v>
      </c>
    </row>
    <row r="320" ht="14.25" customHeight="1">
      <c r="A320" s="4" t="s">
        <v>1017</v>
      </c>
      <c r="B320" s="4" t="s">
        <v>1018</v>
      </c>
      <c r="C320" s="4">
        <v>25.0</v>
      </c>
      <c r="D320" s="4" t="s">
        <v>16</v>
      </c>
      <c r="E320" s="4" t="s">
        <v>1019</v>
      </c>
      <c r="F320" s="4" t="s">
        <v>71</v>
      </c>
      <c r="G320" s="4" t="s">
        <v>19</v>
      </c>
      <c r="H320" s="4" t="s">
        <v>25</v>
      </c>
      <c r="I320" s="4" t="str">
        <f t="shared" si="2"/>
        <v>Madison Wright</v>
      </c>
      <c r="J320" s="4" t="str">
        <f t="shared" ref="J320:K320" si="323">TRIM(PROPER(E320))</f>
        <v>Monicaview</v>
      </c>
      <c r="K320" s="4" t="str">
        <f t="shared" si="323"/>
        <v>Kansas</v>
      </c>
      <c r="L320" s="4" t="str">
        <f t="shared" si="4"/>
        <v>Male</v>
      </c>
      <c r="M320" s="4" t="str">
        <f t="shared" si="5"/>
        <v>Platinum</v>
      </c>
      <c r="N320" s="4" t="str">
        <f t="shared" si="6"/>
        <v>OK</v>
      </c>
    </row>
    <row r="321" ht="14.25" customHeight="1">
      <c r="A321" s="4" t="s">
        <v>1020</v>
      </c>
      <c r="B321" s="4" t="s">
        <v>1021</v>
      </c>
      <c r="C321" s="4">
        <v>54.0</v>
      </c>
      <c r="D321" s="4" t="s">
        <v>16</v>
      </c>
      <c r="E321" s="4" t="s">
        <v>1022</v>
      </c>
      <c r="F321" s="4" t="s">
        <v>323</v>
      </c>
      <c r="G321" s="4" t="s">
        <v>19</v>
      </c>
      <c r="H321" s="4" t="s">
        <v>25</v>
      </c>
      <c r="I321" s="4" t="str">
        <f t="shared" si="2"/>
        <v>Casey Simpson</v>
      </c>
      <c r="J321" s="4" t="str">
        <f t="shared" ref="J321:K321" si="324">TRIM(PROPER(E321))</f>
        <v>West Mathewside</v>
      </c>
      <c r="K321" s="4" t="str">
        <f t="shared" si="324"/>
        <v>Mississippi</v>
      </c>
      <c r="L321" s="4" t="str">
        <f t="shared" si="4"/>
        <v>Male</v>
      </c>
      <c r="M321" s="4" t="str">
        <f t="shared" si="5"/>
        <v>Platinum</v>
      </c>
      <c r="N321" s="4" t="str">
        <f t="shared" si="6"/>
        <v>OK</v>
      </c>
    </row>
    <row r="322" ht="14.25" customHeight="1">
      <c r="A322" s="4" t="s">
        <v>1023</v>
      </c>
      <c r="B322" s="4" t="s">
        <v>1024</v>
      </c>
      <c r="C322" s="4">
        <v>34.0</v>
      </c>
      <c r="D322" s="4" t="s">
        <v>22</v>
      </c>
      <c r="E322" s="4" t="s">
        <v>1025</v>
      </c>
      <c r="F322" s="4" t="s">
        <v>277</v>
      </c>
      <c r="G322" s="4" t="s">
        <v>19</v>
      </c>
      <c r="H322" s="4" t="s">
        <v>34</v>
      </c>
      <c r="I322" s="4" t="str">
        <f t="shared" si="2"/>
        <v>Jessica Gonzalez</v>
      </c>
      <c r="J322" s="4" t="str">
        <f t="shared" ref="J322:K322" si="325">TRIM(PROPER(E322))</f>
        <v>South Darrenland</v>
      </c>
      <c r="K322" s="4" t="str">
        <f t="shared" si="325"/>
        <v>Iowa</v>
      </c>
      <c r="L322" s="4" t="str">
        <f t="shared" si="4"/>
        <v>Female</v>
      </c>
      <c r="M322" s="4" t="str">
        <f t="shared" si="5"/>
        <v>Bronze</v>
      </c>
      <c r="N322" s="4" t="str">
        <f t="shared" si="6"/>
        <v>OK</v>
      </c>
    </row>
    <row r="323" ht="14.25" customHeight="1">
      <c r="A323" s="4" t="s">
        <v>1026</v>
      </c>
      <c r="B323" s="4" t="s">
        <v>1027</v>
      </c>
      <c r="C323" s="4">
        <v>21.0</v>
      </c>
      <c r="D323" s="4" t="s">
        <v>22</v>
      </c>
      <c r="E323" s="4" t="s">
        <v>1028</v>
      </c>
      <c r="F323" s="4" t="s">
        <v>247</v>
      </c>
      <c r="G323" s="4" t="s">
        <v>19</v>
      </c>
      <c r="H323" s="4" t="s">
        <v>34</v>
      </c>
      <c r="I323" s="4" t="str">
        <f t="shared" si="2"/>
        <v>Darren Burton</v>
      </c>
      <c r="J323" s="4" t="str">
        <f t="shared" ref="J323:K323" si="326">TRIM(PROPER(E323))</f>
        <v>Lake Alice</v>
      </c>
      <c r="K323" s="4" t="str">
        <f t="shared" si="326"/>
        <v>Tennessee</v>
      </c>
      <c r="L323" s="4" t="str">
        <f t="shared" si="4"/>
        <v>Female</v>
      </c>
      <c r="M323" s="4" t="str">
        <f t="shared" si="5"/>
        <v>Bronze</v>
      </c>
      <c r="N323" s="4" t="str">
        <f t="shared" si="6"/>
        <v>OK</v>
      </c>
    </row>
    <row r="324" ht="14.25" customHeight="1">
      <c r="A324" s="4" t="s">
        <v>1029</v>
      </c>
      <c r="B324" s="4" t="s">
        <v>1030</v>
      </c>
      <c r="C324" s="4">
        <v>54.0</v>
      </c>
      <c r="D324" s="4" t="s">
        <v>16</v>
      </c>
      <c r="E324" s="4" t="s">
        <v>1031</v>
      </c>
      <c r="F324" s="4" t="s">
        <v>860</v>
      </c>
      <c r="G324" s="4" t="s">
        <v>19</v>
      </c>
      <c r="H324" s="4" t="s">
        <v>34</v>
      </c>
      <c r="I324" s="4" t="str">
        <f t="shared" si="2"/>
        <v>Samuel Arias</v>
      </c>
      <c r="J324" s="4" t="str">
        <f t="shared" ref="J324:K324" si="327">TRIM(PROPER(E324))</f>
        <v>North Nicole</v>
      </c>
      <c r="K324" s="4" t="str">
        <f t="shared" si="327"/>
        <v>Wyoming</v>
      </c>
      <c r="L324" s="4" t="str">
        <f t="shared" si="4"/>
        <v>Male</v>
      </c>
      <c r="M324" s="4" t="str">
        <f t="shared" si="5"/>
        <v>Bronze</v>
      </c>
      <c r="N324" s="4" t="str">
        <f t="shared" si="6"/>
        <v>OK</v>
      </c>
    </row>
    <row r="325" ht="14.25" customHeight="1">
      <c r="A325" s="4" t="s">
        <v>1032</v>
      </c>
      <c r="B325" s="4" t="s">
        <v>1033</v>
      </c>
      <c r="C325" s="4">
        <v>64.0</v>
      </c>
      <c r="D325" s="4" t="s">
        <v>22</v>
      </c>
      <c r="E325" s="4" t="s">
        <v>1034</v>
      </c>
      <c r="F325" s="4" t="s">
        <v>18</v>
      </c>
      <c r="G325" s="4" t="s">
        <v>19</v>
      </c>
      <c r="H325" s="4" t="s">
        <v>25</v>
      </c>
      <c r="I325" s="4" t="str">
        <f t="shared" si="2"/>
        <v>Kristy Dunlap</v>
      </c>
      <c r="J325" s="4" t="str">
        <f t="shared" ref="J325:K325" si="328">TRIM(PROPER(E325))</f>
        <v>Whiteport</v>
      </c>
      <c r="K325" s="4" t="str">
        <f t="shared" si="328"/>
        <v>North Carolina</v>
      </c>
      <c r="L325" s="4" t="str">
        <f t="shared" si="4"/>
        <v>Female</v>
      </c>
      <c r="M325" s="4" t="str">
        <f t="shared" si="5"/>
        <v>Platinum</v>
      </c>
      <c r="N325" s="4" t="str">
        <f t="shared" si="6"/>
        <v>OK</v>
      </c>
    </row>
    <row r="326" ht="14.25" customHeight="1">
      <c r="A326" s="4" t="s">
        <v>1035</v>
      </c>
      <c r="B326" s="4" t="s">
        <v>1036</v>
      </c>
      <c r="C326" s="4">
        <v>58.0</v>
      </c>
      <c r="D326" s="4" t="s">
        <v>16</v>
      </c>
      <c r="E326" s="4" t="s">
        <v>1037</v>
      </c>
      <c r="F326" s="4" t="s">
        <v>105</v>
      </c>
      <c r="G326" s="4" t="s">
        <v>19</v>
      </c>
      <c r="H326" s="4" t="s">
        <v>34</v>
      </c>
      <c r="I326" s="4" t="str">
        <f t="shared" si="2"/>
        <v>Alex Mann Ii</v>
      </c>
      <c r="J326" s="4" t="str">
        <f t="shared" ref="J326:K326" si="329">TRIM(PROPER(E326))</f>
        <v>South Zacharychester</v>
      </c>
      <c r="K326" s="4" t="str">
        <f t="shared" si="329"/>
        <v>Oklahoma</v>
      </c>
      <c r="L326" s="4" t="str">
        <f t="shared" si="4"/>
        <v>Male</v>
      </c>
      <c r="M326" s="4" t="str">
        <f t="shared" si="5"/>
        <v>Bronze</v>
      </c>
      <c r="N326" s="4" t="str">
        <f t="shared" si="6"/>
        <v>OK</v>
      </c>
    </row>
    <row r="327" ht="14.25" customHeight="1">
      <c r="A327" s="4" t="s">
        <v>1038</v>
      </c>
      <c r="B327" s="4" t="s">
        <v>1039</v>
      </c>
      <c r="C327" s="4">
        <v>60.0</v>
      </c>
      <c r="D327" s="4" t="s">
        <v>16</v>
      </c>
      <c r="E327" s="4" t="s">
        <v>1040</v>
      </c>
      <c r="F327" s="4" t="s">
        <v>334</v>
      </c>
      <c r="G327" s="4" t="s">
        <v>19</v>
      </c>
      <c r="H327" s="4" t="s">
        <v>34</v>
      </c>
      <c r="I327" s="4" t="str">
        <f t="shared" si="2"/>
        <v>Andrew Smith</v>
      </c>
      <c r="J327" s="4" t="str">
        <f t="shared" ref="J327:K327" si="330">TRIM(PROPER(E327))</f>
        <v>East Matthew</v>
      </c>
      <c r="K327" s="4" t="str">
        <f t="shared" si="330"/>
        <v>Wisconsin</v>
      </c>
      <c r="L327" s="4" t="str">
        <f t="shared" si="4"/>
        <v>Male</v>
      </c>
      <c r="M327" s="4" t="str">
        <f t="shared" si="5"/>
        <v>Bronze</v>
      </c>
      <c r="N327" s="4" t="str">
        <f t="shared" si="6"/>
        <v>OK</v>
      </c>
    </row>
    <row r="328" ht="14.25" customHeight="1">
      <c r="A328" s="4" t="s">
        <v>1041</v>
      </c>
      <c r="B328" s="4" t="s">
        <v>1042</v>
      </c>
      <c r="C328" s="4">
        <v>58.0</v>
      </c>
      <c r="D328" s="4" t="s">
        <v>22</v>
      </c>
      <c r="E328" s="4" t="s">
        <v>1043</v>
      </c>
      <c r="F328" s="4" t="s">
        <v>227</v>
      </c>
      <c r="G328" s="4" t="s">
        <v>19</v>
      </c>
      <c r="H328" s="4" t="s">
        <v>56</v>
      </c>
      <c r="I328" s="4" t="str">
        <f t="shared" si="2"/>
        <v>Robert King</v>
      </c>
      <c r="J328" s="4" t="str">
        <f t="shared" ref="J328:K328" si="331">TRIM(PROPER(E328))</f>
        <v>Cindyton</v>
      </c>
      <c r="K328" s="4" t="str">
        <f t="shared" si="331"/>
        <v>Rhode Island</v>
      </c>
      <c r="L328" s="4" t="str">
        <f t="shared" si="4"/>
        <v>Female</v>
      </c>
      <c r="M328" s="4" t="str">
        <f t="shared" si="5"/>
        <v>Gold</v>
      </c>
      <c r="N328" s="4" t="str">
        <f t="shared" si="6"/>
        <v>OK</v>
      </c>
    </row>
    <row r="329" ht="14.25" customHeight="1">
      <c r="A329" s="4" t="s">
        <v>1044</v>
      </c>
      <c r="B329" s="4" t="s">
        <v>1045</v>
      </c>
      <c r="C329" s="4">
        <v>62.0</v>
      </c>
      <c r="D329" s="4" t="s">
        <v>22</v>
      </c>
      <c r="E329" s="4" t="s">
        <v>1046</v>
      </c>
      <c r="F329" s="4" t="s">
        <v>67</v>
      </c>
      <c r="G329" s="4" t="s">
        <v>19</v>
      </c>
      <c r="H329" s="4" t="s">
        <v>34</v>
      </c>
      <c r="I329" s="4" t="str">
        <f t="shared" si="2"/>
        <v>Reginald Willis</v>
      </c>
      <c r="J329" s="4" t="str">
        <f t="shared" ref="J329:K329" si="332">TRIM(PROPER(E329))</f>
        <v>Kellybury</v>
      </c>
      <c r="K329" s="4" t="str">
        <f t="shared" si="332"/>
        <v>New York</v>
      </c>
      <c r="L329" s="4" t="str">
        <f t="shared" si="4"/>
        <v>Female</v>
      </c>
      <c r="M329" s="4" t="str">
        <f t="shared" si="5"/>
        <v>Bronze</v>
      </c>
      <c r="N329" s="4" t="str">
        <f t="shared" si="6"/>
        <v>OK</v>
      </c>
    </row>
    <row r="330" ht="14.25" customHeight="1">
      <c r="A330" s="4" t="s">
        <v>1047</v>
      </c>
      <c r="B330" s="4" t="s">
        <v>1048</v>
      </c>
      <c r="C330" s="4">
        <v>46.0</v>
      </c>
      <c r="D330" s="4" t="s">
        <v>16</v>
      </c>
      <c r="E330" s="4" t="s">
        <v>1049</v>
      </c>
      <c r="F330" s="4" t="s">
        <v>211</v>
      </c>
      <c r="G330" s="4" t="s">
        <v>19</v>
      </c>
      <c r="H330" s="4" t="s">
        <v>25</v>
      </c>
      <c r="I330" s="4" t="str">
        <f t="shared" si="2"/>
        <v>Mario Harvey Jr.</v>
      </c>
      <c r="J330" s="4" t="str">
        <f t="shared" ref="J330:K330" si="333">TRIM(PROPER(E330))</f>
        <v>Jessicaport</v>
      </c>
      <c r="K330" s="4" t="str">
        <f t="shared" si="333"/>
        <v>Minnesota</v>
      </c>
      <c r="L330" s="4" t="str">
        <f t="shared" si="4"/>
        <v>Male</v>
      </c>
      <c r="M330" s="4" t="str">
        <f t="shared" si="5"/>
        <v>Platinum</v>
      </c>
      <c r="N330" s="4" t="str">
        <f t="shared" si="6"/>
        <v>OK</v>
      </c>
    </row>
    <row r="331" ht="14.25" customHeight="1">
      <c r="A331" s="4" t="s">
        <v>1050</v>
      </c>
      <c r="B331" s="4" t="s">
        <v>1051</v>
      </c>
      <c r="C331" s="4">
        <v>62.0</v>
      </c>
      <c r="D331" s="4" t="s">
        <v>22</v>
      </c>
      <c r="E331" s="4" t="s">
        <v>1052</v>
      </c>
      <c r="F331" s="4" t="s">
        <v>211</v>
      </c>
      <c r="G331" s="4" t="s">
        <v>19</v>
      </c>
      <c r="H331" s="4" t="s">
        <v>34</v>
      </c>
      <c r="I331" s="4" t="str">
        <f t="shared" si="2"/>
        <v>Victor Mcintosh</v>
      </c>
      <c r="J331" s="4" t="str">
        <f t="shared" ref="J331:K331" si="334">TRIM(PROPER(E331))</f>
        <v>Tiffanyshire</v>
      </c>
      <c r="K331" s="4" t="str">
        <f t="shared" si="334"/>
        <v>Minnesota</v>
      </c>
      <c r="L331" s="4" t="str">
        <f t="shared" si="4"/>
        <v>Female</v>
      </c>
      <c r="M331" s="4" t="str">
        <f t="shared" si="5"/>
        <v>Bronze</v>
      </c>
      <c r="N331" s="4" t="str">
        <f t="shared" si="6"/>
        <v>OK</v>
      </c>
    </row>
    <row r="332" ht="14.25" customHeight="1">
      <c r="A332" s="4" t="s">
        <v>1053</v>
      </c>
      <c r="B332" s="4" t="s">
        <v>1054</v>
      </c>
      <c r="C332" s="4">
        <v>54.0</v>
      </c>
      <c r="D332" s="4" t="s">
        <v>16</v>
      </c>
      <c r="E332" s="4" t="s">
        <v>1055</v>
      </c>
      <c r="F332" s="4" t="s">
        <v>204</v>
      </c>
      <c r="G332" s="4" t="s">
        <v>19</v>
      </c>
      <c r="H332" s="4" t="s">
        <v>25</v>
      </c>
      <c r="I332" s="4" t="str">
        <f t="shared" si="2"/>
        <v>Pamela Mcguire</v>
      </c>
      <c r="J332" s="4" t="str">
        <f t="shared" ref="J332:K332" si="335">TRIM(PROPER(E332))</f>
        <v>South Jasontown</v>
      </c>
      <c r="K332" s="4" t="str">
        <f t="shared" si="335"/>
        <v>Illinois</v>
      </c>
      <c r="L332" s="4" t="str">
        <f t="shared" si="4"/>
        <v>Male</v>
      </c>
      <c r="M332" s="4" t="str">
        <f t="shared" si="5"/>
        <v>Platinum</v>
      </c>
      <c r="N332" s="4" t="str">
        <f t="shared" si="6"/>
        <v>OK</v>
      </c>
    </row>
    <row r="333" ht="14.25" customHeight="1">
      <c r="A333" s="4" t="s">
        <v>1056</v>
      </c>
      <c r="B333" s="4" t="s">
        <v>1057</v>
      </c>
      <c r="C333" s="4">
        <v>38.0</v>
      </c>
      <c r="D333" s="4" t="s">
        <v>22</v>
      </c>
      <c r="E333" s="4" t="s">
        <v>1058</v>
      </c>
      <c r="F333" s="4" t="s">
        <v>75</v>
      </c>
      <c r="G333" s="4" t="s">
        <v>19</v>
      </c>
      <c r="H333" s="4" t="s">
        <v>34</v>
      </c>
      <c r="I333" s="4" t="str">
        <f t="shared" si="2"/>
        <v>Maria Phillips</v>
      </c>
      <c r="J333" s="4" t="str">
        <f t="shared" ref="J333:K333" si="336">TRIM(PROPER(E333))</f>
        <v>North Kathytown</v>
      </c>
      <c r="K333" s="4" t="str">
        <f t="shared" si="336"/>
        <v>Montana</v>
      </c>
      <c r="L333" s="4" t="str">
        <f t="shared" si="4"/>
        <v>Female</v>
      </c>
      <c r="M333" s="4" t="str">
        <f t="shared" si="5"/>
        <v>Bronze</v>
      </c>
      <c r="N333" s="4" t="str">
        <f t="shared" si="6"/>
        <v>OK</v>
      </c>
    </row>
    <row r="334" ht="14.25" customHeight="1">
      <c r="A334" s="4" t="s">
        <v>1059</v>
      </c>
      <c r="B334" s="4" t="s">
        <v>1060</v>
      </c>
      <c r="C334" s="4">
        <v>34.0</v>
      </c>
      <c r="D334" s="4" t="s">
        <v>22</v>
      </c>
      <c r="E334" s="4" t="s">
        <v>1061</v>
      </c>
      <c r="F334" s="4" t="s">
        <v>109</v>
      </c>
      <c r="G334" s="4" t="s">
        <v>19</v>
      </c>
      <c r="H334" s="4" t="s">
        <v>34</v>
      </c>
      <c r="I334" s="4" t="str">
        <f t="shared" si="2"/>
        <v>Dr. Lindsay Hanna</v>
      </c>
      <c r="J334" s="4" t="str">
        <f t="shared" ref="J334:K334" si="337">TRIM(PROPER(E334))</f>
        <v>New Paulstad</v>
      </c>
      <c r="K334" s="4" t="str">
        <f t="shared" si="337"/>
        <v>Hawaii</v>
      </c>
      <c r="L334" s="4" t="str">
        <f t="shared" si="4"/>
        <v>Female</v>
      </c>
      <c r="M334" s="4" t="str">
        <f t="shared" si="5"/>
        <v>Bronze</v>
      </c>
      <c r="N334" s="4" t="str">
        <f t="shared" si="6"/>
        <v>OK</v>
      </c>
    </row>
    <row r="335" ht="14.25" customHeight="1">
      <c r="A335" s="4" t="s">
        <v>1062</v>
      </c>
      <c r="B335" s="4" t="s">
        <v>1063</v>
      </c>
      <c r="C335" s="4">
        <v>64.0</v>
      </c>
      <c r="D335" s="4" t="s">
        <v>22</v>
      </c>
      <c r="E335" s="4" t="s">
        <v>1064</v>
      </c>
      <c r="F335" s="4" t="s">
        <v>90</v>
      </c>
      <c r="G335" s="4" t="s">
        <v>19</v>
      </c>
      <c r="H335" s="4" t="s">
        <v>56</v>
      </c>
      <c r="I335" s="4" t="str">
        <f t="shared" si="2"/>
        <v>Teresa Johnson</v>
      </c>
      <c r="J335" s="4" t="str">
        <f t="shared" ref="J335:K335" si="338">TRIM(PROPER(E335))</f>
        <v>Johnsonbury</v>
      </c>
      <c r="K335" s="4" t="str">
        <f t="shared" si="338"/>
        <v>Georgia</v>
      </c>
      <c r="L335" s="4" t="str">
        <f t="shared" si="4"/>
        <v>Female</v>
      </c>
      <c r="M335" s="4" t="str">
        <f t="shared" si="5"/>
        <v>Gold</v>
      </c>
      <c r="N335" s="4" t="str">
        <f t="shared" si="6"/>
        <v>OK</v>
      </c>
    </row>
    <row r="336" ht="14.25" customHeight="1">
      <c r="A336" s="4" t="s">
        <v>1065</v>
      </c>
      <c r="B336" s="4" t="s">
        <v>1066</v>
      </c>
      <c r="C336" s="4">
        <v>50.0</v>
      </c>
      <c r="D336" s="4" t="s">
        <v>22</v>
      </c>
      <c r="E336" s="4" t="s">
        <v>1067</v>
      </c>
      <c r="F336" s="4" t="s">
        <v>177</v>
      </c>
      <c r="G336" s="4" t="s">
        <v>19</v>
      </c>
      <c r="H336" s="4" t="s">
        <v>39</v>
      </c>
      <c r="I336" s="4" t="str">
        <f t="shared" si="2"/>
        <v>Mr. Christopher Sims</v>
      </c>
      <c r="J336" s="4" t="str">
        <f t="shared" ref="J336:K336" si="339">TRIM(PROPER(E336))</f>
        <v>Donaldsontown</v>
      </c>
      <c r="K336" s="4" t="str">
        <f t="shared" si="339"/>
        <v>Connecticut</v>
      </c>
      <c r="L336" s="4" t="str">
        <f t="shared" si="4"/>
        <v>Female</v>
      </c>
      <c r="M336" s="4" t="str">
        <f t="shared" si="5"/>
        <v>Silver</v>
      </c>
      <c r="N336" s="4" t="str">
        <f t="shared" si="6"/>
        <v>OK</v>
      </c>
    </row>
    <row r="337" ht="14.25" customHeight="1">
      <c r="A337" s="4" t="s">
        <v>1068</v>
      </c>
      <c r="B337" s="4" t="s">
        <v>1069</v>
      </c>
      <c r="C337" s="4">
        <v>37.0</v>
      </c>
      <c r="D337" s="4" t="s">
        <v>16</v>
      </c>
      <c r="E337" s="4" t="s">
        <v>1070</v>
      </c>
      <c r="F337" s="4" t="s">
        <v>18</v>
      </c>
      <c r="G337" s="4" t="s">
        <v>19</v>
      </c>
      <c r="H337" s="4" t="s">
        <v>25</v>
      </c>
      <c r="I337" s="4" t="str">
        <f t="shared" si="2"/>
        <v>Jennifer Woods</v>
      </c>
      <c r="J337" s="4" t="str">
        <f t="shared" ref="J337:K337" si="340">TRIM(PROPER(E337))</f>
        <v>West Brendamouth</v>
      </c>
      <c r="K337" s="4" t="str">
        <f t="shared" si="340"/>
        <v>North Carolina</v>
      </c>
      <c r="L337" s="4" t="str">
        <f t="shared" si="4"/>
        <v>Male</v>
      </c>
      <c r="M337" s="4" t="str">
        <f t="shared" si="5"/>
        <v>Platinum</v>
      </c>
      <c r="N337" s="4" t="str">
        <f t="shared" si="6"/>
        <v>OK</v>
      </c>
    </row>
    <row r="338" ht="14.25" customHeight="1">
      <c r="A338" s="4" t="s">
        <v>1071</v>
      </c>
      <c r="B338" s="4" t="s">
        <v>1072</v>
      </c>
      <c r="C338" s="4">
        <v>58.0</v>
      </c>
      <c r="D338" s="4" t="s">
        <v>22</v>
      </c>
      <c r="E338" s="4" t="s">
        <v>1073</v>
      </c>
      <c r="F338" s="4" t="s">
        <v>43</v>
      </c>
      <c r="G338" s="4" t="s">
        <v>19</v>
      </c>
      <c r="H338" s="4" t="s">
        <v>39</v>
      </c>
      <c r="I338" s="4" t="str">
        <f t="shared" si="2"/>
        <v>John Jones</v>
      </c>
      <c r="J338" s="4" t="str">
        <f t="shared" ref="J338:K338" si="341">TRIM(PROPER(E338))</f>
        <v>North Michaelborough</v>
      </c>
      <c r="K338" s="4" t="str">
        <f t="shared" si="341"/>
        <v>Oregon</v>
      </c>
      <c r="L338" s="4" t="str">
        <f t="shared" si="4"/>
        <v>Female</v>
      </c>
      <c r="M338" s="4" t="str">
        <f t="shared" si="5"/>
        <v>Silver</v>
      </c>
      <c r="N338" s="4" t="str">
        <f t="shared" si="6"/>
        <v>OK</v>
      </c>
    </row>
    <row r="339" ht="14.25" customHeight="1">
      <c r="A339" s="4" t="s">
        <v>1074</v>
      </c>
      <c r="B339" s="4" t="s">
        <v>1075</v>
      </c>
      <c r="C339" s="4">
        <v>40.0</v>
      </c>
      <c r="D339" s="4" t="s">
        <v>22</v>
      </c>
      <c r="E339" s="4" t="s">
        <v>1076</v>
      </c>
      <c r="F339" s="4" t="s">
        <v>18</v>
      </c>
      <c r="G339" s="4" t="s">
        <v>19</v>
      </c>
      <c r="H339" s="4" t="s">
        <v>34</v>
      </c>
      <c r="I339" s="4" t="str">
        <f t="shared" si="2"/>
        <v>Carol Lewis</v>
      </c>
      <c r="J339" s="4" t="str">
        <f t="shared" ref="J339:K339" si="342">TRIM(PROPER(E339))</f>
        <v>Ryanport</v>
      </c>
      <c r="K339" s="4" t="str">
        <f t="shared" si="342"/>
        <v>North Carolina</v>
      </c>
      <c r="L339" s="4" t="str">
        <f t="shared" si="4"/>
        <v>Female</v>
      </c>
      <c r="M339" s="4" t="str">
        <f t="shared" si="5"/>
        <v>Bronze</v>
      </c>
      <c r="N339" s="4" t="str">
        <f t="shared" si="6"/>
        <v>OK</v>
      </c>
    </row>
    <row r="340" ht="14.25" customHeight="1">
      <c r="A340" s="4" t="s">
        <v>1077</v>
      </c>
      <c r="B340" s="4" t="s">
        <v>1078</v>
      </c>
      <c r="C340" s="4">
        <v>46.0</v>
      </c>
      <c r="D340" s="4" t="s">
        <v>22</v>
      </c>
      <c r="E340" s="4" t="s">
        <v>1079</v>
      </c>
      <c r="F340" s="4" t="s">
        <v>177</v>
      </c>
      <c r="G340" s="4" t="s">
        <v>19</v>
      </c>
      <c r="H340" s="4" t="s">
        <v>39</v>
      </c>
      <c r="I340" s="4" t="str">
        <f t="shared" si="2"/>
        <v>Jasmine Snyder</v>
      </c>
      <c r="J340" s="4" t="str">
        <f t="shared" ref="J340:K340" si="343">TRIM(PROPER(E340))</f>
        <v>Hudsonfort</v>
      </c>
      <c r="K340" s="4" t="str">
        <f t="shared" si="343"/>
        <v>Connecticut</v>
      </c>
      <c r="L340" s="4" t="str">
        <f t="shared" si="4"/>
        <v>Female</v>
      </c>
      <c r="M340" s="4" t="str">
        <f t="shared" si="5"/>
        <v>Silver</v>
      </c>
      <c r="N340" s="4" t="str">
        <f t="shared" si="6"/>
        <v>OK</v>
      </c>
    </row>
    <row r="341" ht="14.25" customHeight="1">
      <c r="A341" s="4" t="s">
        <v>1080</v>
      </c>
      <c r="B341" s="4" t="s">
        <v>1081</v>
      </c>
      <c r="C341" s="4">
        <v>52.0</v>
      </c>
      <c r="D341" s="4" t="s">
        <v>22</v>
      </c>
      <c r="E341" s="4" t="s">
        <v>1082</v>
      </c>
      <c r="F341" s="4" t="s">
        <v>143</v>
      </c>
      <c r="G341" s="4" t="s">
        <v>19</v>
      </c>
      <c r="H341" s="4" t="s">
        <v>25</v>
      </c>
      <c r="I341" s="4" t="str">
        <f t="shared" si="2"/>
        <v>Mrs. Susan Buckley</v>
      </c>
      <c r="J341" s="4" t="str">
        <f t="shared" ref="J341:K341" si="344">TRIM(PROPER(E341))</f>
        <v>Stevensbury</v>
      </c>
      <c r="K341" s="4" t="str">
        <f t="shared" si="344"/>
        <v>Arizona</v>
      </c>
      <c r="L341" s="4" t="str">
        <f t="shared" si="4"/>
        <v>Female</v>
      </c>
      <c r="M341" s="4" t="str">
        <f t="shared" si="5"/>
        <v>Platinum</v>
      </c>
      <c r="N341" s="4" t="str">
        <f t="shared" si="6"/>
        <v>OK</v>
      </c>
    </row>
    <row r="342" ht="14.25" customHeight="1">
      <c r="A342" s="4" t="s">
        <v>1083</v>
      </c>
      <c r="B342" s="4" t="s">
        <v>1084</v>
      </c>
      <c r="C342" s="4">
        <v>27.0</v>
      </c>
      <c r="D342" s="4" t="s">
        <v>16</v>
      </c>
      <c r="E342" s="4" t="s">
        <v>1085</v>
      </c>
      <c r="F342" s="4" t="s">
        <v>284</v>
      </c>
      <c r="G342" s="4" t="s">
        <v>19</v>
      </c>
      <c r="H342" s="4" t="s">
        <v>34</v>
      </c>
      <c r="I342" s="4" t="str">
        <f t="shared" si="2"/>
        <v>Eric Davis</v>
      </c>
      <c r="J342" s="4" t="str">
        <f t="shared" ref="J342:K342" si="345">TRIM(PROPER(E342))</f>
        <v>Johntown</v>
      </c>
      <c r="K342" s="4" t="str">
        <f t="shared" si="345"/>
        <v>Colorado</v>
      </c>
      <c r="L342" s="4" t="str">
        <f t="shared" si="4"/>
        <v>Male</v>
      </c>
      <c r="M342" s="4" t="str">
        <f t="shared" si="5"/>
        <v>Bronze</v>
      </c>
      <c r="N342" s="4" t="str">
        <f t="shared" si="6"/>
        <v>OK</v>
      </c>
    </row>
    <row r="343" ht="14.25" customHeight="1">
      <c r="A343" s="4" t="s">
        <v>1086</v>
      </c>
      <c r="B343" s="4" t="s">
        <v>1087</v>
      </c>
      <c r="C343" s="4">
        <v>56.0</v>
      </c>
      <c r="D343" s="4" t="s">
        <v>22</v>
      </c>
      <c r="E343" s="4" t="s">
        <v>1088</v>
      </c>
      <c r="F343" s="4" t="s">
        <v>204</v>
      </c>
      <c r="G343" s="4" t="s">
        <v>19</v>
      </c>
      <c r="H343" s="4" t="s">
        <v>34</v>
      </c>
      <c r="I343" s="4" t="str">
        <f t="shared" si="2"/>
        <v>Angela Williams</v>
      </c>
      <c r="J343" s="4" t="str">
        <f t="shared" ref="J343:K343" si="346">TRIM(PROPER(E343))</f>
        <v>Lake Alyssaburgh</v>
      </c>
      <c r="K343" s="4" t="str">
        <f t="shared" si="346"/>
        <v>Illinois</v>
      </c>
      <c r="L343" s="4" t="str">
        <f t="shared" si="4"/>
        <v>Female</v>
      </c>
      <c r="M343" s="4" t="str">
        <f t="shared" si="5"/>
        <v>Bronze</v>
      </c>
      <c r="N343" s="4" t="str">
        <f t="shared" si="6"/>
        <v>OK</v>
      </c>
    </row>
    <row r="344" ht="14.25" customHeight="1">
      <c r="A344" s="4" t="s">
        <v>1089</v>
      </c>
      <c r="B344" s="4" t="s">
        <v>1090</v>
      </c>
      <c r="C344" s="4">
        <v>30.0</v>
      </c>
      <c r="D344" s="4" t="s">
        <v>22</v>
      </c>
      <c r="E344" s="4" t="s">
        <v>1091</v>
      </c>
      <c r="F344" s="4" t="s">
        <v>177</v>
      </c>
      <c r="G344" s="4" t="s">
        <v>19</v>
      </c>
      <c r="H344" s="4" t="s">
        <v>34</v>
      </c>
      <c r="I344" s="4" t="str">
        <f t="shared" si="2"/>
        <v>Michelle Cunningham</v>
      </c>
      <c r="J344" s="4" t="str">
        <f t="shared" ref="J344:K344" si="347">TRIM(PROPER(E344))</f>
        <v>Amandaborough</v>
      </c>
      <c r="K344" s="4" t="str">
        <f t="shared" si="347"/>
        <v>Connecticut</v>
      </c>
      <c r="L344" s="4" t="str">
        <f t="shared" si="4"/>
        <v>Female</v>
      </c>
      <c r="M344" s="4" t="str">
        <f t="shared" si="5"/>
        <v>Bronze</v>
      </c>
      <c r="N344" s="4" t="str">
        <f t="shared" si="6"/>
        <v>OK</v>
      </c>
    </row>
    <row r="345" ht="14.25" customHeight="1">
      <c r="A345" s="4" t="s">
        <v>1092</v>
      </c>
      <c r="B345" s="4" t="s">
        <v>1093</v>
      </c>
      <c r="C345" s="4">
        <v>38.0</v>
      </c>
      <c r="D345" s="4" t="s">
        <v>16</v>
      </c>
      <c r="E345" s="4" t="s">
        <v>1094</v>
      </c>
      <c r="F345" s="4" t="s">
        <v>297</v>
      </c>
      <c r="G345" s="4" t="s">
        <v>19</v>
      </c>
      <c r="H345" s="4" t="s">
        <v>34</v>
      </c>
      <c r="I345" s="4" t="str">
        <f t="shared" si="2"/>
        <v>Ryan Moore</v>
      </c>
      <c r="J345" s="4" t="str">
        <f t="shared" ref="J345:K345" si="348">TRIM(PROPER(E345))</f>
        <v>Cartershire</v>
      </c>
      <c r="K345" s="4" t="str">
        <f t="shared" si="348"/>
        <v>Virginia</v>
      </c>
      <c r="L345" s="4" t="str">
        <f t="shared" si="4"/>
        <v>Male</v>
      </c>
      <c r="M345" s="4" t="str">
        <f t="shared" si="5"/>
        <v>Bronze</v>
      </c>
      <c r="N345" s="4" t="str">
        <f t="shared" si="6"/>
        <v>OK</v>
      </c>
    </row>
    <row r="346" ht="14.25" customHeight="1">
      <c r="A346" s="4" t="s">
        <v>1095</v>
      </c>
      <c r="B346" s="4" t="s">
        <v>1096</v>
      </c>
      <c r="C346" s="4">
        <v>39.0</v>
      </c>
      <c r="D346" s="4" t="s">
        <v>16</v>
      </c>
      <c r="E346" s="4" t="s">
        <v>1097</v>
      </c>
      <c r="F346" s="4" t="s">
        <v>243</v>
      </c>
      <c r="G346" s="4" t="s">
        <v>19</v>
      </c>
      <c r="H346" s="4" t="s">
        <v>56</v>
      </c>
      <c r="I346" s="4" t="str">
        <f t="shared" si="2"/>
        <v>Evelyn Brown</v>
      </c>
      <c r="J346" s="4" t="str">
        <f t="shared" ref="J346:K346" si="349">TRIM(PROPER(E346))</f>
        <v>West Victoriaborough</v>
      </c>
      <c r="K346" s="4" t="str">
        <f t="shared" si="349"/>
        <v>New Mexico</v>
      </c>
      <c r="L346" s="4" t="str">
        <f t="shared" si="4"/>
        <v>Male</v>
      </c>
      <c r="M346" s="4" t="str">
        <f t="shared" si="5"/>
        <v>Gold</v>
      </c>
      <c r="N346" s="4" t="str">
        <f t="shared" si="6"/>
        <v>OK</v>
      </c>
    </row>
    <row r="347" ht="14.25" customHeight="1">
      <c r="A347" s="4" t="s">
        <v>1098</v>
      </c>
      <c r="B347" s="4" t="s">
        <v>1099</v>
      </c>
      <c r="C347" s="4">
        <v>33.0</v>
      </c>
      <c r="D347" s="4" t="s">
        <v>16</v>
      </c>
      <c r="E347" s="4" t="s">
        <v>1100</v>
      </c>
      <c r="F347" s="4" t="s">
        <v>105</v>
      </c>
      <c r="G347" s="4" t="s">
        <v>19</v>
      </c>
      <c r="H347" s="4" t="s">
        <v>34</v>
      </c>
      <c r="I347" s="4" t="str">
        <f t="shared" si="2"/>
        <v>Daniel Nelson</v>
      </c>
      <c r="J347" s="4" t="str">
        <f t="shared" ref="J347:K347" si="350">TRIM(PROPER(E347))</f>
        <v>North Jonathan</v>
      </c>
      <c r="K347" s="4" t="str">
        <f t="shared" si="350"/>
        <v>Oklahoma</v>
      </c>
      <c r="L347" s="4" t="str">
        <f t="shared" si="4"/>
        <v>Male</v>
      </c>
      <c r="M347" s="4" t="str">
        <f t="shared" si="5"/>
        <v>Bronze</v>
      </c>
      <c r="N347" s="4" t="str">
        <f t="shared" si="6"/>
        <v>OK</v>
      </c>
    </row>
    <row r="348" ht="14.25" customHeight="1">
      <c r="A348" s="4" t="s">
        <v>1101</v>
      </c>
      <c r="B348" s="4" t="s">
        <v>1102</v>
      </c>
      <c r="C348" s="4">
        <v>58.0</v>
      </c>
      <c r="D348" s="4" t="s">
        <v>22</v>
      </c>
      <c r="E348" s="4" t="s">
        <v>1103</v>
      </c>
      <c r="F348" s="4" t="s">
        <v>247</v>
      </c>
      <c r="G348" s="4" t="s">
        <v>19</v>
      </c>
      <c r="H348" s="4" t="s">
        <v>25</v>
      </c>
      <c r="I348" s="4" t="str">
        <f t="shared" si="2"/>
        <v>John Jordan</v>
      </c>
      <c r="J348" s="4" t="str">
        <f t="shared" ref="J348:K348" si="351">TRIM(PROPER(E348))</f>
        <v>Port Crystalberg</v>
      </c>
      <c r="K348" s="4" t="str">
        <f t="shared" si="351"/>
        <v>Tennessee</v>
      </c>
      <c r="L348" s="4" t="str">
        <f t="shared" si="4"/>
        <v>Female</v>
      </c>
      <c r="M348" s="4" t="str">
        <f t="shared" si="5"/>
        <v>Platinum</v>
      </c>
      <c r="N348" s="4" t="str">
        <f t="shared" si="6"/>
        <v>OK</v>
      </c>
    </row>
    <row r="349" ht="14.25" customHeight="1">
      <c r="A349" s="4" t="s">
        <v>1104</v>
      </c>
      <c r="B349" s="4" t="s">
        <v>1105</v>
      </c>
      <c r="C349" s="4">
        <v>39.0</v>
      </c>
      <c r="D349" s="4" t="s">
        <v>22</v>
      </c>
      <c r="E349" s="4" t="s">
        <v>1106</v>
      </c>
      <c r="F349" s="4" t="s">
        <v>177</v>
      </c>
      <c r="G349" s="4" t="s">
        <v>19</v>
      </c>
      <c r="H349" s="4" t="s">
        <v>56</v>
      </c>
      <c r="I349" s="4" t="str">
        <f t="shared" si="2"/>
        <v>Justin Mason Dds</v>
      </c>
      <c r="J349" s="4" t="str">
        <f t="shared" ref="J349:K349" si="352">TRIM(PROPER(E349))</f>
        <v>Peggystad</v>
      </c>
      <c r="K349" s="4" t="str">
        <f t="shared" si="352"/>
        <v>Connecticut</v>
      </c>
      <c r="L349" s="4" t="str">
        <f t="shared" si="4"/>
        <v>Female</v>
      </c>
      <c r="M349" s="4" t="str">
        <f t="shared" si="5"/>
        <v>Gold</v>
      </c>
      <c r="N349" s="4" t="str">
        <f t="shared" si="6"/>
        <v>OK</v>
      </c>
    </row>
    <row r="350" ht="14.25" customHeight="1">
      <c r="A350" s="4" t="s">
        <v>1107</v>
      </c>
      <c r="B350" s="4" t="s">
        <v>1108</v>
      </c>
      <c r="C350" s="4">
        <v>55.0</v>
      </c>
      <c r="D350" s="4" t="s">
        <v>16</v>
      </c>
      <c r="E350" s="4" t="s">
        <v>1109</v>
      </c>
      <c r="F350" s="4" t="s">
        <v>60</v>
      </c>
      <c r="G350" s="4" t="s">
        <v>19</v>
      </c>
      <c r="H350" s="4" t="s">
        <v>39</v>
      </c>
      <c r="I350" s="4" t="str">
        <f t="shared" si="2"/>
        <v>Sherry Cabrera</v>
      </c>
      <c r="J350" s="4" t="str">
        <f t="shared" ref="J350:K350" si="353">TRIM(PROPER(E350))</f>
        <v>Shannonview</v>
      </c>
      <c r="K350" s="4" t="str">
        <f t="shared" si="353"/>
        <v>Pennsylvania</v>
      </c>
      <c r="L350" s="4" t="str">
        <f t="shared" si="4"/>
        <v>Male</v>
      </c>
      <c r="M350" s="4" t="str">
        <f t="shared" si="5"/>
        <v>Silver</v>
      </c>
      <c r="N350" s="4" t="str">
        <f t="shared" si="6"/>
        <v>OK</v>
      </c>
    </row>
    <row r="351" ht="14.25" customHeight="1">
      <c r="A351" s="4" t="s">
        <v>1110</v>
      </c>
      <c r="B351" s="4" t="s">
        <v>1111</v>
      </c>
      <c r="C351" s="4">
        <v>31.0</v>
      </c>
      <c r="D351" s="4" t="s">
        <v>16</v>
      </c>
      <c r="E351" s="4" t="s">
        <v>1112</v>
      </c>
      <c r="F351" s="4" t="s">
        <v>173</v>
      </c>
      <c r="G351" s="4" t="s">
        <v>19</v>
      </c>
      <c r="H351" s="4" t="s">
        <v>34</v>
      </c>
      <c r="I351" s="4" t="str">
        <f t="shared" si="2"/>
        <v>Heather Valenzuela</v>
      </c>
      <c r="J351" s="4" t="str">
        <f t="shared" ref="J351:K351" si="354">TRIM(PROPER(E351))</f>
        <v>New Angiefurt</v>
      </c>
      <c r="K351" s="4" t="str">
        <f t="shared" si="354"/>
        <v>Alaska</v>
      </c>
      <c r="L351" s="4" t="str">
        <f t="shared" si="4"/>
        <v>Male</v>
      </c>
      <c r="M351" s="4" t="str">
        <f t="shared" si="5"/>
        <v>Bronze</v>
      </c>
      <c r="N351" s="4" t="str">
        <f t="shared" si="6"/>
        <v>OK</v>
      </c>
    </row>
    <row r="352" ht="14.25" customHeight="1">
      <c r="A352" s="4" t="s">
        <v>1113</v>
      </c>
      <c r="B352" s="4" t="s">
        <v>1114</v>
      </c>
      <c r="C352" s="4">
        <v>26.0</v>
      </c>
      <c r="D352" s="4" t="s">
        <v>16</v>
      </c>
      <c r="E352" s="4" t="s">
        <v>1115</v>
      </c>
      <c r="F352" s="4" t="s">
        <v>277</v>
      </c>
      <c r="G352" s="4" t="s">
        <v>19</v>
      </c>
      <c r="H352" s="4" t="s">
        <v>39</v>
      </c>
      <c r="I352" s="4" t="str">
        <f t="shared" si="2"/>
        <v>Charles Miller</v>
      </c>
      <c r="J352" s="4" t="str">
        <f t="shared" ref="J352:K352" si="355">TRIM(PROPER(E352))</f>
        <v>Lake Allisonborough</v>
      </c>
      <c r="K352" s="4" t="str">
        <f t="shared" si="355"/>
        <v>Iowa</v>
      </c>
      <c r="L352" s="4" t="str">
        <f t="shared" si="4"/>
        <v>Male</v>
      </c>
      <c r="M352" s="4" t="str">
        <f t="shared" si="5"/>
        <v>Silver</v>
      </c>
      <c r="N352" s="4" t="str">
        <f t="shared" si="6"/>
        <v>OK</v>
      </c>
    </row>
    <row r="353" ht="14.25" customHeight="1">
      <c r="A353" s="4" t="s">
        <v>1116</v>
      </c>
      <c r="B353" s="4" t="s">
        <v>1117</v>
      </c>
      <c r="C353" s="4">
        <v>25.0</v>
      </c>
      <c r="D353" s="4" t="s">
        <v>22</v>
      </c>
      <c r="E353" s="4" t="s">
        <v>1118</v>
      </c>
      <c r="F353" s="4" t="s">
        <v>79</v>
      </c>
      <c r="G353" s="4" t="s">
        <v>19</v>
      </c>
      <c r="H353" s="4" t="s">
        <v>34</v>
      </c>
      <c r="I353" s="4" t="str">
        <f t="shared" si="2"/>
        <v>Jeffrey Mccarthy</v>
      </c>
      <c r="J353" s="4" t="str">
        <f t="shared" ref="J353:K353" si="356">TRIM(PROPER(E353))</f>
        <v>North Samuel</v>
      </c>
      <c r="K353" s="4" t="str">
        <f t="shared" si="356"/>
        <v>Nebraska</v>
      </c>
      <c r="L353" s="4" t="str">
        <f t="shared" si="4"/>
        <v>Female</v>
      </c>
      <c r="M353" s="4" t="str">
        <f t="shared" si="5"/>
        <v>Bronze</v>
      </c>
      <c r="N353" s="4" t="str">
        <f t="shared" si="6"/>
        <v>OK</v>
      </c>
    </row>
    <row r="354" ht="14.25" customHeight="1">
      <c r="A354" s="4" t="s">
        <v>1119</v>
      </c>
      <c r="B354" s="4" t="s">
        <v>1120</v>
      </c>
      <c r="C354" s="4">
        <v>52.0</v>
      </c>
      <c r="D354" s="4" t="s">
        <v>22</v>
      </c>
      <c r="E354" s="4" t="s">
        <v>1121</v>
      </c>
      <c r="F354" s="4" t="s">
        <v>334</v>
      </c>
      <c r="G354" s="4" t="s">
        <v>19</v>
      </c>
      <c r="H354" s="4" t="s">
        <v>39</v>
      </c>
      <c r="I354" s="4" t="str">
        <f t="shared" si="2"/>
        <v>Michael Greene</v>
      </c>
      <c r="J354" s="4" t="str">
        <f t="shared" ref="J354:K354" si="357">TRIM(PROPER(E354))</f>
        <v>Port Saramouth</v>
      </c>
      <c r="K354" s="4" t="str">
        <f t="shared" si="357"/>
        <v>Wisconsin</v>
      </c>
      <c r="L354" s="4" t="str">
        <f t="shared" si="4"/>
        <v>Female</v>
      </c>
      <c r="M354" s="4" t="str">
        <f t="shared" si="5"/>
        <v>Silver</v>
      </c>
      <c r="N354" s="4" t="str">
        <f t="shared" si="6"/>
        <v>OK</v>
      </c>
    </row>
    <row r="355" ht="14.25" customHeight="1">
      <c r="A355" s="4" t="s">
        <v>1122</v>
      </c>
      <c r="B355" s="4" t="s">
        <v>1123</v>
      </c>
      <c r="C355" s="4">
        <v>56.0</v>
      </c>
      <c r="D355" s="4" t="s">
        <v>22</v>
      </c>
      <c r="E355" s="4" t="s">
        <v>1124</v>
      </c>
      <c r="F355" s="4" t="s">
        <v>43</v>
      </c>
      <c r="G355" s="4" t="s">
        <v>19</v>
      </c>
      <c r="H355" s="4" t="s">
        <v>25</v>
      </c>
      <c r="I355" s="4" t="str">
        <f t="shared" si="2"/>
        <v>   Laura Green</v>
      </c>
      <c r="J355" s="4" t="str">
        <f t="shared" ref="J355:K355" si="358">TRIM(PROPER(E355))</f>
        <v>Westbury</v>
      </c>
      <c r="K355" s="4" t="str">
        <f t="shared" si="358"/>
        <v>Oregon</v>
      </c>
      <c r="L355" s="4" t="str">
        <f t="shared" si="4"/>
        <v>Female</v>
      </c>
      <c r="M355" s="4" t="str">
        <f t="shared" si="5"/>
        <v>Platinum</v>
      </c>
      <c r="N355" s="4" t="str">
        <f t="shared" si="6"/>
        <v>OK</v>
      </c>
    </row>
    <row r="356" ht="14.25" customHeight="1">
      <c r="A356" s="4" t="s">
        <v>1125</v>
      </c>
      <c r="B356" s="4" t="s">
        <v>1126</v>
      </c>
      <c r="C356" s="4">
        <v>38.0</v>
      </c>
      <c r="D356" s="4" t="s">
        <v>16</v>
      </c>
      <c r="E356" s="4" t="s">
        <v>1127</v>
      </c>
      <c r="F356" s="4" t="s">
        <v>177</v>
      </c>
      <c r="G356" s="4" t="s">
        <v>19</v>
      </c>
      <c r="H356" s="4" t="s">
        <v>39</v>
      </c>
      <c r="I356" s="4" t="str">
        <f t="shared" si="2"/>
        <v>Ryan Torres</v>
      </c>
      <c r="J356" s="4" t="str">
        <f t="shared" ref="J356:K356" si="359">TRIM(PROPER(E356))</f>
        <v>Guerreroport</v>
      </c>
      <c r="K356" s="4" t="str">
        <f t="shared" si="359"/>
        <v>Connecticut</v>
      </c>
      <c r="L356" s="4" t="str">
        <f t="shared" si="4"/>
        <v>Male</v>
      </c>
      <c r="M356" s="4" t="str">
        <f t="shared" si="5"/>
        <v>Silver</v>
      </c>
      <c r="N356" s="4" t="str">
        <f t="shared" si="6"/>
        <v>OK</v>
      </c>
    </row>
    <row r="357" ht="14.25" customHeight="1">
      <c r="A357" s="4" t="s">
        <v>1128</v>
      </c>
      <c r="B357" s="4" t="s">
        <v>1129</v>
      </c>
      <c r="C357" s="4">
        <v>20.0</v>
      </c>
      <c r="D357" s="4" t="s">
        <v>16</v>
      </c>
      <c r="E357" s="4" t="s">
        <v>1130</v>
      </c>
      <c r="F357" s="4" t="s">
        <v>83</v>
      </c>
      <c r="G357" s="4" t="s">
        <v>19</v>
      </c>
      <c r="H357" s="4" t="s">
        <v>56</v>
      </c>
      <c r="I357" s="4" t="str">
        <f t="shared" si="2"/>
        <v>Carlos Flores</v>
      </c>
      <c r="J357" s="4" t="str">
        <f t="shared" ref="J357:K357" si="360">TRIM(PROPER(E357))</f>
        <v>North Johnfurt</v>
      </c>
      <c r="K357" s="4" t="str">
        <f t="shared" si="360"/>
        <v>Washington</v>
      </c>
      <c r="L357" s="4" t="str">
        <f t="shared" si="4"/>
        <v>Male</v>
      </c>
      <c r="M357" s="4" t="str">
        <f t="shared" si="5"/>
        <v>Gold</v>
      </c>
      <c r="N357" s="4" t="str">
        <f t="shared" si="6"/>
        <v>OK</v>
      </c>
    </row>
    <row r="358" ht="14.25" customHeight="1">
      <c r="A358" s="4" t="s">
        <v>1131</v>
      </c>
      <c r="B358" s="4" t="s">
        <v>1132</v>
      </c>
      <c r="C358" s="4">
        <v>54.0</v>
      </c>
      <c r="D358" s="4" t="s">
        <v>16</v>
      </c>
      <c r="E358" s="4" t="s">
        <v>1133</v>
      </c>
      <c r="F358" s="4" t="s">
        <v>297</v>
      </c>
      <c r="G358" s="4" t="s">
        <v>19</v>
      </c>
      <c r="H358" s="4" t="s">
        <v>34</v>
      </c>
      <c r="I358" s="4" t="str">
        <f t="shared" si="2"/>
        <v>Steve Hunt</v>
      </c>
      <c r="J358" s="4" t="str">
        <f t="shared" ref="J358:K358" si="361">TRIM(PROPER(E358))</f>
        <v>North Richard</v>
      </c>
      <c r="K358" s="4" t="str">
        <f t="shared" si="361"/>
        <v>Virginia</v>
      </c>
      <c r="L358" s="4" t="str">
        <f t="shared" si="4"/>
        <v>Male</v>
      </c>
      <c r="M358" s="4" t="str">
        <f t="shared" si="5"/>
        <v>Bronze</v>
      </c>
      <c r="N358" s="4" t="str">
        <f t="shared" si="6"/>
        <v>OK</v>
      </c>
    </row>
    <row r="359" ht="14.25" customHeight="1">
      <c r="A359" s="4" t="s">
        <v>1134</v>
      </c>
      <c r="B359" s="4" t="s">
        <v>1135</v>
      </c>
      <c r="C359" s="4">
        <v>41.0</v>
      </c>
      <c r="D359" s="4" t="s">
        <v>16</v>
      </c>
      <c r="E359" s="4" t="s">
        <v>1136</v>
      </c>
      <c r="F359" s="4" t="s">
        <v>247</v>
      </c>
      <c r="G359" s="4" t="s">
        <v>19</v>
      </c>
      <c r="H359" s="4" t="s">
        <v>56</v>
      </c>
      <c r="I359" s="4" t="str">
        <f t="shared" si="2"/>
        <v>Manuel Castillo</v>
      </c>
      <c r="J359" s="4" t="str">
        <f t="shared" ref="J359:K359" si="362">TRIM(PROPER(E359))</f>
        <v>Nealview</v>
      </c>
      <c r="K359" s="4" t="str">
        <f t="shared" si="362"/>
        <v>Tennessee</v>
      </c>
      <c r="L359" s="4" t="str">
        <f t="shared" si="4"/>
        <v>Male</v>
      </c>
      <c r="M359" s="4" t="str">
        <f t="shared" si="5"/>
        <v>Gold</v>
      </c>
      <c r="N359" s="4" t="str">
        <f t="shared" si="6"/>
        <v>OK</v>
      </c>
    </row>
    <row r="360" ht="14.25" customHeight="1">
      <c r="A360" s="4" t="s">
        <v>1137</v>
      </c>
      <c r="B360" s="4" t="s">
        <v>1138</v>
      </c>
      <c r="C360" s="4">
        <v>60.0</v>
      </c>
      <c r="D360" s="4" t="s">
        <v>22</v>
      </c>
      <c r="E360" s="4" t="s">
        <v>1139</v>
      </c>
      <c r="F360" s="4" t="s">
        <v>323</v>
      </c>
      <c r="G360" s="4" t="s">
        <v>19</v>
      </c>
      <c r="H360" s="4" t="s">
        <v>56</v>
      </c>
      <c r="I360" s="4" t="str">
        <f t="shared" si="2"/>
        <v>Ashley Anderson</v>
      </c>
      <c r="J360" s="4" t="str">
        <f t="shared" ref="J360:K360" si="363">TRIM(PROPER(E360))</f>
        <v>West Johnmouth</v>
      </c>
      <c r="K360" s="4" t="str">
        <f t="shared" si="363"/>
        <v>Mississippi</v>
      </c>
      <c r="L360" s="4" t="str">
        <f t="shared" si="4"/>
        <v>Female</v>
      </c>
      <c r="M360" s="4" t="str">
        <f t="shared" si="5"/>
        <v>Gold</v>
      </c>
      <c r="N360" s="4" t="str">
        <f t="shared" si="6"/>
        <v>OK</v>
      </c>
    </row>
    <row r="361" ht="14.25" customHeight="1">
      <c r="A361" s="4" t="s">
        <v>1140</v>
      </c>
      <c r="B361" s="4" t="s">
        <v>1141</v>
      </c>
      <c r="C361" s="4">
        <v>32.0</v>
      </c>
      <c r="D361" s="4" t="s">
        <v>16</v>
      </c>
      <c r="E361" s="4" t="s">
        <v>1142</v>
      </c>
      <c r="F361" s="4" t="s">
        <v>71</v>
      </c>
      <c r="G361" s="4" t="s">
        <v>19</v>
      </c>
      <c r="H361" s="4" t="s">
        <v>39</v>
      </c>
      <c r="I361" s="4" t="str">
        <f t="shared" si="2"/>
        <v>Melanie Lam</v>
      </c>
      <c r="J361" s="4" t="str">
        <f t="shared" ref="J361:K361" si="364">TRIM(PROPER(E361))</f>
        <v>East Michaelton</v>
      </c>
      <c r="K361" s="4" t="str">
        <f t="shared" si="364"/>
        <v>Kansas</v>
      </c>
      <c r="L361" s="4" t="str">
        <f t="shared" si="4"/>
        <v>Male</v>
      </c>
      <c r="M361" s="4" t="str">
        <f t="shared" si="5"/>
        <v>Silver</v>
      </c>
      <c r="N361" s="4" t="str">
        <f t="shared" si="6"/>
        <v>OK</v>
      </c>
    </row>
    <row r="362" ht="14.25" customHeight="1">
      <c r="A362" s="4" t="s">
        <v>1143</v>
      </c>
      <c r="B362" s="4" t="s">
        <v>1144</v>
      </c>
      <c r="C362" s="4">
        <v>34.0</v>
      </c>
      <c r="D362" s="4" t="s">
        <v>16</v>
      </c>
      <c r="E362" s="4" t="s">
        <v>1145</v>
      </c>
      <c r="F362" s="4" t="s">
        <v>301</v>
      </c>
      <c r="G362" s="4" t="s">
        <v>19</v>
      </c>
      <c r="H362" s="4" t="s">
        <v>25</v>
      </c>
      <c r="I362" s="4" t="str">
        <f t="shared" si="2"/>
        <v>Denise Tate</v>
      </c>
      <c r="J362" s="4" t="str">
        <f t="shared" ref="J362:K362" si="365">TRIM(PROPER(E362))</f>
        <v>Andersonside</v>
      </c>
      <c r="K362" s="4" t="str">
        <f t="shared" si="365"/>
        <v>Arkansas</v>
      </c>
      <c r="L362" s="4" t="str">
        <f t="shared" si="4"/>
        <v>Male</v>
      </c>
      <c r="M362" s="4" t="str">
        <f t="shared" si="5"/>
        <v>Platinum</v>
      </c>
      <c r="N362" s="4" t="str">
        <f t="shared" si="6"/>
        <v>OK</v>
      </c>
    </row>
    <row r="363" ht="14.25" customHeight="1">
      <c r="A363" s="4" t="s">
        <v>1146</v>
      </c>
      <c r="B363" s="4" t="s">
        <v>1147</v>
      </c>
      <c r="C363" s="4">
        <v>64.0</v>
      </c>
      <c r="D363" s="4" t="s">
        <v>16</v>
      </c>
      <c r="E363" s="4" t="s">
        <v>1148</v>
      </c>
      <c r="F363" s="4" t="s">
        <v>264</v>
      </c>
      <c r="G363" s="4" t="s">
        <v>19</v>
      </c>
      <c r="H363" s="4" t="s">
        <v>25</v>
      </c>
      <c r="I363" s="4" t="str">
        <f t="shared" si="2"/>
        <v>Natalie Johnson</v>
      </c>
      <c r="J363" s="4" t="str">
        <f t="shared" ref="J363:K363" si="366">TRIM(PROPER(E363))</f>
        <v>New Jessechester</v>
      </c>
      <c r="K363" s="4" t="str">
        <f t="shared" si="366"/>
        <v>Indiana</v>
      </c>
      <c r="L363" s="4" t="str">
        <f t="shared" si="4"/>
        <v>Male</v>
      </c>
      <c r="M363" s="4" t="str">
        <f t="shared" si="5"/>
        <v>Platinum</v>
      </c>
      <c r="N363" s="4" t="str">
        <f t="shared" si="6"/>
        <v>OK</v>
      </c>
    </row>
    <row r="364" ht="14.25" customHeight="1">
      <c r="A364" s="4" t="s">
        <v>1149</v>
      </c>
      <c r="B364" s="4" t="s">
        <v>1150</v>
      </c>
      <c r="C364" s="4">
        <v>60.0</v>
      </c>
      <c r="D364" s="4" t="s">
        <v>16</v>
      </c>
      <c r="E364" s="4" t="s">
        <v>1151</v>
      </c>
      <c r="F364" s="4" t="s">
        <v>173</v>
      </c>
      <c r="G364" s="4" t="s">
        <v>19</v>
      </c>
      <c r="H364" s="4" t="s">
        <v>56</v>
      </c>
      <c r="I364" s="4" t="str">
        <f t="shared" si="2"/>
        <v>Joshua Smith Dvm</v>
      </c>
      <c r="J364" s="4" t="str">
        <f t="shared" ref="J364:K364" si="367">TRIM(PROPER(E364))</f>
        <v>Melvinton</v>
      </c>
      <c r="K364" s="4" t="str">
        <f t="shared" si="367"/>
        <v>Alaska</v>
      </c>
      <c r="L364" s="4" t="str">
        <f t="shared" si="4"/>
        <v>Male</v>
      </c>
      <c r="M364" s="4" t="str">
        <f t="shared" si="5"/>
        <v>Gold</v>
      </c>
      <c r="N364" s="4" t="str">
        <f t="shared" si="6"/>
        <v>OK</v>
      </c>
    </row>
    <row r="365" ht="14.25" customHeight="1">
      <c r="A365" s="4" t="s">
        <v>1152</v>
      </c>
      <c r="B365" s="4" t="s">
        <v>1153</v>
      </c>
      <c r="C365" s="4">
        <v>23.0</v>
      </c>
      <c r="D365" s="4" t="s">
        <v>16</v>
      </c>
      <c r="E365" s="4" t="s">
        <v>1154</v>
      </c>
      <c r="F365" s="4" t="s">
        <v>33</v>
      </c>
      <c r="G365" s="4" t="s">
        <v>19</v>
      </c>
      <c r="H365" s="4" t="s">
        <v>34</v>
      </c>
      <c r="I365" s="4" t="str">
        <f t="shared" si="2"/>
        <v>Elizabeth Smith</v>
      </c>
      <c r="J365" s="4" t="str">
        <f t="shared" ref="J365:K365" si="368">TRIM(PROPER(E365))</f>
        <v>Murphytown</v>
      </c>
      <c r="K365" s="4" t="str">
        <f t="shared" si="368"/>
        <v>Ohio</v>
      </c>
      <c r="L365" s="4" t="str">
        <f t="shared" si="4"/>
        <v>Male</v>
      </c>
      <c r="M365" s="4" t="str">
        <f t="shared" si="5"/>
        <v>Bronze</v>
      </c>
      <c r="N365" s="4" t="str">
        <f t="shared" si="6"/>
        <v>OK</v>
      </c>
    </row>
    <row r="366" ht="14.25" customHeight="1">
      <c r="A366" s="4" t="s">
        <v>1155</v>
      </c>
      <c r="B366" s="4" t="s">
        <v>1156</v>
      </c>
      <c r="C366" s="4">
        <v>58.0</v>
      </c>
      <c r="D366" s="4" t="s">
        <v>16</v>
      </c>
      <c r="E366" s="4" t="s">
        <v>1157</v>
      </c>
      <c r="F366" s="4" t="s">
        <v>143</v>
      </c>
      <c r="G366" s="4" t="s">
        <v>19</v>
      </c>
      <c r="H366" s="4" t="s">
        <v>34</v>
      </c>
      <c r="I366" s="4" t="str">
        <f t="shared" si="2"/>
        <v>Chloe Aguilar</v>
      </c>
      <c r="J366" s="4" t="str">
        <f t="shared" ref="J366:K366" si="369">TRIM(PROPER(E366))</f>
        <v>Lake Johnside</v>
      </c>
      <c r="K366" s="4" t="str">
        <f t="shared" si="369"/>
        <v>Arizona</v>
      </c>
      <c r="L366" s="4" t="str">
        <f t="shared" si="4"/>
        <v>Male</v>
      </c>
      <c r="M366" s="4" t="str">
        <f t="shared" si="5"/>
        <v>Bronze</v>
      </c>
      <c r="N366" s="4" t="str">
        <f t="shared" si="6"/>
        <v>OK</v>
      </c>
    </row>
    <row r="367" ht="14.25" customHeight="1">
      <c r="A367" s="4" t="s">
        <v>1158</v>
      </c>
      <c r="B367" s="4" t="s">
        <v>1159</v>
      </c>
      <c r="C367" s="4">
        <v>63.0</v>
      </c>
      <c r="D367" s="4" t="s">
        <v>22</v>
      </c>
      <c r="E367" s="4" t="s">
        <v>1160</v>
      </c>
      <c r="F367" s="4" t="s">
        <v>173</v>
      </c>
      <c r="G367" s="4" t="s">
        <v>19</v>
      </c>
      <c r="H367" s="4" t="s">
        <v>25</v>
      </c>
      <c r="I367" s="4" t="str">
        <f t="shared" si="2"/>
        <v>Brandon Mcbride</v>
      </c>
      <c r="J367" s="4" t="str">
        <f t="shared" ref="J367:K367" si="370">TRIM(PROPER(E367))</f>
        <v>Kellyside</v>
      </c>
      <c r="K367" s="4" t="str">
        <f t="shared" si="370"/>
        <v>Alaska</v>
      </c>
      <c r="L367" s="4" t="str">
        <f t="shared" si="4"/>
        <v>Female</v>
      </c>
      <c r="M367" s="4" t="str">
        <f t="shared" si="5"/>
        <v>Platinum</v>
      </c>
      <c r="N367" s="4" t="str">
        <f t="shared" si="6"/>
        <v>OK</v>
      </c>
    </row>
    <row r="368" ht="14.25" customHeight="1">
      <c r="A368" s="4" t="s">
        <v>1161</v>
      </c>
      <c r="B368" s="4" t="s">
        <v>1162</v>
      </c>
      <c r="C368" s="4">
        <v>40.0</v>
      </c>
      <c r="D368" s="4" t="s">
        <v>22</v>
      </c>
      <c r="E368" s="4" t="s">
        <v>1163</v>
      </c>
      <c r="F368" s="4" t="s">
        <v>29</v>
      </c>
      <c r="G368" s="4" t="s">
        <v>19</v>
      </c>
      <c r="H368" s="4" t="s">
        <v>25</v>
      </c>
      <c r="I368" s="4" t="str">
        <f t="shared" si="2"/>
        <v>Mallory Allen</v>
      </c>
      <c r="J368" s="4" t="str">
        <f t="shared" ref="J368:K368" si="371">TRIM(PROPER(E368))</f>
        <v>North Theresa</v>
      </c>
      <c r="K368" s="4" t="str">
        <f t="shared" si="371"/>
        <v>Alabama</v>
      </c>
      <c r="L368" s="4" t="str">
        <f t="shared" si="4"/>
        <v>Female</v>
      </c>
      <c r="M368" s="4" t="str">
        <f t="shared" si="5"/>
        <v>Platinum</v>
      </c>
      <c r="N368" s="4" t="str">
        <f t="shared" si="6"/>
        <v>OK</v>
      </c>
    </row>
    <row r="369" ht="14.25" customHeight="1">
      <c r="A369" s="4" t="s">
        <v>1164</v>
      </c>
      <c r="B369" s="4" t="s">
        <v>1165</v>
      </c>
      <c r="C369" s="4">
        <v>51.0</v>
      </c>
      <c r="D369" s="4" t="s">
        <v>16</v>
      </c>
      <c r="E369" s="4" t="s">
        <v>1166</v>
      </c>
      <c r="F369" s="4" t="s">
        <v>33</v>
      </c>
      <c r="G369" s="4" t="s">
        <v>19</v>
      </c>
      <c r="H369" s="4" t="s">
        <v>34</v>
      </c>
      <c r="I369" s="4" t="str">
        <f t="shared" si="2"/>
        <v>Melinda Johnson</v>
      </c>
      <c r="J369" s="4" t="str">
        <f t="shared" ref="J369:K369" si="372">TRIM(PROPER(E369))</f>
        <v>Kaufmanfurt</v>
      </c>
      <c r="K369" s="4" t="str">
        <f t="shared" si="372"/>
        <v>Ohio</v>
      </c>
      <c r="L369" s="4" t="str">
        <f t="shared" si="4"/>
        <v>Male</v>
      </c>
      <c r="M369" s="4" t="str">
        <f t="shared" si="5"/>
        <v>Bronze</v>
      </c>
      <c r="N369" s="4" t="str">
        <f t="shared" si="6"/>
        <v>OK</v>
      </c>
    </row>
    <row r="370" ht="14.25" customHeight="1">
      <c r="A370" s="4" t="s">
        <v>1167</v>
      </c>
      <c r="B370" s="4" t="s">
        <v>1168</v>
      </c>
      <c r="C370" s="4">
        <v>34.0</v>
      </c>
      <c r="D370" s="4" t="s">
        <v>22</v>
      </c>
      <c r="E370" s="4" t="s">
        <v>1169</v>
      </c>
      <c r="F370" s="4" t="s">
        <v>67</v>
      </c>
      <c r="G370" s="4" t="s">
        <v>19</v>
      </c>
      <c r="H370" s="4" t="s">
        <v>25</v>
      </c>
      <c r="I370" s="4" t="str">
        <f t="shared" si="2"/>
        <v>Miranda King</v>
      </c>
      <c r="J370" s="4" t="str">
        <f t="shared" ref="J370:K370" si="373">TRIM(PROPER(E370))</f>
        <v>West Mathew</v>
      </c>
      <c r="K370" s="4" t="str">
        <f t="shared" si="373"/>
        <v>New York</v>
      </c>
      <c r="L370" s="4" t="str">
        <f t="shared" si="4"/>
        <v>Female</v>
      </c>
      <c r="M370" s="4" t="str">
        <f t="shared" si="5"/>
        <v>Platinum</v>
      </c>
      <c r="N370" s="4" t="str">
        <f t="shared" si="6"/>
        <v>OK</v>
      </c>
    </row>
    <row r="371" ht="14.25" customHeight="1">
      <c r="A371" s="4" t="s">
        <v>1170</v>
      </c>
      <c r="B371" s="4" t="s">
        <v>1171</v>
      </c>
      <c r="C371" s="4">
        <v>20.0</v>
      </c>
      <c r="D371" s="4" t="s">
        <v>22</v>
      </c>
      <c r="E371" s="4" t="s">
        <v>1172</v>
      </c>
      <c r="F371" s="4" t="s">
        <v>181</v>
      </c>
      <c r="G371" s="4" t="s">
        <v>19</v>
      </c>
      <c r="H371" s="4" t="s">
        <v>25</v>
      </c>
      <c r="I371" s="4" t="str">
        <f t="shared" si="2"/>
        <v>Gregory Allen</v>
      </c>
      <c r="J371" s="4" t="str">
        <f t="shared" ref="J371:K371" si="374">TRIM(PROPER(E371))</f>
        <v>West Bruce</v>
      </c>
      <c r="K371" s="4" t="str">
        <f t="shared" si="374"/>
        <v>Vermont</v>
      </c>
      <c r="L371" s="4" t="str">
        <f t="shared" si="4"/>
        <v>Female</v>
      </c>
      <c r="M371" s="4" t="str">
        <f t="shared" si="5"/>
        <v>Platinum</v>
      </c>
      <c r="N371" s="4" t="str">
        <f t="shared" si="6"/>
        <v>OK</v>
      </c>
    </row>
    <row r="372" ht="14.25" customHeight="1">
      <c r="A372" s="4" t="s">
        <v>1173</v>
      </c>
      <c r="B372" s="4" t="s">
        <v>1174</v>
      </c>
      <c r="C372" s="4">
        <v>45.0</v>
      </c>
      <c r="D372" s="4" t="s">
        <v>16</v>
      </c>
      <c r="E372" s="4" t="s">
        <v>1175</v>
      </c>
      <c r="F372" s="4" t="s">
        <v>264</v>
      </c>
      <c r="G372" s="4" t="s">
        <v>19</v>
      </c>
      <c r="H372" s="4" t="s">
        <v>39</v>
      </c>
      <c r="I372" s="4" t="str">
        <f t="shared" si="2"/>
        <v>James Holloway Jr.</v>
      </c>
      <c r="J372" s="4" t="str">
        <f t="shared" ref="J372:K372" si="375">TRIM(PROPER(E372))</f>
        <v>Millston</v>
      </c>
      <c r="K372" s="4" t="str">
        <f t="shared" si="375"/>
        <v>Indiana</v>
      </c>
      <c r="L372" s="4" t="str">
        <f t="shared" si="4"/>
        <v>Male</v>
      </c>
      <c r="M372" s="4" t="str">
        <f t="shared" si="5"/>
        <v>Silver</v>
      </c>
      <c r="N372" s="4" t="str">
        <f t="shared" si="6"/>
        <v>OK</v>
      </c>
    </row>
    <row r="373" ht="14.25" customHeight="1">
      <c r="A373" s="4" t="s">
        <v>1176</v>
      </c>
      <c r="B373" s="4" t="s">
        <v>1177</v>
      </c>
      <c r="C373" s="4">
        <v>21.0</v>
      </c>
      <c r="D373" s="4" t="s">
        <v>22</v>
      </c>
      <c r="E373" s="4" t="s">
        <v>1178</v>
      </c>
      <c r="F373" s="4" t="s">
        <v>55</v>
      </c>
      <c r="G373" s="4" t="s">
        <v>19</v>
      </c>
      <c r="H373" s="4" t="s">
        <v>25</v>
      </c>
      <c r="I373" s="4" t="str">
        <f t="shared" si="2"/>
        <v>Michael Garner</v>
      </c>
      <c r="J373" s="4" t="str">
        <f t="shared" ref="J373:K373" si="376">TRIM(PROPER(E373))</f>
        <v>Port Crystal</v>
      </c>
      <c r="K373" s="4" t="str">
        <f t="shared" si="376"/>
        <v>New Hampshire</v>
      </c>
      <c r="L373" s="4" t="str">
        <f t="shared" si="4"/>
        <v>Female</v>
      </c>
      <c r="M373" s="4" t="str">
        <f t="shared" si="5"/>
        <v>Platinum</v>
      </c>
      <c r="N373" s="4" t="str">
        <f t="shared" si="6"/>
        <v>OK</v>
      </c>
    </row>
    <row r="374" ht="14.25" customHeight="1">
      <c r="A374" s="4" t="s">
        <v>1179</v>
      </c>
      <c r="B374" s="4" t="s">
        <v>1180</v>
      </c>
      <c r="C374" s="4">
        <v>28.0</v>
      </c>
      <c r="D374" s="4" t="s">
        <v>16</v>
      </c>
      <c r="E374" s="4" t="s">
        <v>1181</v>
      </c>
      <c r="F374" s="4" t="s">
        <v>33</v>
      </c>
      <c r="G374" s="4" t="s">
        <v>19</v>
      </c>
      <c r="H374" s="4" t="s">
        <v>34</v>
      </c>
      <c r="I374" s="4" t="str">
        <f t="shared" si="2"/>
        <v>Jacqueline Anthony</v>
      </c>
      <c r="J374" s="4" t="str">
        <f t="shared" ref="J374:K374" si="377">TRIM(PROPER(E374))</f>
        <v>Vincentside</v>
      </c>
      <c r="K374" s="4" t="str">
        <f t="shared" si="377"/>
        <v>Ohio</v>
      </c>
      <c r="L374" s="4" t="str">
        <f t="shared" si="4"/>
        <v>Male</v>
      </c>
      <c r="M374" s="4" t="str">
        <f t="shared" si="5"/>
        <v>Bronze</v>
      </c>
      <c r="N374" s="4" t="str">
        <f t="shared" si="6"/>
        <v>OK</v>
      </c>
    </row>
    <row r="375" ht="14.25" customHeight="1">
      <c r="A375" s="4" t="s">
        <v>1182</v>
      </c>
      <c r="B375" s="4" t="s">
        <v>1183</v>
      </c>
      <c r="C375" s="4">
        <v>37.0</v>
      </c>
      <c r="D375" s="4" t="s">
        <v>22</v>
      </c>
      <c r="E375" s="4" t="s">
        <v>1184</v>
      </c>
      <c r="F375" s="4" t="s">
        <v>445</v>
      </c>
      <c r="G375" s="4" t="s">
        <v>19</v>
      </c>
      <c r="H375" s="4" t="s">
        <v>56</v>
      </c>
      <c r="I375" s="4" t="str">
        <f t="shared" si="2"/>
        <v>James Orozco</v>
      </c>
      <c r="J375" s="4" t="str">
        <f t="shared" ref="J375:K375" si="378">TRIM(PROPER(E375))</f>
        <v>Simpsonfort</v>
      </c>
      <c r="K375" s="4" t="str">
        <f t="shared" si="378"/>
        <v>Maine</v>
      </c>
      <c r="L375" s="4" t="str">
        <f t="shared" si="4"/>
        <v>Female</v>
      </c>
      <c r="M375" s="4" t="str">
        <f t="shared" si="5"/>
        <v>Gold</v>
      </c>
      <c r="N375" s="4" t="str">
        <f t="shared" si="6"/>
        <v>OK</v>
      </c>
    </row>
    <row r="376" ht="14.25" customHeight="1">
      <c r="A376" s="4" t="s">
        <v>1185</v>
      </c>
      <c r="B376" s="4" t="s">
        <v>1186</v>
      </c>
      <c r="C376" s="4">
        <v>60.0</v>
      </c>
      <c r="D376" s="4" t="s">
        <v>16</v>
      </c>
      <c r="E376" s="4" t="s">
        <v>1187</v>
      </c>
      <c r="F376" s="4" t="s">
        <v>109</v>
      </c>
      <c r="G376" s="4" t="s">
        <v>19</v>
      </c>
      <c r="H376" s="4" t="s">
        <v>25</v>
      </c>
      <c r="I376" s="4" t="str">
        <f t="shared" si="2"/>
        <v>Emma Wilson</v>
      </c>
      <c r="J376" s="4" t="str">
        <f t="shared" ref="J376:K376" si="379">TRIM(PROPER(E376))</f>
        <v>Andersonburgh</v>
      </c>
      <c r="K376" s="4" t="str">
        <f t="shared" si="379"/>
        <v>Hawaii</v>
      </c>
      <c r="L376" s="4" t="str">
        <f t="shared" si="4"/>
        <v>Male</v>
      </c>
      <c r="M376" s="4" t="str">
        <f t="shared" si="5"/>
        <v>Platinum</v>
      </c>
      <c r="N376" s="4" t="str">
        <f t="shared" si="6"/>
        <v>OK</v>
      </c>
    </row>
    <row r="377" ht="14.25" customHeight="1">
      <c r="A377" s="4" t="s">
        <v>1188</v>
      </c>
      <c r="B377" s="4" t="s">
        <v>1189</v>
      </c>
      <c r="C377" s="4">
        <v>26.0</v>
      </c>
      <c r="D377" s="4" t="s">
        <v>16</v>
      </c>
      <c r="E377" s="4" t="s">
        <v>1190</v>
      </c>
      <c r="F377" s="4" t="s">
        <v>211</v>
      </c>
      <c r="G377" s="4" t="s">
        <v>19</v>
      </c>
      <c r="H377" s="4" t="s">
        <v>25</v>
      </c>
      <c r="I377" s="4" t="str">
        <f t="shared" si="2"/>
        <v>Joshua Bell</v>
      </c>
      <c r="J377" s="4" t="str">
        <f t="shared" ref="J377:K377" si="380">TRIM(PROPER(E377))</f>
        <v>Port Richardshire</v>
      </c>
      <c r="K377" s="4" t="str">
        <f t="shared" si="380"/>
        <v>Minnesota</v>
      </c>
      <c r="L377" s="4" t="str">
        <f t="shared" si="4"/>
        <v>Male</v>
      </c>
      <c r="M377" s="4" t="str">
        <f t="shared" si="5"/>
        <v>Platinum</v>
      </c>
      <c r="N377" s="4" t="str">
        <f t="shared" si="6"/>
        <v>OK</v>
      </c>
    </row>
    <row r="378" ht="14.25" customHeight="1">
      <c r="A378" s="4" t="s">
        <v>1191</v>
      </c>
      <c r="B378" s="4" t="s">
        <v>1192</v>
      </c>
      <c r="C378" s="4">
        <v>30.0</v>
      </c>
      <c r="D378" s="4" t="s">
        <v>16</v>
      </c>
      <c r="E378" s="4" t="s">
        <v>1193</v>
      </c>
      <c r="F378" s="4" t="s">
        <v>177</v>
      </c>
      <c r="G378" s="4" t="s">
        <v>19</v>
      </c>
      <c r="H378" s="4" t="s">
        <v>34</v>
      </c>
      <c r="I378" s="4" t="str">
        <f t="shared" si="2"/>
        <v>Michele Burke</v>
      </c>
      <c r="J378" s="4" t="str">
        <f t="shared" ref="J378:K378" si="381">TRIM(PROPER(E378))</f>
        <v>Chambersberg</v>
      </c>
      <c r="K378" s="4" t="str">
        <f t="shared" si="381"/>
        <v>Connecticut</v>
      </c>
      <c r="L378" s="4" t="str">
        <f t="shared" si="4"/>
        <v>Male</v>
      </c>
      <c r="M378" s="4" t="str">
        <f t="shared" si="5"/>
        <v>Bronze</v>
      </c>
      <c r="N378" s="4" t="str">
        <f t="shared" si="6"/>
        <v>OK</v>
      </c>
    </row>
    <row r="379" ht="14.25" customHeight="1">
      <c r="A379" s="4" t="s">
        <v>1194</v>
      </c>
      <c r="B379" s="4" t="s">
        <v>1195</v>
      </c>
      <c r="C379" s="4">
        <v>39.0</v>
      </c>
      <c r="D379" s="4" t="s">
        <v>22</v>
      </c>
      <c r="E379" s="4" t="s">
        <v>1196</v>
      </c>
      <c r="F379" s="4" t="s">
        <v>445</v>
      </c>
      <c r="G379" s="4" t="s">
        <v>19</v>
      </c>
      <c r="H379" s="4" t="s">
        <v>56</v>
      </c>
      <c r="I379" s="4" t="str">
        <f t="shared" si="2"/>
        <v>Charles Conley</v>
      </c>
      <c r="J379" s="4" t="str">
        <f t="shared" ref="J379:K379" si="382">TRIM(PROPER(E379))</f>
        <v>Nathanshire</v>
      </c>
      <c r="K379" s="4" t="str">
        <f t="shared" si="382"/>
        <v>Maine</v>
      </c>
      <c r="L379" s="4" t="str">
        <f t="shared" si="4"/>
        <v>Female</v>
      </c>
      <c r="M379" s="4" t="str">
        <f t="shared" si="5"/>
        <v>Gold</v>
      </c>
      <c r="N379" s="4" t="str">
        <f t="shared" si="6"/>
        <v>OK</v>
      </c>
    </row>
    <row r="380" ht="14.25" customHeight="1">
      <c r="A380" s="4" t="s">
        <v>1197</v>
      </c>
      <c r="B380" s="4" t="s">
        <v>1198</v>
      </c>
      <c r="C380" s="4">
        <v>44.0</v>
      </c>
      <c r="D380" s="4" t="s">
        <v>22</v>
      </c>
      <c r="E380" s="4" t="s">
        <v>1199</v>
      </c>
      <c r="F380" s="4" t="s">
        <v>101</v>
      </c>
      <c r="G380" s="4" t="s">
        <v>19</v>
      </c>
      <c r="H380" s="4" t="s">
        <v>34</v>
      </c>
      <c r="I380" s="4" t="str">
        <f t="shared" si="2"/>
        <v>Frank Stewart</v>
      </c>
      <c r="J380" s="4" t="str">
        <f t="shared" ref="J380:K380" si="383">TRIM(PROPER(E380))</f>
        <v>Fischerborough</v>
      </c>
      <c r="K380" s="4" t="str">
        <f t="shared" si="383"/>
        <v>Delaware</v>
      </c>
      <c r="L380" s="4" t="str">
        <f t="shared" si="4"/>
        <v>Female</v>
      </c>
      <c r="M380" s="4" t="str">
        <f t="shared" si="5"/>
        <v>Bronze</v>
      </c>
      <c r="N380" s="4" t="str">
        <f t="shared" si="6"/>
        <v>OK</v>
      </c>
    </row>
    <row r="381" ht="14.25" customHeight="1">
      <c r="A381" s="4" t="s">
        <v>1200</v>
      </c>
      <c r="B381" s="4" t="s">
        <v>1201</v>
      </c>
      <c r="C381" s="4">
        <v>34.0</v>
      </c>
      <c r="D381" s="4" t="s">
        <v>22</v>
      </c>
      <c r="E381" s="4" t="s">
        <v>1202</v>
      </c>
      <c r="F381" s="4" t="s">
        <v>277</v>
      </c>
      <c r="G381" s="4" t="s">
        <v>19</v>
      </c>
      <c r="H381" s="4" t="s">
        <v>56</v>
      </c>
      <c r="I381" s="4" t="str">
        <f t="shared" si="2"/>
        <v>Tanya Lopez</v>
      </c>
      <c r="J381" s="4" t="str">
        <f t="shared" ref="J381:K381" si="384">TRIM(PROPER(E381))</f>
        <v>West Jeffreyburgh</v>
      </c>
      <c r="K381" s="4" t="str">
        <f t="shared" si="384"/>
        <v>Iowa</v>
      </c>
      <c r="L381" s="4" t="str">
        <f t="shared" si="4"/>
        <v>Female</v>
      </c>
      <c r="M381" s="4" t="str">
        <f t="shared" si="5"/>
        <v>Gold</v>
      </c>
      <c r="N381" s="4" t="str">
        <f t="shared" si="6"/>
        <v>OK</v>
      </c>
    </row>
    <row r="382" ht="14.25" customHeight="1">
      <c r="A382" s="4" t="s">
        <v>1203</v>
      </c>
      <c r="B382" s="4" t="s">
        <v>1204</v>
      </c>
      <c r="C382" s="4">
        <v>23.0</v>
      </c>
      <c r="D382" s="4" t="s">
        <v>16</v>
      </c>
      <c r="E382" s="4" t="s">
        <v>1205</v>
      </c>
      <c r="F382" s="4" t="s">
        <v>227</v>
      </c>
      <c r="G382" s="4" t="s">
        <v>19</v>
      </c>
      <c r="H382" s="4" t="s">
        <v>56</v>
      </c>
      <c r="I382" s="4" t="str">
        <f t="shared" si="2"/>
        <v>Shelley Ponce</v>
      </c>
      <c r="J382" s="4" t="str">
        <f t="shared" ref="J382:K382" si="385">TRIM(PROPER(E382))</f>
        <v>South Cassandrachester</v>
      </c>
      <c r="K382" s="4" t="str">
        <f t="shared" si="385"/>
        <v>Rhode Island</v>
      </c>
      <c r="L382" s="4" t="str">
        <f t="shared" si="4"/>
        <v>Male</v>
      </c>
      <c r="M382" s="4" t="str">
        <f t="shared" si="5"/>
        <v>Gold</v>
      </c>
      <c r="N382" s="4" t="str">
        <f t="shared" si="6"/>
        <v>OK</v>
      </c>
    </row>
    <row r="383" ht="14.25" customHeight="1">
      <c r="A383" s="4" t="s">
        <v>1206</v>
      </c>
      <c r="B383" s="4" t="s">
        <v>1207</v>
      </c>
      <c r="C383" s="4">
        <v>50.0</v>
      </c>
      <c r="D383" s="4" t="s">
        <v>16</v>
      </c>
      <c r="E383" s="4" t="s">
        <v>1208</v>
      </c>
      <c r="F383" s="4" t="s">
        <v>29</v>
      </c>
      <c r="G383" s="4" t="s">
        <v>19</v>
      </c>
      <c r="H383" s="4" t="s">
        <v>39</v>
      </c>
      <c r="I383" s="4" t="str">
        <f t="shared" si="2"/>
        <v>Erika Padilla</v>
      </c>
      <c r="J383" s="4" t="str">
        <f t="shared" ref="J383:K383" si="386">TRIM(PROPER(E383))</f>
        <v>Andrewsland</v>
      </c>
      <c r="K383" s="4" t="str">
        <f t="shared" si="386"/>
        <v>Alabama</v>
      </c>
      <c r="L383" s="4" t="str">
        <f t="shared" si="4"/>
        <v>Male</v>
      </c>
      <c r="M383" s="4" t="str">
        <f t="shared" si="5"/>
        <v>Silver</v>
      </c>
      <c r="N383" s="4" t="str">
        <f t="shared" si="6"/>
        <v>OK</v>
      </c>
    </row>
    <row r="384" ht="14.25" customHeight="1">
      <c r="A384" s="4" t="s">
        <v>1209</v>
      </c>
      <c r="B384" s="4" t="s">
        <v>1210</v>
      </c>
      <c r="C384" s="4">
        <v>20.0</v>
      </c>
      <c r="D384" s="4" t="s">
        <v>22</v>
      </c>
      <c r="E384" s="4" t="s">
        <v>1211</v>
      </c>
      <c r="F384" s="4" t="s">
        <v>38</v>
      </c>
      <c r="G384" s="4" t="s">
        <v>19</v>
      </c>
      <c r="H384" s="4" t="s">
        <v>56</v>
      </c>
      <c r="I384" s="4" t="str">
        <f t="shared" si="2"/>
        <v>Martha Brown</v>
      </c>
      <c r="J384" s="4" t="str">
        <f t="shared" ref="J384:K384" si="387">TRIM(PROPER(E384))</f>
        <v>Novakstad</v>
      </c>
      <c r="K384" s="4" t="str">
        <f t="shared" si="387"/>
        <v>California</v>
      </c>
      <c r="L384" s="4" t="str">
        <f t="shared" si="4"/>
        <v>Female</v>
      </c>
      <c r="M384" s="4" t="str">
        <f t="shared" si="5"/>
        <v>Gold</v>
      </c>
      <c r="N384" s="4" t="str">
        <f t="shared" si="6"/>
        <v>OK</v>
      </c>
    </row>
    <row r="385" ht="14.25" customHeight="1">
      <c r="A385" s="4" t="s">
        <v>1212</v>
      </c>
      <c r="B385" s="4" t="s">
        <v>1213</v>
      </c>
      <c r="C385" s="4">
        <v>27.0</v>
      </c>
      <c r="D385" s="4" t="s">
        <v>22</v>
      </c>
      <c r="E385" s="4" t="s">
        <v>1214</v>
      </c>
      <c r="F385" s="4" t="s">
        <v>327</v>
      </c>
      <c r="G385" s="4" t="s">
        <v>19</v>
      </c>
      <c r="H385" s="4" t="s">
        <v>39</v>
      </c>
      <c r="I385" s="4" t="str">
        <f t="shared" si="2"/>
        <v>Kristine Higgins</v>
      </c>
      <c r="J385" s="4" t="str">
        <f t="shared" ref="J385:K385" si="388">TRIM(PROPER(E385))</f>
        <v>Jennifertown</v>
      </c>
      <c r="K385" s="4" t="str">
        <f t="shared" si="388"/>
        <v>South Carolina</v>
      </c>
      <c r="L385" s="4" t="str">
        <f t="shared" si="4"/>
        <v>Female</v>
      </c>
      <c r="M385" s="4" t="str">
        <f t="shared" si="5"/>
        <v>Silver</v>
      </c>
      <c r="N385" s="4" t="str">
        <f t="shared" si="6"/>
        <v>OK</v>
      </c>
    </row>
    <row r="386" ht="14.25" customHeight="1">
      <c r="A386" s="4" t="s">
        <v>1215</v>
      </c>
      <c r="B386" s="4" t="s">
        <v>1216</v>
      </c>
      <c r="C386" s="4">
        <v>52.0</v>
      </c>
      <c r="D386" s="4" t="s">
        <v>22</v>
      </c>
      <c r="E386" s="4" t="s">
        <v>1217</v>
      </c>
      <c r="F386" s="4" t="s">
        <v>277</v>
      </c>
      <c r="G386" s="4" t="s">
        <v>19</v>
      </c>
      <c r="H386" s="4" t="s">
        <v>34</v>
      </c>
      <c r="I386" s="4" t="str">
        <f t="shared" si="2"/>
        <v>Andrew Mason</v>
      </c>
      <c r="J386" s="4" t="str">
        <f t="shared" ref="J386:K386" si="389">TRIM(PROPER(E386))</f>
        <v>North Michael</v>
      </c>
      <c r="K386" s="4" t="str">
        <f t="shared" si="389"/>
        <v>Iowa</v>
      </c>
      <c r="L386" s="4" t="str">
        <f t="shared" si="4"/>
        <v>Female</v>
      </c>
      <c r="M386" s="4" t="str">
        <f t="shared" si="5"/>
        <v>Bronze</v>
      </c>
      <c r="N386" s="4" t="str">
        <f t="shared" si="6"/>
        <v>OK</v>
      </c>
    </row>
    <row r="387" ht="14.25" customHeight="1">
      <c r="A387" s="4" t="s">
        <v>1218</v>
      </c>
      <c r="B387" s="4" t="s">
        <v>1219</v>
      </c>
      <c r="C387" s="4">
        <v>60.0</v>
      </c>
      <c r="D387" s="4" t="s">
        <v>16</v>
      </c>
      <c r="E387" s="4" t="s">
        <v>1220</v>
      </c>
      <c r="F387" s="4" t="s">
        <v>327</v>
      </c>
      <c r="G387" s="4" t="s">
        <v>19</v>
      </c>
      <c r="H387" s="4" t="s">
        <v>56</v>
      </c>
      <c r="I387" s="4" t="str">
        <f t="shared" si="2"/>
        <v>Tammy Brennan</v>
      </c>
      <c r="J387" s="4" t="str">
        <f t="shared" ref="J387:K387" si="390">TRIM(PROPER(E387))</f>
        <v>Lake Brandontown</v>
      </c>
      <c r="K387" s="4" t="str">
        <f t="shared" si="390"/>
        <v>South Carolina</v>
      </c>
      <c r="L387" s="4" t="str">
        <f t="shared" si="4"/>
        <v>Male</v>
      </c>
      <c r="M387" s="4" t="str">
        <f t="shared" si="5"/>
        <v>Gold</v>
      </c>
      <c r="N387" s="4" t="str">
        <f t="shared" si="6"/>
        <v>OK</v>
      </c>
    </row>
    <row r="388" ht="14.25" customHeight="1">
      <c r="A388" s="4" t="s">
        <v>1221</v>
      </c>
      <c r="B388" s="4" t="s">
        <v>1222</v>
      </c>
      <c r="C388" s="4">
        <v>18.0</v>
      </c>
      <c r="D388" s="4" t="s">
        <v>22</v>
      </c>
      <c r="E388" s="4" t="s">
        <v>1223</v>
      </c>
      <c r="F388" s="4" t="s">
        <v>150</v>
      </c>
      <c r="G388" s="4" t="s">
        <v>19</v>
      </c>
      <c r="H388" s="4" t="s">
        <v>34</v>
      </c>
      <c r="I388" s="4" t="str">
        <f t="shared" si="2"/>
        <v>Melanie Mitchell</v>
      </c>
      <c r="J388" s="4" t="str">
        <f t="shared" ref="J388:K388" si="391">TRIM(PROPER(E388))</f>
        <v>West Laura</v>
      </c>
      <c r="K388" s="4" t="str">
        <f t="shared" si="391"/>
        <v>Maryland</v>
      </c>
      <c r="L388" s="4" t="str">
        <f t="shared" si="4"/>
        <v>Female</v>
      </c>
      <c r="M388" s="4" t="str">
        <f t="shared" si="5"/>
        <v>Bronze</v>
      </c>
      <c r="N388" s="4" t="str">
        <f t="shared" si="6"/>
        <v>OK</v>
      </c>
    </row>
    <row r="389" ht="14.25" customHeight="1">
      <c r="A389" s="4" t="s">
        <v>1224</v>
      </c>
      <c r="B389" s="4" t="s">
        <v>1225</v>
      </c>
      <c r="C389" s="4">
        <v>28.0</v>
      </c>
      <c r="D389" s="4" t="s">
        <v>22</v>
      </c>
      <c r="E389" s="4" t="s">
        <v>1226</v>
      </c>
      <c r="F389" s="4" t="s">
        <v>97</v>
      </c>
      <c r="G389" s="4" t="s">
        <v>19</v>
      </c>
      <c r="H389" s="4" t="s">
        <v>39</v>
      </c>
      <c r="I389" s="4" t="str">
        <f t="shared" si="2"/>
        <v>Timothy Gardner</v>
      </c>
      <c r="J389" s="4" t="str">
        <f t="shared" ref="J389:K389" si="392">TRIM(PROPER(E389))</f>
        <v>New Dawn</v>
      </c>
      <c r="K389" s="4" t="str">
        <f t="shared" si="392"/>
        <v>New Jersey</v>
      </c>
      <c r="L389" s="4" t="str">
        <f t="shared" si="4"/>
        <v>Female</v>
      </c>
      <c r="M389" s="4" t="str">
        <f t="shared" si="5"/>
        <v>Silver</v>
      </c>
      <c r="N389" s="4" t="str">
        <f t="shared" si="6"/>
        <v>OK</v>
      </c>
    </row>
    <row r="390" ht="14.25" customHeight="1">
      <c r="A390" s="4" t="s">
        <v>1227</v>
      </c>
      <c r="B390" s="4" t="s">
        <v>1228</v>
      </c>
      <c r="C390" s="4">
        <v>53.0</v>
      </c>
      <c r="D390" s="4" t="s">
        <v>16</v>
      </c>
      <c r="E390" s="4" t="s">
        <v>1229</v>
      </c>
      <c r="F390" s="4" t="s">
        <v>123</v>
      </c>
      <c r="G390" s="4" t="s">
        <v>19</v>
      </c>
      <c r="H390" s="4" t="s">
        <v>25</v>
      </c>
      <c r="I390" s="4" t="str">
        <f t="shared" si="2"/>
        <v>Timothy Valenzuela</v>
      </c>
      <c r="J390" s="4" t="str">
        <f t="shared" ref="J390:K390" si="393">TRIM(PROPER(E390))</f>
        <v>Stevensshire</v>
      </c>
      <c r="K390" s="4" t="str">
        <f t="shared" si="393"/>
        <v>Missouri</v>
      </c>
      <c r="L390" s="4" t="str">
        <f t="shared" si="4"/>
        <v>Male</v>
      </c>
      <c r="M390" s="4" t="str">
        <f t="shared" si="5"/>
        <v>Platinum</v>
      </c>
      <c r="N390" s="4" t="str">
        <f t="shared" si="6"/>
        <v>OK</v>
      </c>
    </row>
    <row r="391" ht="14.25" customHeight="1">
      <c r="A391" s="4" t="s">
        <v>1230</v>
      </c>
      <c r="B391" s="4" t="s">
        <v>1231</v>
      </c>
      <c r="C391" s="4">
        <v>50.0</v>
      </c>
      <c r="D391" s="4" t="s">
        <v>16</v>
      </c>
      <c r="E391" s="4" t="s">
        <v>1232</v>
      </c>
      <c r="F391" s="4" t="s">
        <v>79</v>
      </c>
      <c r="G391" s="4" t="s">
        <v>19</v>
      </c>
      <c r="H391" s="4" t="s">
        <v>25</v>
      </c>
      <c r="I391" s="4" t="str">
        <f t="shared" si="2"/>
        <v>Cynthia Lopez</v>
      </c>
      <c r="J391" s="4" t="str">
        <f t="shared" ref="J391:K391" si="394">TRIM(PROPER(E391))</f>
        <v>Joseland</v>
      </c>
      <c r="K391" s="4" t="str">
        <f t="shared" si="394"/>
        <v>Nebraska</v>
      </c>
      <c r="L391" s="4" t="str">
        <f t="shared" si="4"/>
        <v>Male</v>
      </c>
      <c r="M391" s="4" t="str">
        <f t="shared" si="5"/>
        <v>Platinum</v>
      </c>
      <c r="N391" s="4" t="str">
        <f t="shared" si="6"/>
        <v>OK</v>
      </c>
    </row>
    <row r="392" ht="14.25" customHeight="1">
      <c r="A392" s="4" t="s">
        <v>1233</v>
      </c>
      <c r="B392" s="4" t="s">
        <v>1234</v>
      </c>
      <c r="C392" s="4">
        <v>56.0</v>
      </c>
      <c r="D392" s="4" t="s">
        <v>16</v>
      </c>
      <c r="E392" s="4" t="s">
        <v>1235</v>
      </c>
      <c r="F392" s="4" t="s">
        <v>301</v>
      </c>
      <c r="G392" s="4" t="s">
        <v>19</v>
      </c>
      <c r="H392" s="4" t="s">
        <v>39</v>
      </c>
      <c r="I392" s="4" t="str">
        <f t="shared" si="2"/>
        <v>Daniel Bell</v>
      </c>
      <c r="J392" s="4" t="str">
        <f t="shared" ref="J392:K392" si="395">TRIM(PROPER(E392))</f>
        <v>Deniseberg</v>
      </c>
      <c r="K392" s="4" t="str">
        <f t="shared" si="395"/>
        <v>Arkansas</v>
      </c>
      <c r="L392" s="4" t="str">
        <f t="shared" si="4"/>
        <v>Male</v>
      </c>
      <c r="M392" s="4" t="str">
        <f t="shared" si="5"/>
        <v>Silver</v>
      </c>
      <c r="N392" s="4" t="str">
        <f t="shared" si="6"/>
        <v>OK</v>
      </c>
    </row>
    <row r="393" ht="14.25" customHeight="1">
      <c r="A393" s="4" t="s">
        <v>1236</v>
      </c>
      <c r="B393" s="4" t="s">
        <v>1237</v>
      </c>
      <c r="C393" s="4">
        <v>40.0</v>
      </c>
      <c r="D393" s="4" t="s">
        <v>22</v>
      </c>
      <c r="E393" s="4" t="s">
        <v>1238</v>
      </c>
      <c r="F393" s="4" t="s">
        <v>43</v>
      </c>
      <c r="G393" s="4" t="s">
        <v>19</v>
      </c>
      <c r="H393" s="4" t="s">
        <v>34</v>
      </c>
      <c r="I393" s="4" t="str">
        <f t="shared" si="2"/>
        <v>Heidi Tyler</v>
      </c>
      <c r="J393" s="4" t="str">
        <f t="shared" ref="J393:K393" si="396">TRIM(PROPER(E393))</f>
        <v>Dawnstad</v>
      </c>
      <c r="K393" s="4" t="str">
        <f t="shared" si="396"/>
        <v>Oregon</v>
      </c>
      <c r="L393" s="4" t="str">
        <f t="shared" si="4"/>
        <v>Female</v>
      </c>
      <c r="M393" s="4" t="str">
        <f t="shared" si="5"/>
        <v>Bronze</v>
      </c>
      <c r="N393" s="4" t="str">
        <f t="shared" si="6"/>
        <v>OK</v>
      </c>
    </row>
    <row r="394" ht="14.25" customHeight="1">
      <c r="A394" s="4" t="s">
        <v>1239</v>
      </c>
      <c r="B394" s="4" t="s">
        <v>1240</v>
      </c>
      <c r="C394" s="4">
        <v>46.0</v>
      </c>
      <c r="D394" s="4" t="s">
        <v>16</v>
      </c>
      <c r="E394" s="4" t="s">
        <v>1241</v>
      </c>
      <c r="F394" s="4" t="s">
        <v>123</v>
      </c>
      <c r="G394" s="4" t="s">
        <v>19</v>
      </c>
      <c r="H394" s="4" t="s">
        <v>56</v>
      </c>
      <c r="I394" s="4" t="str">
        <f t="shared" si="2"/>
        <v>Jacqueline Payne</v>
      </c>
      <c r="J394" s="4" t="str">
        <f t="shared" ref="J394:K394" si="397">TRIM(PROPER(E394))</f>
        <v>Gutierrezstad</v>
      </c>
      <c r="K394" s="4" t="str">
        <f t="shared" si="397"/>
        <v>Missouri</v>
      </c>
      <c r="L394" s="4" t="str">
        <f t="shared" si="4"/>
        <v>Male</v>
      </c>
      <c r="M394" s="4" t="str">
        <f t="shared" si="5"/>
        <v>Gold</v>
      </c>
      <c r="N394" s="4" t="str">
        <f t="shared" si="6"/>
        <v>OK</v>
      </c>
    </row>
    <row r="395" ht="14.25" customHeight="1">
      <c r="A395" s="4" t="s">
        <v>1242</v>
      </c>
      <c r="B395" s="4" t="s">
        <v>1243</v>
      </c>
      <c r="C395" s="4">
        <v>46.0</v>
      </c>
      <c r="D395" s="4" t="s">
        <v>16</v>
      </c>
      <c r="E395" s="4" t="s">
        <v>1244</v>
      </c>
      <c r="F395" s="4" t="s">
        <v>127</v>
      </c>
      <c r="G395" s="4" t="s">
        <v>19</v>
      </c>
      <c r="H395" s="4" t="s">
        <v>34</v>
      </c>
      <c r="I395" s="4" t="str">
        <f t="shared" si="2"/>
        <v>Michael Mcneil</v>
      </c>
      <c r="J395" s="4" t="str">
        <f t="shared" ref="J395:K395" si="398">TRIM(PROPER(E395))</f>
        <v>Stewartchester</v>
      </c>
      <c r="K395" s="4" t="str">
        <f t="shared" si="398"/>
        <v>Utah</v>
      </c>
      <c r="L395" s="4" t="str">
        <f t="shared" si="4"/>
        <v>Male</v>
      </c>
      <c r="M395" s="4" t="str">
        <f t="shared" si="5"/>
        <v>Bronze</v>
      </c>
      <c r="N395" s="4" t="str">
        <f t="shared" si="6"/>
        <v>OK</v>
      </c>
    </row>
    <row r="396" ht="14.25" customHeight="1">
      <c r="A396" s="4" t="s">
        <v>1245</v>
      </c>
      <c r="B396" s="4" t="s">
        <v>1246</v>
      </c>
      <c r="C396" s="4">
        <v>43.0</v>
      </c>
      <c r="D396" s="4" t="s">
        <v>22</v>
      </c>
      <c r="E396" s="4" t="s">
        <v>1247</v>
      </c>
      <c r="F396" s="4" t="s">
        <v>177</v>
      </c>
      <c r="G396" s="4" t="s">
        <v>19</v>
      </c>
      <c r="H396" s="4" t="s">
        <v>34</v>
      </c>
      <c r="I396" s="4" t="str">
        <f t="shared" si="2"/>
        <v>Alejandro Evans</v>
      </c>
      <c r="J396" s="4" t="str">
        <f t="shared" ref="J396:K396" si="399">TRIM(PROPER(E396))</f>
        <v>Cannonberg</v>
      </c>
      <c r="K396" s="4" t="str">
        <f t="shared" si="399"/>
        <v>Connecticut</v>
      </c>
      <c r="L396" s="4" t="str">
        <f t="shared" si="4"/>
        <v>Female</v>
      </c>
      <c r="M396" s="4" t="str">
        <f t="shared" si="5"/>
        <v>Bronze</v>
      </c>
      <c r="N396" s="4" t="str">
        <f t="shared" si="6"/>
        <v>OK</v>
      </c>
    </row>
    <row r="397" ht="14.25" customHeight="1">
      <c r="A397" s="4" t="s">
        <v>1248</v>
      </c>
      <c r="B397" s="4" t="s">
        <v>1249</v>
      </c>
      <c r="C397" s="4">
        <v>50.0</v>
      </c>
      <c r="D397" s="4" t="s">
        <v>16</v>
      </c>
      <c r="E397" s="4" t="s">
        <v>1250</v>
      </c>
      <c r="F397" s="4" t="s">
        <v>71</v>
      </c>
      <c r="G397" s="4" t="s">
        <v>19</v>
      </c>
      <c r="H397" s="4" t="s">
        <v>56</v>
      </c>
      <c r="I397" s="4" t="str">
        <f t="shared" si="2"/>
        <v>Brandon Mcguire</v>
      </c>
      <c r="J397" s="4" t="str">
        <f t="shared" ref="J397:K397" si="400">TRIM(PROPER(E397))</f>
        <v>Lake Morganland</v>
      </c>
      <c r="K397" s="4" t="str">
        <f t="shared" si="400"/>
        <v>Kansas</v>
      </c>
      <c r="L397" s="4" t="str">
        <f t="shared" si="4"/>
        <v>Male</v>
      </c>
      <c r="M397" s="4" t="str">
        <f t="shared" si="5"/>
        <v>Gold</v>
      </c>
      <c r="N397" s="4" t="str">
        <f t="shared" si="6"/>
        <v>OK</v>
      </c>
    </row>
    <row r="398" ht="14.25" customHeight="1">
      <c r="A398" s="4" t="s">
        <v>1251</v>
      </c>
      <c r="B398" s="4" t="s">
        <v>1252</v>
      </c>
      <c r="C398" s="4">
        <v>25.0</v>
      </c>
      <c r="D398" s="4" t="s">
        <v>22</v>
      </c>
      <c r="E398" s="4" t="s">
        <v>1253</v>
      </c>
      <c r="F398" s="4" t="s">
        <v>67</v>
      </c>
      <c r="G398" s="4" t="s">
        <v>19</v>
      </c>
      <c r="H398" s="4" t="s">
        <v>39</v>
      </c>
      <c r="I398" s="4" t="str">
        <f t="shared" si="2"/>
        <v>Alexander Byrd</v>
      </c>
      <c r="J398" s="4" t="str">
        <f t="shared" ref="J398:K398" si="401">TRIM(PROPER(E398))</f>
        <v>Parkerview</v>
      </c>
      <c r="K398" s="4" t="str">
        <f t="shared" si="401"/>
        <v>New York</v>
      </c>
      <c r="L398" s="4" t="str">
        <f t="shared" si="4"/>
        <v>Female</v>
      </c>
      <c r="M398" s="4" t="str">
        <f t="shared" si="5"/>
        <v>Silver</v>
      </c>
      <c r="N398" s="4" t="str">
        <f t="shared" si="6"/>
        <v>OK</v>
      </c>
    </row>
    <row r="399" ht="14.25" customHeight="1">
      <c r="A399" s="4" t="s">
        <v>1254</v>
      </c>
      <c r="B399" s="4" t="s">
        <v>1255</v>
      </c>
      <c r="C399" s="4">
        <v>62.0</v>
      </c>
      <c r="D399" s="4" t="s">
        <v>22</v>
      </c>
      <c r="E399" s="4" t="s">
        <v>133</v>
      </c>
      <c r="F399" s="4" t="s">
        <v>71</v>
      </c>
      <c r="G399" s="4" t="s">
        <v>19</v>
      </c>
      <c r="H399" s="4" t="s">
        <v>25</v>
      </c>
      <c r="I399" s="4" t="str">
        <f t="shared" si="2"/>
        <v>Charles Norman Phd</v>
      </c>
      <c r="J399" s="4" t="str">
        <f t="shared" ref="J399:K399" si="402">TRIM(PROPER(E399))</f>
        <v>East Jennifer</v>
      </c>
      <c r="K399" s="4" t="str">
        <f t="shared" si="402"/>
        <v>Kansas</v>
      </c>
      <c r="L399" s="4" t="str">
        <f t="shared" si="4"/>
        <v>Female</v>
      </c>
      <c r="M399" s="4" t="str">
        <f t="shared" si="5"/>
        <v>Platinum</v>
      </c>
      <c r="N399" s="4" t="str">
        <f t="shared" si="6"/>
        <v>OK</v>
      </c>
    </row>
    <row r="400" ht="14.25" customHeight="1">
      <c r="A400" s="4" t="s">
        <v>1256</v>
      </c>
      <c r="B400" s="4" t="s">
        <v>1257</v>
      </c>
      <c r="C400" s="4">
        <v>54.0</v>
      </c>
      <c r="D400" s="4" t="s">
        <v>16</v>
      </c>
      <c r="E400" s="4" t="s">
        <v>1258</v>
      </c>
      <c r="F400" s="4" t="s">
        <v>55</v>
      </c>
      <c r="G400" s="4" t="s">
        <v>19</v>
      </c>
      <c r="H400" s="4" t="s">
        <v>34</v>
      </c>
      <c r="I400" s="4" t="str">
        <f t="shared" si="2"/>
        <v>Jennifer Johnson</v>
      </c>
      <c r="J400" s="4" t="str">
        <f t="shared" ref="J400:K400" si="403">TRIM(PROPER(E400))</f>
        <v>Cheyenneborough</v>
      </c>
      <c r="K400" s="4" t="str">
        <f t="shared" si="403"/>
        <v>New Hampshire</v>
      </c>
      <c r="L400" s="4" t="str">
        <f t="shared" si="4"/>
        <v>Male</v>
      </c>
      <c r="M400" s="4" t="str">
        <f t="shared" si="5"/>
        <v>Bronze</v>
      </c>
      <c r="N400" s="4" t="str">
        <f t="shared" si="6"/>
        <v>OK</v>
      </c>
    </row>
    <row r="401" ht="14.25" customHeight="1">
      <c r="A401" s="4" t="s">
        <v>1259</v>
      </c>
      <c r="B401" s="4" t="s">
        <v>1260</v>
      </c>
      <c r="C401" s="4">
        <v>27.0</v>
      </c>
      <c r="D401" s="4" t="s">
        <v>16</v>
      </c>
      <c r="E401" s="4" t="s">
        <v>1261</v>
      </c>
      <c r="F401" s="4" t="s">
        <v>445</v>
      </c>
      <c r="G401" s="4" t="s">
        <v>19</v>
      </c>
      <c r="H401" s="4" t="s">
        <v>34</v>
      </c>
      <c r="I401" s="4" t="str">
        <f t="shared" si="2"/>
        <v>John Donaldson</v>
      </c>
      <c r="J401" s="4" t="str">
        <f t="shared" ref="J401:K401" si="404">TRIM(PROPER(E401))</f>
        <v>New Edward</v>
      </c>
      <c r="K401" s="4" t="str">
        <f t="shared" si="404"/>
        <v>Maine</v>
      </c>
      <c r="L401" s="4" t="str">
        <f t="shared" si="4"/>
        <v>Male</v>
      </c>
      <c r="M401" s="4" t="str">
        <f t="shared" si="5"/>
        <v>Bronze</v>
      </c>
      <c r="N401" s="4" t="str">
        <f t="shared" si="6"/>
        <v>OK</v>
      </c>
    </row>
    <row r="402" ht="14.25" customHeight="1">
      <c r="A402" s="4" t="s">
        <v>1262</v>
      </c>
      <c r="B402" s="4" t="s">
        <v>1263</v>
      </c>
      <c r="C402" s="4">
        <v>57.0</v>
      </c>
      <c r="D402" s="4" t="s">
        <v>22</v>
      </c>
      <c r="E402" s="4" t="s">
        <v>1264</v>
      </c>
      <c r="F402" s="4" t="s">
        <v>105</v>
      </c>
      <c r="G402" s="4" t="s">
        <v>19</v>
      </c>
      <c r="H402" s="4" t="s">
        <v>25</v>
      </c>
      <c r="I402" s="4" t="str">
        <f t="shared" si="2"/>
        <v>Mark Rogers</v>
      </c>
      <c r="J402" s="4" t="str">
        <f t="shared" ref="J402:K402" si="405">TRIM(PROPER(E402))</f>
        <v>Bookertown</v>
      </c>
      <c r="K402" s="4" t="str">
        <f t="shared" si="405"/>
        <v>Oklahoma</v>
      </c>
      <c r="L402" s="4" t="str">
        <f t="shared" si="4"/>
        <v>Female</v>
      </c>
      <c r="M402" s="4" t="str">
        <f t="shared" si="5"/>
        <v>Platinum</v>
      </c>
      <c r="N402" s="4" t="str">
        <f t="shared" si="6"/>
        <v>OK</v>
      </c>
    </row>
    <row r="403" ht="14.25" customHeight="1">
      <c r="A403" s="4" t="s">
        <v>1265</v>
      </c>
      <c r="B403" s="4" t="s">
        <v>1266</v>
      </c>
      <c r="C403" s="4">
        <v>51.0</v>
      </c>
      <c r="D403" s="4" t="s">
        <v>22</v>
      </c>
      <c r="E403" s="4" t="s">
        <v>1267</v>
      </c>
      <c r="F403" s="4" t="s">
        <v>194</v>
      </c>
      <c r="G403" s="4" t="s">
        <v>19</v>
      </c>
      <c r="H403" s="4" t="s">
        <v>25</v>
      </c>
      <c r="I403" s="4" t="str">
        <f t="shared" si="2"/>
        <v>Terry Moses</v>
      </c>
      <c r="J403" s="4" t="str">
        <f t="shared" ref="J403:K403" si="406">TRIM(PROPER(E403))</f>
        <v>Leahmouth</v>
      </c>
      <c r="K403" s="4" t="str">
        <f t="shared" si="406"/>
        <v>Nevada</v>
      </c>
      <c r="L403" s="4" t="str">
        <f t="shared" si="4"/>
        <v>Female</v>
      </c>
      <c r="M403" s="4" t="str">
        <f t="shared" si="5"/>
        <v>Platinum</v>
      </c>
      <c r="N403" s="4" t="str">
        <f t="shared" si="6"/>
        <v>OK</v>
      </c>
    </row>
    <row r="404" ht="14.25" customHeight="1">
      <c r="A404" s="4" t="s">
        <v>1268</v>
      </c>
      <c r="B404" s="4" t="s">
        <v>1269</v>
      </c>
      <c r="C404" s="4">
        <v>31.0</v>
      </c>
      <c r="D404" s="4" t="s">
        <v>16</v>
      </c>
      <c r="E404" s="4" t="s">
        <v>89</v>
      </c>
      <c r="F404" s="4" t="s">
        <v>323</v>
      </c>
      <c r="G404" s="4" t="s">
        <v>19</v>
      </c>
      <c r="H404" s="4" t="s">
        <v>34</v>
      </c>
      <c r="I404" s="4" t="str">
        <f t="shared" si="2"/>
        <v>Cassandra Perez</v>
      </c>
      <c r="J404" s="4" t="str">
        <f t="shared" ref="J404:K404" si="407">TRIM(PROPER(E404))</f>
        <v>Brandonville</v>
      </c>
      <c r="K404" s="4" t="str">
        <f t="shared" si="407"/>
        <v>Mississippi</v>
      </c>
      <c r="L404" s="4" t="str">
        <f t="shared" si="4"/>
        <v>Male</v>
      </c>
      <c r="M404" s="4" t="str">
        <f t="shared" si="5"/>
        <v>Bronze</v>
      </c>
      <c r="N404" s="4" t="str">
        <f t="shared" si="6"/>
        <v>OK</v>
      </c>
    </row>
    <row r="405" ht="14.25" customHeight="1">
      <c r="A405" s="4" t="s">
        <v>1270</v>
      </c>
      <c r="B405" s="4" t="s">
        <v>1271</v>
      </c>
      <c r="C405" s="4">
        <v>34.0</v>
      </c>
      <c r="D405" s="4" t="s">
        <v>16</v>
      </c>
      <c r="E405" s="4" t="s">
        <v>1272</v>
      </c>
      <c r="F405" s="4" t="s">
        <v>338</v>
      </c>
      <c r="G405" s="4" t="s">
        <v>19</v>
      </c>
      <c r="H405" s="4" t="s">
        <v>34</v>
      </c>
      <c r="I405" s="4" t="str">
        <f t="shared" si="2"/>
        <v>Justin Ingram</v>
      </c>
      <c r="J405" s="4" t="str">
        <f t="shared" ref="J405:K405" si="408">TRIM(PROPER(E405))</f>
        <v>Lake Lisaland</v>
      </c>
      <c r="K405" s="4" t="str">
        <f t="shared" si="408"/>
        <v>Louisiana</v>
      </c>
      <c r="L405" s="4" t="str">
        <f t="shared" si="4"/>
        <v>Male</v>
      </c>
      <c r="M405" s="4" t="str">
        <f t="shared" si="5"/>
        <v>Bronze</v>
      </c>
      <c r="N405" s="4" t="str">
        <f t="shared" si="6"/>
        <v>OK</v>
      </c>
    </row>
    <row r="406" ht="14.25" customHeight="1">
      <c r="A406" s="4" t="s">
        <v>1273</v>
      </c>
      <c r="B406" s="4" t="s">
        <v>1274</v>
      </c>
      <c r="C406" s="4">
        <v>22.0</v>
      </c>
      <c r="D406" s="4" t="s">
        <v>22</v>
      </c>
      <c r="E406" s="4" t="s">
        <v>1275</v>
      </c>
      <c r="F406" s="4" t="s">
        <v>301</v>
      </c>
      <c r="G406" s="4" t="s">
        <v>19</v>
      </c>
      <c r="H406" s="4" t="s">
        <v>39</v>
      </c>
      <c r="I406" s="4" t="str">
        <f t="shared" si="2"/>
        <v>David Ross</v>
      </c>
      <c r="J406" s="4" t="str">
        <f t="shared" ref="J406:K406" si="409">TRIM(PROPER(E406))</f>
        <v>South Angela</v>
      </c>
      <c r="K406" s="4" t="str">
        <f t="shared" si="409"/>
        <v>Arkansas</v>
      </c>
      <c r="L406" s="4" t="str">
        <f t="shared" si="4"/>
        <v>Female</v>
      </c>
      <c r="M406" s="4" t="str">
        <f t="shared" si="5"/>
        <v>Silver</v>
      </c>
      <c r="N406" s="4" t="str">
        <f t="shared" si="6"/>
        <v>OK</v>
      </c>
    </row>
    <row r="407" ht="14.25" customHeight="1">
      <c r="A407" s="4" t="s">
        <v>1276</v>
      </c>
      <c r="B407" s="4" t="s">
        <v>1277</v>
      </c>
      <c r="C407" s="4">
        <v>18.0</v>
      </c>
      <c r="D407" s="4" t="s">
        <v>22</v>
      </c>
      <c r="E407" s="4" t="s">
        <v>1278</v>
      </c>
      <c r="F407" s="4" t="s">
        <v>338</v>
      </c>
      <c r="G407" s="4" t="s">
        <v>19</v>
      </c>
      <c r="H407" s="4" t="s">
        <v>56</v>
      </c>
      <c r="I407" s="4" t="str">
        <f t="shared" si="2"/>
        <v>Eric Wolfe</v>
      </c>
      <c r="J407" s="4" t="str">
        <f t="shared" ref="J407:K407" si="410">TRIM(PROPER(E407))</f>
        <v>Garciaview</v>
      </c>
      <c r="K407" s="4" t="str">
        <f t="shared" si="410"/>
        <v>Louisiana</v>
      </c>
      <c r="L407" s="4" t="str">
        <f t="shared" si="4"/>
        <v>Female</v>
      </c>
      <c r="M407" s="4" t="str">
        <f t="shared" si="5"/>
        <v>Gold</v>
      </c>
      <c r="N407" s="4" t="str">
        <f t="shared" si="6"/>
        <v>OK</v>
      </c>
    </row>
    <row r="408" ht="14.25" customHeight="1">
      <c r="A408" s="4" t="s">
        <v>1279</v>
      </c>
      <c r="B408" s="4" t="s">
        <v>1280</v>
      </c>
      <c r="C408" s="4">
        <v>23.0</v>
      </c>
      <c r="D408" s="4" t="s">
        <v>22</v>
      </c>
      <c r="E408" s="4" t="s">
        <v>1281</v>
      </c>
      <c r="F408" s="4" t="s">
        <v>334</v>
      </c>
      <c r="G408" s="4" t="s">
        <v>19</v>
      </c>
      <c r="H408" s="4" t="s">
        <v>56</v>
      </c>
      <c r="I408" s="4" t="str">
        <f t="shared" si="2"/>
        <v>David Lozano</v>
      </c>
      <c r="J408" s="4" t="str">
        <f t="shared" ref="J408:K408" si="411">TRIM(PROPER(E408))</f>
        <v>North Michaelfurt</v>
      </c>
      <c r="K408" s="4" t="str">
        <f t="shared" si="411"/>
        <v>Wisconsin</v>
      </c>
      <c r="L408" s="4" t="str">
        <f t="shared" si="4"/>
        <v>Female</v>
      </c>
      <c r="M408" s="4" t="str">
        <f t="shared" si="5"/>
        <v>Gold</v>
      </c>
      <c r="N408" s="4" t="str">
        <f t="shared" si="6"/>
        <v>OK</v>
      </c>
    </row>
    <row r="409" ht="14.25" customHeight="1">
      <c r="A409" s="4" t="s">
        <v>1282</v>
      </c>
      <c r="B409" s="4" t="s">
        <v>1283</v>
      </c>
      <c r="C409" s="4">
        <v>33.0</v>
      </c>
      <c r="D409" s="4" t="s">
        <v>16</v>
      </c>
      <c r="E409" s="4" t="s">
        <v>1284</v>
      </c>
      <c r="F409" s="4" t="s">
        <v>150</v>
      </c>
      <c r="G409" s="4" t="s">
        <v>19</v>
      </c>
      <c r="H409" s="4" t="s">
        <v>56</v>
      </c>
      <c r="I409" s="4" t="str">
        <f t="shared" si="2"/>
        <v>Joseph Mendoza</v>
      </c>
      <c r="J409" s="4" t="str">
        <f t="shared" ref="J409:K409" si="412">TRIM(PROPER(E409))</f>
        <v>Ashleymouth</v>
      </c>
      <c r="K409" s="4" t="str">
        <f t="shared" si="412"/>
        <v>Maryland</v>
      </c>
      <c r="L409" s="4" t="str">
        <f t="shared" si="4"/>
        <v>Male</v>
      </c>
      <c r="M409" s="4" t="str">
        <f t="shared" si="5"/>
        <v>Gold</v>
      </c>
      <c r="N409" s="4" t="str">
        <f t="shared" si="6"/>
        <v>OK</v>
      </c>
    </row>
    <row r="410" ht="14.25" customHeight="1">
      <c r="A410" s="4" t="s">
        <v>1285</v>
      </c>
      <c r="B410" s="4" t="s">
        <v>1286</v>
      </c>
      <c r="C410" s="4">
        <v>36.0</v>
      </c>
      <c r="D410" s="4" t="s">
        <v>16</v>
      </c>
      <c r="E410" s="4" t="s">
        <v>1287</v>
      </c>
      <c r="F410" s="4" t="s">
        <v>97</v>
      </c>
      <c r="G410" s="4" t="s">
        <v>19</v>
      </c>
      <c r="H410" s="4" t="s">
        <v>56</v>
      </c>
      <c r="I410" s="4" t="str">
        <f t="shared" si="2"/>
        <v>Isabel Foster</v>
      </c>
      <c r="J410" s="4" t="str">
        <f t="shared" ref="J410:K410" si="413">TRIM(PROPER(E410))</f>
        <v>Port Joshuaville</v>
      </c>
      <c r="K410" s="4" t="str">
        <f t="shared" si="413"/>
        <v>New Jersey</v>
      </c>
      <c r="L410" s="4" t="str">
        <f t="shared" si="4"/>
        <v>Male</v>
      </c>
      <c r="M410" s="4" t="str">
        <f t="shared" si="5"/>
        <v>Gold</v>
      </c>
      <c r="N410" s="4" t="str">
        <f t="shared" si="6"/>
        <v>OK</v>
      </c>
    </row>
    <row r="411" ht="14.25" customHeight="1">
      <c r="A411" s="4" t="s">
        <v>1288</v>
      </c>
      <c r="B411" s="4" t="s">
        <v>1289</v>
      </c>
      <c r="C411" s="4">
        <v>55.0</v>
      </c>
      <c r="D411" s="4" t="s">
        <v>16</v>
      </c>
      <c r="E411" s="4" t="s">
        <v>1290</v>
      </c>
      <c r="F411" s="4" t="s">
        <v>860</v>
      </c>
      <c r="G411" s="4" t="s">
        <v>19</v>
      </c>
      <c r="H411" s="4" t="s">
        <v>56</v>
      </c>
      <c r="I411" s="4" t="str">
        <f t="shared" si="2"/>
        <v>Sarah Smith</v>
      </c>
      <c r="J411" s="4" t="str">
        <f t="shared" ref="J411:K411" si="414">TRIM(PROPER(E411))</f>
        <v>Kathleenport</v>
      </c>
      <c r="K411" s="4" t="str">
        <f t="shared" si="414"/>
        <v>Wyoming</v>
      </c>
      <c r="L411" s="4" t="str">
        <f t="shared" si="4"/>
        <v>Male</v>
      </c>
      <c r="M411" s="4" t="str">
        <f t="shared" si="5"/>
        <v>Gold</v>
      </c>
      <c r="N411" s="4" t="str">
        <f t="shared" si="6"/>
        <v>OK</v>
      </c>
    </row>
    <row r="412" ht="14.25" customHeight="1">
      <c r="A412" s="4" t="s">
        <v>1291</v>
      </c>
      <c r="B412" s="4" t="s">
        <v>1292</v>
      </c>
      <c r="C412" s="4">
        <v>48.0</v>
      </c>
      <c r="D412" s="4" t="s">
        <v>22</v>
      </c>
      <c r="E412" s="4" t="s">
        <v>1293</v>
      </c>
      <c r="F412" s="4" t="s">
        <v>97</v>
      </c>
      <c r="G412" s="4" t="s">
        <v>19</v>
      </c>
      <c r="H412" s="4" t="s">
        <v>34</v>
      </c>
      <c r="I412" s="4" t="str">
        <f t="shared" si="2"/>
        <v>Jackie Thompson</v>
      </c>
      <c r="J412" s="4" t="str">
        <f t="shared" ref="J412:K412" si="415">TRIM(PROPER(E412))</f>
        <v>South Edwin</v>
      </c>
      <c r="K412" s="4" t="str">
        <f t="shared" si="415"/>
        <v>New Jersey</v>
      </c>
      <c r="L412" s="4" t="str">
        <f t="shared" si="4"/>
        <v>Female</v>
      </c>
      <c r="M412" s="4" t="str">
        <f t="shared" si="5"/>
        <v>Bronze</v>
      </c>
      <c r="N412" s="4" t="str">
        <f t="shared" si="6"/>
        <v>OK</v>
      </c>
    </row>
    <row r="413" ht="14.25" customHeight="1">
      <c r="A413" s="4" t="s">
        <v>1294</v>
      </c>
      <c r="B413" s="4" t="s">
        <v>1295</v>
      </c>
      <c r="C413" s="4">
        <v>63.0</v>
      </c>
      <c r="D413" s="4" t="s">
        <v>16</v>
      </c>
      <c r="E413" s="4" t="s">
        <v>1296</v>
      </c>
      <c r="F413" s="4" t="s">
        <v>33</v>
      </c>
      <c r="G413" s="4" t="s">
        <v>19</v>
      </c>
      <c r="H413" s="4" t="s">
        <v>39</v>
      </c>
      <c r="I413" s="4" t="str">
        <f t="shared" si="2"/>
        <v>Katrina Perez</v>
      </c>
      <c r="J413" s="4" t="str">
        <f t="shared" ref="J413:K413" si="416">TRIM(PROPER(E413))</f>
        <v>West Rebecca</v>
      </c>
      <c r="K413" s="4" t="str">
        <f t="shared" si="416"/>
        <v>Ohio</v>
      </c>
      <c r="L413" s="4" t="str">
        <f t="shared" si="4"/>
        <v>Male</v>
      </c>
      <c r="M413" s="4" t="str">
        <f t="shared" si="5"/>
        <v>Silver</v>
      </c>
      <c r="N413" s="4" t="str">
        <f t="shared" si="6"/>
        <v>OK</v>
      </c>
    </row>
    <row r="414" ht="14.25" customHeight="1">
      <c r="A414" s="4" t="s">
        <v>1297</v>
      </c>
      <c r="B414" s="4" t="s">
        <v>1298</v>
      </c>
      <c r="C414" s="4">
        <v>23.0</v>
      </c>
      <c r="D414" s="4" t="s">
        <v>22</v>
      </c>
      <c r="E414" s="4" t="s">
        <v>214</v>
      </c>
      <c r="F414" s="4" t="s">
        <v>166</v>
      </c>
      <c r="G414" s="4" t="s">
        <v>19</v>
      </c>
      <c r="H414" s="4" t="s">
        <v>56</v>
      </c>
      <c r="I414" s="4" t="str">
        <f t="shared" si="2"/>
        <v>Shane Brown</v>
      </c>
      <c r="J414" s="4" t="str">
        <f t="shared" ref="J414:K414" si="417">TRIM(PROPER(E414))</f>
        <v>East Andrea</v>
      </c>
      <c r="K414" s="4" t="str">
        <f t="shared" si="417"/>
        <v>Michigan</v>
      </c>
      <c r="L414" s="4" t="str">
        <f t="shared" si="4"/>
        <v>Female</v>
      </c>
      <c r="M414" s="4" t="str">
        <f t="shared" si="5"/>
        <v>Gold</v>
      </c>
      <c r="N414" s="4" t="str">
        <f t="shared" si="6"/>
        <v>OK</v>
      </c>
    </row>
    <row r="415" ht="14.25" customHeight="1">
      <c r="A415" s="4" t="s">
        <v>1299</v>
      </c>
      <c r="B415" s="4" t="s">
        <v>1300</v>
      </c>
      <c r="C415" s="4">
        <v>59.0</v>
      </c>
      <c r="D415" s="4" t="s">
        <v>22</v>
      </c>
      <c r="E415" s="4" t="s">
        <v>1301</v>
      </c>
      <c r="F415" s="4" t="s">
        <v>116</v>
      </c>
      <c r="G415" s="4" t="s">
        <v>19</v>
      </c>
      <c r="H415" s="4" t="s">
        <v>34</v>
      </c>
      <c r="I415" s="4" t="str">
        <f t="shared" si="2"/>
        <v>Megan Ryan</v>
      </c>
      <c r="J415" s="4" t="str">
        <f t="shared" ref="J415:K415" si="418">TRIM(PROPER(E415))</f>
        <v>Andrewsfurt</v>
      </c>
      <c r="K415" s="4" t="str">
        <f t="shared" si="418"/>
        <v>Idaho</v>
      </c>
      <c r="L415" s="4" t="str">
        <f t="shared" si="4"/>
        <v>Female</v>
      </c>
      <c r="M415" s="4" t="str">
        <f t="shared" si="5"/>
        <v>Bronze</v>
      </c>
      <c r="N415" s="4" t="str">
        <f t="shared" si="6"/>
        <v>OK</v>
      </c>
    </row>
    <row r="416" ht="14.25" customHeight="1">
      <c r="A416" s="4" t="s">
        <v>1302</v>
      </c>
      <c r="B416" s="4" t="s">
        <v>1303</v>
      </c>
      <c r="C416" s="4">
        <v>35.0</v>
      </c>
      <c r="D416" s="4" t="s">
        <v>22</v>
      </c>
      <c r="E416" s="4" t="s">
        <v>1304</v>
      </c>
      <c r="F416" s="4" t="s">
        <v>123</v>
      </c>
      <c r="G416" s="4" t="s">
        <v>19</v>
      </c>
      <c r="H416" s="4" t="s">
        <v>56</v>
      </c>
      <c r="I416" s="4" t="str">
        <f t="shared" si="2"/>
        <v>Melissa Valentine</v>
      </c>
      <c r="J416" s="4" t="str">
        <f t="shared" ref="J416:K416" si="419">TRIM(PROPER(E416))</f>
        <v>East Patriciafort</v>
      </c>
      <c r="K416" s="4" t="str">
        <f t="shared" si="419"/>
        <v>Missouri</v>
      </c>
      <c r="L416" s="4" t="str">
        <f t="shared" si="4"/>
        <v>Female</v>
      </c>
      <c r="M416" s="4" t="str">
        <f t="shared" si="5"/>
        <v>Gold</v>
      </c>
      <c r="N416" s="4" t="str">
        <f t="shared" si="6"/>
        <v>OK</v>
      </c>
    </row>
    <row r="417" ht="14.25" customHeight="1">
      <c r="A417" s="4" t="s">
        <v>1305</v>
      </c>
      <c r="B417" s="4" t="s">
        <v>1306</v>
      </c>
      <c r="C417" s="4">
        <v>26.0</v>
      </c>
      <c r="D417" s="4" t="s">
        <v>22</v>
      </c>
      <c r="E417" s="4" t="s">
        <v>1307</v>
      </c>
      <c r="F417" s="4" t="s">
        <v>173</v>
      </c>
      <c r="G417" s="4" t="s">
        <v>19</v>
      </c>
      <c r="H417" s="4" t="s">
        <v>39</v>
      </c>
      <c r="I417" s="4" t="str">
        <f t="shared" si="2"/>
        <v>Tyler Cook</v>
      </c>
      <c r="J417" s="4" t="str">
        <f t="shared" ref="J417:K417" si="420">TRIM(PROPER(E417))</f>
        <v>Kramerview</v>
      </c>
      <c r="K417" s="4" t="str">
        <f t="shared" si="420"/>
        <v>Alaska</v>
      </c>
      <c r="L417" s="4" t="str">
        <f t="shared" si="4"/>
        <v>Female</v>
      </c>
      <c r="M417" s="4" t="str">
        <f t="shared" si="5"/>
        <v>Silver</v>
      </c>
      <c r="N417" s="4" t="str">
        <f t="shared" si="6"/>
        <v>OK</v>
      </c>
    </row>
    <row r="418" ht="14.25" customHeight="1">
      <c r="A418" s="4" t="s">
        <v>1308</v>
      </c>
      <c r="B418" s="4" t="s">
        <v>1309</v>
      </c>
      <c r="C418" s="4">
        <v>46.0</v>
      </c>
      <c r="D418" s="4" t="s">
        <v>16</v>
      </c>
      <c r="E418" s="4" t="s">
        <v>1310</v>
      </c>
      <c r="F418" s="4" t="s">
        <v>334</v>
      </c>
      <c r="G418" s="4" t="s">
        <v>19</v>
      </c>
      <c r="H418" s="4" t="s">
        <v>25</v>
      </c>
      <c r="I418" s="4" t="str">
        <f t="shared" si="2"/>
        <v>Jennifer Myers</v>
      </c>
      <c r="J418" s="4" t="str">
        <f t="shared" ref="J418:K418" si="421">TRIM(PROPER(E418))</f>
        <v>Marthaborough</v>
      </c>
      <c r="K418" s="4" t="str">
        <f t="shared" si="421"/>
        <v>Wisconsin</v>
      </c>
      <c r="L418" s="4" t="str">
        <f t="shared" si="4"/>
        <v>Male</v>
      </c>
      <c r="M418" s="4" t="str">
        <f t="shared" si="5"/>
        <v>Platinum</v>
      </c>
      <c r="N418" s="4" t="str">
        <f t="shared" si="6"/>
        <v>OK</v>
      </c>
    </row>
    <row r="419" ht="14.25" customHeight="1">
      <c r="A419" s="4" t="s">
        <v>1311</v>
      </c>
      <c r="B419" s="4" t="s">
        <v>1312</v>
      </c>
      <c r="C419" s="4">
        <v>64.0</v>
      </c>
      <c r="D419" s="4" t="s">
        <v>22</v>
      </c>
      <c r="E419" s="4" t="s">
        <v>1313</v>
      </c>
      <c r="F419" s="4" t="s">
        <v>18</v>
      </c>
      <c r="G419" s="4" t="s">
        <v>19</v>
      </c>
      <c r="H419" s="4" t="s">
        <v>34</v>
      </c>
      <c r="I419" s="4" t="str">
        <f t="shared" si="2"/>
        <v>Karen King</v>
      </c>
      <c r="J419" s="4" t="str">
        <f t="shared" ref="J419:K419" si="422">TRIM(PROPER(E419))</f>
        <v>Kimburgh</v>
      </c>
      <c r="K419" s="4" t="str">
        <f t="shared" si="422"/>
        <v>North Carolina</v>
      </c>
      <c r="L419" s="4" t="str">
        <f t="shared" si="4"/>
        <v>Female</v>
      </c>
      <c r="M419" s="4" t="str">
        <f t="shared" si="5"/>
        <v>Bronze</v>
      </c>
      <c r="N419" s="4" t="str">
        <f t="shared" si="6"/>
        <v>OK</v>
      </c>
    </row>
    <row r="420" ht="14.25" customHeight="1">
      <c r="A420" s="4" t="s">
        <v>1314</v>
      </c>
      <c r="B420" s="4" t="s">
        <v>1315</v>
      </c>
      <c r="C420" s="4">
        <v>60.0</v>
      </c>
      <c r="D420" s="4" t="s">
        <v>22</v>
      </c>
      <c r="E420" s="4" t="s">
        <v>1316</v>
      </c>
      <c r="F420" s="4" t="s">
        <v>55</v>
      </c>
      <c r="G420" s="4" t="s">
        <v>19</v>
      </c>
      <c r="H420" s="4" t="s">
        <v>39</v>
      </c>
      <c r="I420" s="4" t="str">
        <f t="shared" si="2"/>
        <v>Luke Parks</v>
      </c>
      <c r="J420" s="4" t="str">
        <f t="shared" ref="J420:K420" si="423">TRIM(PROPER(E420))</f>
        <v>West Mario</v>
      </c>
      <c r="K420" s="4" t="str">
        <f t="shared" si="423"/>
        <v>New Hampshire</v>
      </c>
      <c r="L420" s="4" t="str">
        <f t="shared" si="4"/>
        <v>Female</v>
      </c>
      <c r="M420" s="4" t="str">
        <f t="shared" si="5"/>
        <v>Silver</v>
      </c>
      <c r="N420" s="4" t="str">
        <f t="shared" si="6"/>
        <v>OK</v>
      </c>
    </row>
    <row r="421" ht="14.25" customHeight="1">
      <c r="A421" s="4" t="s">
        <v>1317</v>
      </c>
      <c r="B421" s="4" t="s">
        <v>1318</v>
      </c>
      <c r="C421" s="4">
        <v>33.0</v>
      </c>
      <c r="D421" s="4" t="s">
        <v>16</v>
      </c>
      <c r="E421" s="4" t="s">
        <v>1319</v>
      </c>
      <c r="F421" s="4" t="s">
        <v>323</v>
      </c>
      <c r="G421" s="4" t="s">
        <v>19</v>
      </c>
      <c r="H421" s="4" t="s">
        <v>56</v>
      </c>
      <c r="I421" s="4" t="str">
        <f t="shared" si="2"/>
        <v>Monica Miller</v>
      </c>
      <c r="J421" s="4" t="str">
        <f t="shared" ref="J421:K421" si="424">TRIM(PROPER(E421))</f>
        <v>Lake David</v>
      </c>
      <c r="K421" s="4" t="str">
        <f t="shared" si="424"/>
        <v>Mississippi</v>
      </c>
      <c r="L421" s="4" t="str">
        <f t="shared" si="4"/>
        <v>Male</v>
      </c>
      <c r="M421" s="4" t="str">
        <f t="shared" si="5"/>
        <v>Gold</v>
      </c>
      <c r="N421" s="4" t="str">
        <f t="shared" si="6"/>
        <v>OK</v>
      </c>
    </row>
    <row r="422" ht="14.25" customHeight="1">
      <c r="A422" s="4" t="s">
        <v>1320</v>
      </c>
      <c r="B422" s="4" t="s">
        <v>1321</v>
      </c>
      <c r="C422" s="4">
        <v>60.0</v>
      </c>
      <c r="D422" s="4" t="s">
        <v>16</v>
      </c>
      <c r="E422" s="4" t="s">
        <v>1322</v>
      </c>
      <c r="F422" s="4" t="s">
        <v>18</v>
      </c>
      <c r="G422" s="4" t="s">
        <v>19</v>
      </c>
      <c r="H422" s="4" t="s">
        <v>34</v>
      </c>
      <c r="I422" s="4" t="str">
        <f t="shared" si="2"/>
        <v>Dr. Tamara White Md</v>
      </c>
      <c r="J422" s="4" t="str">
        <f t="shared" ref="J422:K422" si="425">TRIM(PROPER(E422))</f>
        <v>New Benjamin</v>
      </c>
      <c r="K422" s="4" t="str">
        <f t="shared" si="425"/>
        <v>North Carolina</v>
      </c>
      <c r="L422" s="4" t="str">
        <f t="shared" si="4"/>
        <v>Male</v>
      </c>
      <c r="M422" s="4" t="str">
        <f t="shared" si="5"/>
        <v>Bronze</v>
      </c>
      <c r="N422" s="4" t="str">
        <f t="shared" si="6"/>
        <v>OK</v>
      </c>
    </row>
    <row r="423" ht="14.25" customHeight="1">
      <c r="A423" s="4" t="s">
        <v>1323</v>
      </c>
      <c r="B423" s="4" t="s">
        <v>1324</v>
      </c>
      <c r="C423" s="4">
        <v>45.0</v>
      </c>
      <c r="D423" s="4" t="s">
        <v>22</v>
      </c>
      <c r="E423" s="4" t="s">
        <v>1325</v>
      </c>
      <c r="F423" s="4" t="s">
        <v>83</v>
      </c>
      <c r="G423" s="4" t="s">
        <v>19</v>
      </c>
      <c r="H423" s="4" t="s">
        <v>25</v>
      </c>
      <c r="I423" s="4" t="str">
        <f t="shared" si="2"/>
        <v>Holly Robinson</v>
      </c>
      <c r="J423" s="4" t="str">
        <f t="shared" ref="J423:K423" si="426">TRIM(PROPER(E423))</f>
        <v>East Amy</v>
      </c>
      <c r="K423" s="4" t="str">
        <f t="shared" si="426"/>
        <v>Washington</v>
      </c>
      <c r="L423" s="4" t="str">
        <f t="shared" si="4"/>
        <v>Female</v>
      </c>
      <c r="M423" s="4" t="str">
        <f t="shared" si="5"/>
        <v>Platinum</v>
      </c>
      <c r="N423" s="4" t="str">
        <f t="shared" si="6"/>
        <v>OK</v>
      </c>
    </row>
    <row r="424" ht="14.25" customHeight="1">
      <c r="A424" s="4" t="s">
        <v>1326</v>
      </c>
      <c r="B424" s="4" t="s">
        <v>1327</v>
      </c>
      <c r="C424" s="4">
        <v>42.0</v>
      </c>
      <c r="D424" s="4" t="s">
        <v>22</v>
      </c>
      <c r="E424" s="4" t="s">
        <v>1328</v>
      </c>
      <c r="F424" s="4" t="s">
        <v>71</v>
      </c>
      <c r="G424" s="4" t="s">
        <v>19</v>
      </c>
      <c r="H424" s="4" t="s">
        <v>25</v>
      </c>
      <c r="I424" s="4" t="str">
        <f t="shared" si="2"/>
        <v>Brittany Edwards Dds</v>
      </c>
      <c r="J424" s="4" t="str">
        <f t="shared" ref="J424:K424" si="427">TRIM(PROPER(E424))</f>
        <v>Aliciahaven</v>
      </c>
      <c r="K424" s="4" t="str">
        <f t="shared" si="427"/>
        <v>Kansas</v>
      </c>
      <c r="L424" s="4" t="str">
        <f t="shared" si="4"/>
        <v>Female</v>
      </c>
      <c r="M424" s="4" t="str">
        <f t="shared" si="5"/>
        <v>Platinum</v>
      </c>
      <c r="N424" s="4" t="str">
        <f t="shared" si="6"/>
        <v>OK</v>
      </c>
    </row>
    <row r="425" ht="14.25" customHeight="1">
      <c r="A425" s="4" t="s">
        <v>1329</v>
      </c>
      <c r="B425" s="4" t="s">
        <v>1330</v>
      </c>
      <c r="C425" s="4">
        <v>35.0</v>
      </c>
      <c r="D425" s="4" t="s">
        <v>16</v>
      </c>
      <c r="E425" s="4" t="s">
        <v>1331</v>
      </c>
      <c r="F425" s="4" t="s">
        <v>71</v>
      </c>
      <c r="G425" s="4" t="s">
        <v>19</v>
      </c>
      <c r="H425" s="4" t="s">
        <v>39</v>
      </c>
      <c r="I425" s="4" t="str">
        <f t="shared" si="2"/>
        <v>Rebecca Baker</v>
      </c>
      <c r="J425" s="4" t="str">
        <f t="shared" ref="J425:K425" si="428">TRIM(PROPER(E425))</f>
        <v>New Katherine</v>
      </c>
      <c r="K425" s="4" t="str">
        <f t="shared" si="428"/>
        <v>Kansas</v>
      </c>
      <c r="L425" s="4" t="str">
        <f t="shared" si="4"/>
        <v>Male</v>
      </c>
      <c r="M425" s="4" t="str">
        <f t="shared" si="5"/>
        <v>Silver</v>
      </c>
      <c r="N425" s="4" t="str">
        <f t="shared" si="6"/>
        <v>OK</v>
      </c>
    </row>
    <row r="426" ht="14.25" customHeight="1">
      <c r="A426" s="4" t="s">
        <v>1332</v>
      </c>
      <c r="B426" s="4" t="s">
        <v>1333</v>
      </c>
      <c r="C426" s="4">
        <v>53.0</v>
      </c>
      <c r="D426" s="4" t="s">
        <v>16</v>
      </c>
      <c r="E426" s="4" t="s">
        <v>1334</v>
      </c>
      <c r="F426" s="4" t="s">
        <v>18</v>
      </c>
      <c r="G426" s="4" t="s">
        <v>19</v>
      </c>
      <c r="H426" s="4" t="s">
        <v>34</v>
      </c>
      <c r="I426" s="4" t="str">
        <f t="shared" si="2"/>
        <v>Edwin Barnes</v>
      </c>
      <c r="J426" s="4" t="str">
        <f t="shared" ref="J426:K426" si="429">TRIM(PROPER(E426))</f>
        <v>Lake Alexandra</v>
      </c>
      <c r="K426" s="4" t="str">
        <f t="shared" si="429"/>
        <v>North Carolina</v>
      </c>
      <c r="L426" s="4" t="str">
        <f t="shared" si="4"/>
        <v>Male</v>
      </c>
      <c r="M426" s="4" t="str">
        <f t="shared" si="5"/>
        <v>Bronze</v>
      </c>
      <c r="N426" s="4" t="str">
        <f t="shared" si="6"/>
        <v>OK</v>
      </c>
    </row>
    <row r="427" ht="14.25" customHeight="1">
      <c r="A427" s="4" t="s">
        <v>1335</v>
      </c>
      <c r="B427" s="4" t="s">
        <v>1336</v>
      </c>
      <c r="C427" s="4">
        <v>40.0</v>
      </c>
      <c r="D427" s="4" t="s">
        <v>16</v>
      </c>
      <c r="E427" s="4" t="s">
        <v>1337</v>
      </c>
      <c r="F427" s="4" t="s">
        <v>127</v>
      </c>
      <c r="G427" s="4" t="s">
        <v>19</v>
      </c>
      <c r="H427" s="4" t="s">
        <v>34</v>
      </c>
      <c r="I427" s="4" t="str">
        <f t="shared" si="2"/>
        <v>Bryce Hawkins</v>
      </c>
      <c r="J427" s="4" t="str">
        <f t="shared" ref="J427:K427" si="430">TRIM(PROPER(E427))</f>
        <v>Lake Monique</v>
      </c>
      <c r="K427" s="4" t="str">
        <f t="shared" si="430"/>
        <v>Utah</v>
      </c>
      <c r="L427" s="4" t="str">
        <f t="shared" si="4"/>
        <v>Male</v>
      </c>
      <c r="M427" s="4" t="str">
        <f t="shared" si="5"/>
        <v>Bronze</v>
      </c>
      <c r="N427" s="4" t="str">
        <f t="shared" si="6"/>
        <v>OK</v>
      </c>
    </row>
    <row r="428" ht="14.25" customHeight="1">
      <c r="A428" s="4" t="s">
        <v>1338</v>
      </c>
      <c r="B428" s="4" t="s">
        <v>1339</v>
      </c>
      <c r="C428" s="4">
        <v>28.0</v>
      </c>
      <c r="D428" s="4" t="s">
        <v>16</v>
      </c>
      <c r="E428" s="4" t="s">
        <v>1340</v>
      </c>
      <c r="F428" s="4" t="s">
        <v>18</v>
      </c>
      <c r="G428" s="4" t="s">
        <v>19</v>
      </c>
      <c r="H428" s="4" t="s">
        <v>25</v>
      </c>
      <c r="I428" s="4" t="str">
        <f t="shared" si="2"/>
        <v>Jeanette Nichols</v>
      </c>
      <c r="J428" s="4" t="str">
        <f t="shared" ref="J428:K428" si="431">TRIM(PROPER(E428))</f>
        <v>Aguilarland</v>
      </c>
      <c r="K428" s="4" t="str">
        <f t="shared" si="431"/>
        <v>North Carolina</v>
      </c>
      <c r="L428" s="4" t="str">
        <f t="shared" si="4"/>
        <v>Male</v>
      </c>
      <c r="M428" s="4" t="str">
        <f t="shared" si="5"/>
        <v>Platinum</v>
      </c>
      <c r="N428" s="4" t="str">
        <f t="shared" si="6"/>
        <v>OK</v>
      </c>
    </row>
    <row r="429" ht="14.25" customHeight="1">
      <c r="A429" s="4" t="s">
        <v>1341</v>
      </c>
      <c r="B429" s="4" t="s">
        <v>1342</v>
      </c>
      <c r="C429" s="4">
        <v>18.0</v>
      </c>
      <c r="D429" s="4" t="s">
        <v>22</v>
      </c>
      <c r="E429" s="4" t="s">
        <v>1343</v>
      </c>
      <c r="F429" s="4" t="s">
        <v>445</v>
      </c>
      <c r="G429" s="4" t="s">
        <v>19</v>
      </c>
      <c r="H429" s="4" t="s">
        <v>56</v>
      </c>
      <c r="I429" s="4" t="str">
        <f t="shared" si="2"/>
        <v>Jose Stewart</v>
      </c>
      <c r="J429" s="4" t="str">
        <f t="shared" ref="J429:K429" si="432">TRIM(PROPER(E429))</f>
        <v>South Robert</v>
      </c>
      <c r="K429" s="4" t="str">
        <f t="shared" si="432"/>
        <v>Maine</v>
      </c>
      <c r="L429" s="4" t="str">
        <f t="shared" si="4"/>
        <v>Female</v>
      </c>
      <c r="M429" s="4" t="str">
        <f t="shared" si="5"/>
        <v>Gold</v>
      </c>
      <c r="N429" s="4" t="str">
        <f t="shared" si="6"/>
        <v>OK</v>
      </c>
    </row>
    <row r="430" ht="14.25" customHeight="1">
      <c r="A430" s="4" t="s">
        <v>1344</v>
      </c>
      <c r="B430" s="4" t="s">
        <v>1345</v>
      </c>
      <c r="C430" s="4">
        <v>27.0</v>
      </c>
      <c r="D430" s="4" t="s">
        <v>22</v>
      </c>
      <c r="E430" s="4" t="s">
        <v>1346</v>
      </c>
      <c r="F430" s="4" t="s">
        <v>338</v>
      </c>
      <c r="G430" s="4" t="s">
        <v>19</v>
      </c>
      <c r="H430" s="4" t="s">
        <v>34</v>
      </c>
      <c r="I430" s="4" t="str">
        <f t="shared" si="2"/>
        <v>Samuel Mullins</v>
      </c>
      <c r="J430" s="4" t="str">
        <f t="shared" ref="J430:K430" si="433">TRIM(PROPER(E430))</f>
        <v>Hartmouth</v>
      </c>
      <c r="K430" s="4" t="str">
        <f t="shared" si="433"/>
        <v>Louisiana</v>
      </c>
      <c r="L430" s="4" t="str">
        <f t="shared" si="4"/>
        <v>Female</v>
      </c>
      <c r="M430" s="4" t="str">
        <f t="shared" si="5"/>
        <v>Bronze</v>
      </c>
      <c r="N430" s="4" t="str">
        <f t="shared" si="6"/>
        <v>OK</v>
      </c>
    </row>
    <row r="431" ht="14.25" customHeight="1">
      <c r="A431" s="4" t="s">
        <v>1347</v>
      </c>
      <c r="B431" s="4" t="s">
        <v>1348</v>
      </c>
      <c r="C431" s="4">
        <v>43.0</v>
      </c>
      <c r="D431" s="4" t="s">
        <v>16</v>
      </c>
      <c r="E431" s="4" t="s">
        <v>1349</v>
      </c>
      <c r="F431" s="4" t="s">
        <v>116</v>
      </c>
      <c r="G431" s="4" t="s">
        <v>19</v>
      </c>
      <c r="H431" s="4" t="s">
        <v>25</v>
      </c>
      <c r="I431" s="4" t="str">
        <f t="shared" si="2"/>
        <v>Sean Vang</v>
      </c>
      <c r="J431" s="4" t="str">
        <f t="shared" ref="J431:K431" si="434">TRIM(PROPER(E431))</f>
        <v>Davidchester</v>
      </c>
      <c r="K431" s="4" t="str">
        <f t="shared" si="434"/>
        <v>Idaho</v>
      </c>
      <c r="L431" s="4" t="str">
        <f t="shared" si="4"/>
        <v>Male</v>
      </c>
      <c r="M431" s="4" t="str">
        <f t="shared" si="5"/>
        <v>Platinum</v>
      </c>
      <c r="N431" s="4" t="str">
        <f t="shared" si="6"/>
        <v>OK</v>
      </c>
    </row>
    <row r="432" ht="14.25" customHeight="1">
      <c r="A432" s="4" t="s">
        <v>1350</v>
      </c>
      <c r="B432" s="4" t="s">
        <v>1351</v>
      </c>
      <c r="C432" s="4">
        <v>36.0</v>
      </c>
      <c r="D432" s="4" t="s">
        <v>22</v>
      </c>
      <c r="E432" s="4" t="s">
        <v>1352</v>
      </c>
      <c r="F432" s="4" t="s">
        <v>97</v>
      </c>
      <c r="G432" s="4" t="s">
        <v>19</v>
      </c>
      <c r="H432" s="4" t="s">
        <v>56</v>
      </c>
      <c r="I432" s="4" t="str">
        <f t="shared" si="2"/>
        <v>Kimberly Roberts</v>
      </c>
      <c r="J432" s="4" t="str">
        <f t="shared" ref="J432:K432" si="435">TRIM(PROPER(E432))</f>
        <v>Josephchester</v>
      </c>
      <c r="K432" s="4" t="str">
        <f t="shared" si="435"/>
        <v>New Jersey</v>
      </c>
      <c r="L432" s="4" t="str">
        <f t="shared" si="4"/>
        <v>Female</v>
      </c>
      <c r="M432" s="4" t="str">
        <f t="shared" si="5"/>
        <v>Gold</v>
      </c>
      <c r="N432" s="4" t="str">
        <f t="shared" si="6"/>
        <v>OK</v>
      </c>
    </row>
    <row r="433" ht="14.25" customHeight="1">
      <c r="A433" s="4" t="s">
        <v>1353</v>
      </c>
      <c r="B433" s="4" t="s">
        <v>1354</v>
      </c>
      <c r="C433" s="4">
        <v>27.0</v>
      </c>
      <c r="D433" s="4" t="s">
        <v>16</v>
      </c>
      <c r="E433" s="4" t="s">
        <v>1355</v>
      </c>
      <c r="F433" s="4" t="s">
        <v>38</v>
      </c>
      <c r="G433" s="4" t="s">
        <v>19</v>
      </c>
      <c r="H433" s="4" t="s">
        <v>25</v>
      </c>
      <c r="I433" s="4" t="str">
        <f t="shared" si="2"/>
        <v>John Smith</v>
      </c>
      <c r="J433" s="4" t="str">
        <f t="shared" ref="J433:K433" si="436">TRIM(PROPER(E433))</f>
        <v>South Andrewport</v>
      </c>
      <c r="K433" s="4" t="str">
        <f t="shared" si="436"/>
        <v>California</v>
      </c>
      <c r="L433" s="4" t="str">
        <f t="shared" si="4"/>
        <v>Male</v>
      </c>
      <c r="M433" s="4" t="str">
        <f t="shared" si="5"/>
        <v>Platinum</v>
      </c>
      <c r="N433" s="4" t="str">
        <f t="shared" si="6"/>
        <v>OK</v>
      </c>
    </row>
    <row r="434" ht="14.25" customHeight="1">
      <c r="A434" s="4" t="s">
        <v>1356</v>
      </c>
      <c r="B434" s="4" t="s">
        <v>1357</v>
      </c>
      <c r="C434" s="4">
        <v>37.0</v>
      </c>
      <c r="D434" s="4" t="s">
        <v>16</v>
      </c>
      <c r="E434" s="4" t="s">
        <v>1358</v>
      </c>
      <c r="F434" s="4" t="s">
        <v>97</v>
      </c>
      <c r="G434" s="4" t="s">
        <v>19</v>
      </c>
      <c r="H434" s="4" t="s">
        <v>34</v>
      </c>
      <c r="I434" s="4" t="str">
        <f t="shared" si="2"/>
        <v>Summer Weiss</v>
      </c>
      <c r="J434" s="4" t="str">
        <f t="shared" ref="J434:K434" si="437">TRIM(PROPER(E434))</f>
        <v>Phyllisport</v>
      </c>
      <c r="K434" s="4" t="str">
        <f t="shared" si="437"/>
        <v>New Jersey</v>
      </c>
      <c r="L434" s="4" t="str">
        <f t="shared" si="4"/>
        <v>Male</v>
      </c>
      <c r="M434" s="4" t="str">
        <f t="shared" si="5"/>
        <v>Bronze</v>
      </c>
      <c r="N434" s="4" t="str">
        <f t="shared" si="6"/>
        <v>OK</v>
      </c>
    </row>
    <row r="435" ht="14.25" customHeight="1">
      <c r="A435" s="4" t="s">
        <v>1359</v>
      </c>
      <c r="B435" s="4" t="s">
        <v>1360</v>
      </c>
      <c r="C435" s="4">
        <v>51.0</v>
      </c>
      <c r="D435" s="4" t="s">
        <v>22</v>
      </c>
      <c r="E435" s="4" t="s">
        <v>1361</v>
      </c>
      <c r="F435" s="4" t="s">
        <v>67</v>
      </c>
      <c r="G435" s="4" t="s">
        <v>19</v>
      </c>
      <c r="H435" s="4" t="s">
        <v>39</v>
      </c>
      <c r="I435" s="4" t="str">
        <f t="shared" si="2"/>
        <v>Thomas Moore</v>
      </c>
      <c r="J435" s="4" t="str">
        <f t="shared" ref="J435:K435" si="438">TRIM(PROPER(E435))</f>
        <v>Williamsberg</v>
      </c>
      <c r="K435" s="4" t="str">
        <f t="shared" si="438"/>
        <v>New York</v>
      </c>
      <c r="L435" s="4" t="str">
        <f t="shared" si="4"/>
        <v>Female</v>
      </c>
      <c r="M435" s="4" t="str">
        <f t="shared" si="5"/>
        <v>Silver</v>
      </c>
      <c r="N435" s="4" t="str">
        <f t="shared" si="6"/>
        <v>OK</v>
      </c>
    </row>
    <row r="436" ht="14.25" customHeight="1">
      <c r="A436" s="4" t="s">
        <v>1362</v>
      </c>
      <c r="B436" s="4" t="s">
        <v>1363</v>
      </c>
      <c r="C436" s="4">
        <v>48.0</v>
      </c>
      <c r="D436" s="4" t="s">
        <v>22</v>
      </c>
      <c r="E436" s="4" t="s">
        <v>1364</v>
      </c>
      <c r="F436" s="4" t="s">
        <v>264</v>
      </c>
      <c r="G436" s="4" t="s">
        <v>19</v>
      </c>
      <c r="H436" s="4" t="s">
        <v>56</v>
      </c>
      <c r="I436" s="4" t="str">
        <f t="shared" si="2"/>
        <v>Monique Castro</v>
      </c>
      <c r="J436" s="4" t="str">
        <f t="shared" ref="J436:K436" si="439">TRIM(PROPER(E436))</f>
        <v>New Sarah</v>
      </c>
      <c r="K436" s="4" t="str">
        <f t="shared" si="439"/>
        <v>Indiana</v>
      </c>
      <c r="L436" s="4" t="str">
        <f t="shared" si="4"/>
        <v>Female</v>
      </c>
      <c r="M436" s="4" t="str">
        <f t="shared" si="5"/>
        <v>Gold</v>
      </c>
      <c r="N436" s="4" t="str">
        <f t="shared" si="6"/>
        <v>OK</v>
      </c>
    </row>
    <row r="437" ht="14.25" customHeight="1">
      <c r="A437" s="4" t="s">
        <v>1365</v>
      </c>
      <c r="B437" s="4" t="s">
        <v>1366</v>
      </c>
      <c r="C437" s="4">
        <v>37.0</v>
      </c>
      <c r="D437" s="4" t="s">
        <v>22</v>
      </c>
      <c r="E437" s="4" t="s">
        <v>1367</v>
      </c>
      <c r="F437" s="4" t="s">
        <v>116</v>
      </c>
      <c r="G437" s="4" t="s">
        <v>19</v>
      </c>
      <c r="H437" s="4" t="s">
        <v>39</v>
      </c>
      <c r="I437" s="4" t="str">
        <f t="shared" si="2"/>
        <v>Lindsay Beasley</v>
      </c>
      <c r="J437" s="4" t="str">
        <f t="shared" ref="J437:K437" si="440">TRIM(PROPER(E437))</f>
        <v>Wesleyhaven</v>
      </c>
      <c r="K437" s="4" t="str">
        <f t="shared" si="440"/>
        <v>Idaho</v>
      </c>
      <c r="L437" s="4" t="str">
        <f t="shared" si="4"/>
        <v>Female</v>
      </c>
      <c r="M437" s="4" t="str">
        <f t="shared" si="5"/>
        <v>Silver</v>
      </c>
      <c r="N437" s="4" t="str">
        <f t="shared" si="6"/>
        <v>OK</v>
      </c>
    </row>
    <row r="438" ht="14.25" customHeight="1">
      <c r="A438" s="4" t="s">
        <v>1368</v>
      </c>
      <c r="B438" s="4" t="s">
        <v>1369</v>
      </c>
      <c r="C438" s="4">
        <v>61.0</v>
      </c>
      <c r="D438" s="4" t="s">
        <v>16</v>
      </c>
      <c r="E438" s="4" t="s">
        <v>1370</v>
      </c>
      <c r="F438" s="4" t="s">
        <v>47</v>
      </c>
      <c r="G438" s="4" t="s">
        <v>19</v>
      </c>
      <c r="H438" s="4" t="s">
        <v>56</v>
      </c>
      <c r="I438" s="4" t="str">
        <f t="shared" si="2"/>
        <v>Sharon Simpson</v>
      </c>
      <c r="J438" s="4" t="str">
        <f t="shared" ref="J438:K438" si="441">TRIM(PROPER(E438))</f>
        <v>South Michellebury</v>
      </c>
      <c r="K438" s="4" t="str">
        <f t="shared" si="441"/>
        <v>South Dakota</v>
      </c>
      <c r="L438" s="4" t="str">
        <f t="shared" si="4"/>
        <v>Male</v>
      </c>
      <c r="M438" s="4" t="str">
        <f t="shared" si="5"/>
        <v>Gold</v>
      </c>
      <c r="N438" s="4" t="str">
        <f t="shared" si="6"/>
        <v>OK</v>
      </c>
    </row>
    <row r="439" ht="14.25" customHeight="1">
      <c r="A439" s="4" t="s">
        <v>1371</v>
      </c>
      <c r="B439" s="4" t="s">
        <v>1372</v>
      </c>
      <c r="C439" s="4">
        <v>47.0</v>
      </c>
      <c r="D439" s="4" t="s">
        <v>22</v>
      </c>
      <c r="E439" s="4" t="s">
        <v>609</v>
      </c>
      <c r="F439" s="4" t="s">
        <v>55</v>
      </c>
      <c r="G439" s="4" t="s">
        <v>19</v>
      </c>
      <c r="H439" s="4" t="s">
        <v>25</v>
      </c>
      <c r="I439" s="4" t="str">
        <f t="shared" si="2"/>
        <v>Melinda Rivera</v>
      </c>
      <c r="J439" s="4" t="str">
        <f t="shared" ref="J439:K439" si="442">TRIM(PROPER(E439))</f>
        <v>East Davidmouth</v>
      </c>
      <c r="K439" s="4" t="str">
        <f t="shared" si="442"/>
        <v>New Hampshire</v>
      </c>
      <c r="L439" s="4" t="str">
        <f t="shared" si="4"/>
        <v>Female</v>
      </c>
      <c r="M439" s="4" t="str">
        <f t="shared" si="5"/>
        <v>Platinum</v>
      </c>
      <c r="N439" s="4" t="str">
        <f t="shared" si="6"/>
        <v>OK</v>
      </c>
    </row>
    <row r="440" ht="14.25" customHeight="1">
      <c r="A440" s="4" t="s">
        <v>1373</v>
      </c>
      <c r="B440" s="4" t="s">
        <v>1374</v>
      </c>
      <c r="C440" s="4">
        <v>59.0</v>
      </c>
      <c r="D440" s="4" t="s">
        <v>22</v>
      </c>
      <c r="E440" s="4" t="s">
        <v>1375</v>
      </c>
      <c r="F440" s="4" t="s">
        <v>247</v>
      </c>
      <c r="G440" s="4" t="s">
        <v>19</v>
      </c>
      <c r="H440" s="4" t="s">
        <v>25</v>
      </c>
      <c r="I440" s="4" t="str">
        <f t="shared" si="2"/>
        <v>Monica Flynn</v>
      </c>
      <c r="J440" s="4" t="str">
        <f t="shared" ref="J440:K440" si="443">TRIM(PROPER(E440))</f>
        <v>Amberburgh</v>
      </c>
      <c r="K440" s="4" t="str">
        <f t="shared" si="443"/>
        <v>Tennessee</v>
      </c>
      <c r="L440" s="4" t="str">
        <f t="shared" si="4"/>
        <v>Female</v>
      </c>
      <c r="M440" s="4" t="str">
        <f t="shared" si="5"/>
        <v>Platinum</v>
      </c>
      <c r="N440" s="4" t="str">
        <f t="shared" si="6"/>
        <v>OK</v>
      </c>
    </row>
    <row r="441" ht="14.25" customHeight="1">
      <c r="A441" s="4" t="s">
        <v>1376</v>
      </c>
      <c r="B441" s="4" t="s">
        <v>1377</v>
      </c>
      <c r="C441" s="4">
        <v>53.0</v>
      </c>
      <c r="D441" s="4" t="s">
        <v>16</v>
      </c>
      <c r="E441" s="4" t="s">
        <v>946</v>
      </c>
      <c r="F441" s="4" t="s">
        <v>166</v>
      </c>
      <c r="G441" s="4" t="s">
        <v>19</v>
      </c>
      <c r="H441" s="4" t="s">
        <v>39</v>
      </c>
      <c r="I441" s="4" t="str">
        <f t="shared" si="2"/>
        <v>John Compton</v>
      </c>
      <c r="J441" s="4" t="str">
        <f t="shared" ref="J441:K441" si="444">TRIM(PROPER(E441))</f>
        <v>North Daniel</v>
      </c>
      <c r="K441" s="4" t="str">
        <f t="shared" si="444"/>
        <v>Michigan</v>
      </c>
      <c r="L441" s="4" t="str">
        <f t="shared" si="4"/>
        <v>Male</v>
      </c>
      <c r="M441" s="4" t="str">
        <f t="shared" si="5"/>
        <v>Silver</v>
      </c>
      <c r="N441" s="4" t="str">
        <f t="shared" si="6"/>
        <v>OK</v>
      </c>
    </row>
    <row r="442" ht="14.25" customHeight="1">
      <c r="A442" s="4" t="s">
        <v>1378</v>
      </c>
      <c r="B442" s="4" t="s">
        <v>1379</v>
      </c>
      <c r="C442" s="4">
        <v>60.0</v>
      </c>
      <c r="D442" s="4" t="s">
        <v>16</v>
      </c>
      <c r="E442" s="4" t="s">
        <v>1380</v>
      </c>
      <c r="F442" s="4" t="s">
        <v>24</v>
      </c>
      <c r="G442" s="4" t="s">
        <v>19</v>
      </c>
      <c r="H442" s="4" t="s">
        <v>39</v>
      </c>
      <c r="I442" s="4" t="str">
        <f t="shared" si="2"/>
        <v>Tammy Trevino</v>
      </c>
      <c r="J442" s="4" t="str">
        <f t="shared" ref="J442:K442" si="445">TRIM(PROPER(E442))</f>
        <v>Justinberg</v>
      </c>
      <c r="K442" s="4" t="str">
        <f t="shared" si="445"/>
        <v>North Dakota</v>
      </c>
      <c r="L442" s="4" t="str">
        <f t="shared" si="4"/>
        <v>Male</v>
      </c>
      <c r="M442" s="4" t="str">
        <f t="shared" si="5"/>
        <v>Silver</v>
      </c>
      <c r="N442" s="4" t="str">
        <f t="shared" si="6"/>
        <v>OK</v>
      </c>
    </row>
    <row r="443" ht="14.25" customHeight="1">
      <c r="A443" s="4" t="s">
        <v>1381</v>
      </c>
      <c r="B443" s="4" t="s">
        <v>1382</v>
      </c>
      <c r="C443" s="4">
        <v>31.0</v>
      </c>
      <c r="D443" s="4" t="s">
        <v>16</v>
      </c>
      <c r="E443" s="4" t="s">
        <v>1383</v>
      </c>
      <c r="F443" s="4" t="s">
        <v>334</v>
      </c>
      <c r="G443" s="4" t="s">
        <v>19</v>
      </c>
      <c r="H443" s="4" t="s">
        <v>39</v>
      </c>
      <c r="I443" s="4" t="str">
        <f t="shared" si="2"/>
        <v>Dalton Walters</v>
      </c>
      <c r="J443" s="4" t="str">
        <f t="shared" ref="J443:K443" si="446">TRIM(PROPER(E443))</f>
        <v>Jonesstad</v>
      </c>
      <c r="K443" s="4" t="str">
        <f t="shared" si="446"/>
        <v>Wisconsin</v>
      </c>
      <c r="L443" s="4" t="str">
        <f t="shared" si="4"/>
        <v>Male</v>
      </c>
      <c r="M443" s="4" t="str">
        <f t="shared" si="5"/>
        <v>Silver</v>
      </c>
      <c r="N443" s="4" t="str">
        <f t="shared" si="6"/>
        <v>OK</v>
      </c>
    </row>
    <row r="444" ht="14.25" customHeight="1">
      <c r="A444" s="4" t="s">
        <v>1384</v>
      </c>
      <c r="B444" s="4" t="s">
        <v>1385</v>
      </c>
      <c r="C444" s="4">
        <v>42.0</v>
      </c>
      <c r="D444" s="4" t="s">
        <v>22</v>
      </c>
      <c r="E444" s="4" t="s">
        <v>1386</v>
      </c>
      <c r="F444" s="4" t="s">
        <v>43</v>
      </c>
      <c r="G444" s="4" t="s">
        <v>19</v>
      </c>
      <c r="H444" s="4" t="s">
        <v>34</v>
      </c>
      <c r="I444" s="4" t="str">
        <f t="shared" si="2"/>
        <v>Kelli Smith</v>
      </c>
      <c r="J444" s="4" t="str">
        <f t="shared" ref="J444:K444" si="447">TRIM(PROPER(E444))</f>
        <v>North Maryfort</v>
      </c>
      <c r="K444" s="4" t="str">
        <f t="shared" si="447"/>
        <v>Oregon</v>
      </c>
      <c r="L444" s="4" t="str">
        <f t="shared" si="4"/>
        <v>Female</v>
      </c>
      <c r="M444" s="4" t="str">
        <f t="shared" si="5"/>
        <v>Bronze</v>
      </c>
      <c r="N444" s="4" t="str">
        <f t="shared" si="6"/>
        <v>OK</v>
      </c>
    </row>
    <row r="445" ht="14.25" customHeight="1">
      <c r="A445" s="4" t="s">
        <v>1387</v>
      </c>
      <c r="B445" s="4" t="s">
        <v>1388</v>
      </c>
      <c r="C445" s="4">
        <v>51.0</v>
      </c>
      <c r="D445" s="4" t="s">
        <v>16</v>
      </c>
      <c r="E445" s="4" t="s">
        <v>1389</v>
      </c>
      <c r="F445" s="4" t="s">
        <v>369</v>
      </c>
      <c r="G445" s="4" t="s">
        <v>19</v>
      </c>
      <c r="H445" s="4" t="s">
        <v>39</v>
      </c>
      <c r="I445" s="4" t="str">
        <f t="shared" si="2"/>
        <v>Adam Castro</v>
      </c>
      <c r="J445" s="4" t="str">
        <f t="shared" ref="J445:K445" si="448">TRIM(PROPER(E445))</f>
        <v>New Donnabury</v>
      </c>
      <c r="K445" s="4" t="str">
        <f t="shared" si="448"/>
        <v>Texas</v>
      </c>
      <c r="L445" s="4" t="str">
        <f t="shared" si="4"/>
        <v>Male</v>
      </c>
      <c r="M445" s="4" t="str">
        <f t="shared" si="5"/>
        <v>Silver</v>
      </c>
      <c r="N445" s="4" t="str">
        <f t="shared" si="6"/>
        <v>OK</v>
      </c>
    </row>
    <row r="446" ht="14.25" customHeight="1">
      <c r="A446" s="4" t="s">
        <v>1390</v>
      </c>
      <c r="B446" s="4" t="s">
        <v>1391</v>
      </c>
      <c r="C446" s="4">
        <v>19.0</v>
      </c>
      <c r="D446" s="4" t="s">
        <v>16</v>
      </c>
      <c r="E446" s="4" t="s">
        <v>1392</v>
      </c>
      <c r="F446" s="4" t="s">
        <v>860</v>
      </c>
      <c r="G446" s="4" t="s">
        <v>19</v>
      </c>
      <c r="H446" s="4" t="s">
        <v>56</v>
      </c>
      <c r="I446" s="4" t="str">
        <f t="shared" si="2"/>
        <v>Cheryl Carr</v>
      </c>
      <c r="J446" s="4" t="str">
        <f t="shared" ref="J446:K446" si="449">TRIM(PROPER(E446))</f>
        <v>Jessicaland</v>
      </c>
      <c r="K446" s="4" t="str">
        <f t="shared" si="449"/>
        <v>Wyoming</v>
      </c>
      <c r="L446" s="4" t="str">
        <f t="shared" si="4"/>
        <v>Male</v>
      </c>
      <c r="M446" s="4" t="str">
        <f t="shared" si="5"/>
        <v>Gold</v>
      </c>
      <c r="N446" s="4" t="str">
        <f t="shared" si="6"/>
        <v>OK</v>
      </c>
    </row>
    <row r="447" ht="14.25" customHeight="1">
      <c r="A447" s="4" t="s">
        <v>1393</v>
      </c>
      <c r="B447" s="4" t="s">
        <v>1394</v>
      </c>
      <c r="C447" s="4">
        <v>41.0</v>
      </c>
      <c r="D447" s="4" t="s">
        <v>22</v>
      </c>
      <c r="E447" s="4" t="s">
        <v>1395</v>
      </c>
      <c r="F447" s="4" t="s">
        <v>297</v>
      </c>
      <c r="G447" s="4" t="s">
        <v>19</v>
      </c>
      <c r="H447" s="4" t="s">
        <v>25</v>
      </c>
      <c r="I447" s="4" t="str">
        <f t="shared" si="2"/>
        <v>Gene Lee</v>
      </c>
      <c r="J447" s="4" t="str">
        <f t="shared" ref="J447:K447" si="450">TRIM(PROPER(E447))</f>
        <v>Mcfarlandmouth</v>
      </c>
      <c r="K447" s="4" t="str">
        <f t="shared" si="450"/>
        <v>Virginia</v>
      </c>
      <c r="L447" s="4" t="str">
        <f t="shared" si="4"/>
        <v>Female</v>
      </c>
      <c r="M447" s="4" t="str">
        <f t="shared" si="5"/>
        <v>Platinum</v>
      </c>
      <c r="N447" s="4" t="str">
        <f t="shared" si="6"/>
        <v>OK</v>
      </c>
    </row>
    <row r="448" ht="14.25" customHeight="1">
      <c r="A448" s="4" t="s">
        <v>1396</v>
      </c>
      <c r="B448" s="4" t="s">
        <v>1397</v>
      </c>
      <c r="C448" s="4">
        <v>35.0</v>
      </c>
      <c r="D448" s="4" t="s">
        <v>16</v>
      </c>
      <c r="E448" s="4" t="s">
        <v>1398</v>
      </c>
      <c r="F448" s="4" t="s">
        <v>105</v>
      </c>
      <c r="G448" s="4" t="s">
        <v>19</v>
      </c>
      <c r="H448" s="4" t="s">
        <v>39</v>
      </c>
      <c r="I448" s="4" t="str">
        <f t="shared" si="2"/>
        <v>Shannon Turner</v>
      </c>
      <c r="J448" s="4" t="str">
        <f t="shared" ref="J448:K448" si="451">TRIM(PROPER(E448))</f>
        <v>West Jorge</v>
      </c>
      <c r="K448" s="4" t="str">
        <f t="shared" si="451"/>
        <v>Oklahoma</v>
      </c>
      <c r="L448" s="4" t="str">
        <f t="shared" si="4"/>
        <v>Male</v>
      </c>
      <c r="M448" s="4" t="str">
        <f t="shared" si="5"/>
        <v>Silver</v>
      </c>
      <c r="N448" s="4" t="str">
        <f t="shared" si="6"/>
        <v>OK</v>
      </c>
    </row>
    <row r="449" ht="14.25" customHeight="1">
      <c r="A449" s="4" t="s">
        <v>1399</v>
      </c>
      <c r="B449" s="4" t="s">
        <v>1400</v>
      </c>
      <c r="C449" s="4">
        <v>45.0</v>
      </c>
      <c r="D449" s="4" t="s">
        <v>16</v>
      </c>
      <c r="E449" s="4" t="s">
        <v>1401</v>
      </c>
      <c r="F449" s="4" t="s">
        <v>18</v>
      </c>
      <c r="G449" s="4" t="s">
        <v>19</v>
      </c>
      <c r="H449" s="4" t="s">
        <v>56</v>
      </c>
      <c r="I449" s="4" t="str">
        <f t="shared" si="2"/>
        <v>Monica Wright</v>
      </c>
      <c r="J449" s="4" t="str">
        <f t="shared" ref="J449:K449" si="452">TRIM(PROPER(E449))</f>
        <v>Paulside</v>
      </c>
      <c r="K449" s="4" t="str">
        <f t="shared" si="452"/>
        <v>North Carolina</v>
      </c>
      <c r="L449" s="4" t="str">
        <f t="shared" si="4"/>
        <v>Male</v>
      </c>
      <c r="M449" s="4" t="str">
        <f t="shared" si="5"/>
        <v>Gold</v>
      </c>
      <c r="N449" s="4" t="str">
        <f t="shared" si="6"/>
        <v>OK</v>
      </c>
    </row>
    <row r="450" ht="14.25" customHeight="1">
      <c r="A450" s="4" t="s">
        <v>1402</v>
      </c>
      <c r="B450" s="4" t="s">
        <v>1403</v>
      </c>
      <c r="C450" s="4">
        <v>64.0</v>
      </c>
      <c r="D450" s="4" t="s">
        <v>22</v>
      </c>
      <c r="E450" s="4" t="s">
        <v>1404</v>
      </c>
      <c r="F450" s="4" t="s">
        <v>860</v>
      </c>
      <c r="G450" s="4" t="s">
        <v>19</v>
      </c>
      <c r="H450" s="4" t="s">
        <v>34</v>
      </c>
      <c r="I450" s="4" t="str">
        <f t="shared" si="2"/>
        <v>Eric Holmes</v>
      </c>
      <c r="J450" s="4" t="str">
        <f t="shared" ref="J450:K450" si="453">TRIM(PROPER(E450))</f>
        <v>Smithville</v>
      </c>
      <c r="K450" s="4" t="str">
        <f t="shared" si="453"/>
        <v>Wyoming</v>
      </c>
      <c r="L450" s="4" t="str">
        <f t="shared" si="4"/>
        <v>Female</v>
      </c>
      <c r="M450" s="4" t="str">
        <f t="shared" si="5"/>
        <v>Bronze</v>
      </c>
      <c r="N450" s="4" t="str">
        <f t="shared" si="6"/>
        <v>OK</v>
      </c>
    </row>
    <row r="451" ht="14.25" customHeight="1">
      <c r="A451" s="4" t="s">
        <v>1405</v>
      </c>
      <c r="B451" s="4" t="s">
        <v>1406</v>
      </c>
      <c r="C451" s="4">
        <v>29.0</v>
      </c>
      <c r="D451" s="4" t="s">
        <v>16</v>
      </c>
      <c r="E451" s="4" t="s">
        <v>1407</v>
      </c>
      <c r="F451" s="4" t="s">
        <v>33</v>
      </c>
      <c r="G451" s="4" t="s">
        <v>19</v>
      </c>
      <c r="H451" s="4" t="s">
        <v>34</v>
      </c>
      <c r="I451" s="4" t="str">
        <f t="shared" si="2"/>
        <v>William Cortez</v>
      </c>
      <c r="J451" s="4" t="str">
        <f t="shared" ref="J451:K451" si="454">TRIM(PROPER(E451))</f>
        <v>Port Hannahport</v>
      </c>
      <c r="K451" s="4" t="str">
        <f t="shared" si="454"/>
        <v>Ohio</v>
      </c>
      <c r="L451" s="4" t="str">
        <f t="shared" si="4"/>
        <v>Male</v>
      </c>
      <c r="M451" s="4" t="str">
        <f t="shared" si="5"/>
        <v>Bronze</v>
      </c>
      <c r="N451" s="4" t="str">
        <f t="shared" si="6"/>
        <v>OK</v>
      </c>
    </row>
    <row r="452" ht="14.25" customHeight="1">
      <c r="A452" s="4" t="s">
        <v>1408</v>
      </c>
      <c r="B452" s="4" t="s">
        <v>1409</v>
      </c>
      <c r="C452" s="4">
        <v>59.0</v>
      </c>
      <c r="D452" s="4" t="s">
        <v>16</v>
      </c>
      <c r="E452" s="4" t="s">
        <v>1410</v>
      </c>
      <c r="F452" s="4" t="s">
        <v>79</v>
      </c>
      <c r="G452" s="4" t="s">
        <v>19</v>
      </c>
      <c r="H452" s="4" t="s">
        <v>34</v>
      </c>
      <c r="I452" s="4" t="str">
        <f t="shared" si="2"/>
        <v>Shane Mills</v>
      </c>
      <c r="J452" s="4" t="str">
        <f t="shared" ref="J452:K452" si="455">TRIM(PROPER(E452))</f>
        <v>Lake Meganstad</v>
      </c>
      <c r="K452" s="4" t="str">
        <f t="shared" si="455"/>
        <v>Nebraska</v>
      </c>
      <c r="L452" s="4" t="str">
        <f t="shared" si="4"/>
        <v>Male</v>
      </c>
      <c r="M452" s="4" t="str">
        <f t="shared" si="5"/>
        <v>Bronze</v>
      </c>
      <c r="N452" s="4" t="str">
        <f t="shared" si="6"/>
        <v>OK</v>
      </c>
    </row>
    <row r="453" ht="14.25" customHeight="1">
      <c r="A453" s="4" t="s">
        <v>1411</v>
      </c>
      <c r="B453" s="4" t="s">
        <v>1412</v>
      </c>
      <c r="C453" s="4">
        <v>46.0</v>
      </c>
      <c r="D453" s="4" t="s">
        <v>16</v>
      </c>
      <c r="E453" s="4" t="s">
        <v>576</v>
      </c>
      <c r="F453" s="4" t="s">
        <v>243</v>
      </c>
      <c r="G453" s="4" t="s">
        <v>19</v>
      </c>
      <c r="H453" s="4" t="s">
        <v>56</v>
      </c>
      <c r="I453" s="4" t="str">
        <f t="shared" si="2"/>
        <v>Ashley Roberts</v>
      </c>
      <c r="J453" s="4" t="str">
        <f t="shared" ref="J453:K453" si="456">TRIM(PROPER(E453))</f>
        <v>Josephmouth</v>
      </c>
      <c r="K453" s="4" t="str">
        <f t="shared" si="456"/>
        <v>New Mexico</v>
      </c>
      <c r="L453" s="4" t="str">
        <f t="shared" si="4"/>
        <v>Male</v>
      </c>
      <c r="M453" s="4" t="str">
        <f t="shared" si="5"/>
        <v>Gold</v>
      </c>
      <c r="N453" s="4" t="str">
        <f t="shared" si="6"/>
        <v>OK</v>
      </c>
    </row>
    <row r="454" ht="14.25" customHeight="1">
      <c r="A454" s="4" t="s">
        <v>1413</v>
      </c>
      <c r="B454" s="4" t="s">
        <v>1414</v>
      </c>
      <c r="C454" s="4">
        <v>60.0</v>
      </c>
      <c r="D454" s="4" t="s">
        <v>22</v>
      </c>
      <c r="E454" s="4" t="s">
        <v>1415</v>
      </c>
      <c r="F454" s="4" t="s">
        <v>323</v>
      </c>
      <c r="G454" s="4" t="s">
        <v>19</v>
      </c>
      <c r="H454" s="4" t="s">
        <v>34</v>
      </c>
      <c r="I454" s="4" t="str">
        <f t="shared" si="2"/>
        <v>Jeffery Wolf</v>
      </c>
      <c r="J454" s="4" t="str">
        <f t="shared" ref="J454:K454" si="457">TRIM(PROPER(E454))</f>
        <v>New Laura</v>
      </c>
      <c r="K454" s="4" t="str">
        <f t="shared" si="457"/>
        <v>Mississippi</v>
      </c>
      <c r="L454" s="4" t="str">
        <f t="shared" si="4"/>
        <v>Female</v>
      </c>
      <c r="M454" s="4" t="str">
        <f t="shared" si="5"/>
        <v>Bronze</v>
      </c>
      <c r="N454" s="4" t="str">
        <f t="shared" si="6"/>
        <v>OK</v>
      </c>
    </row>
    <row r="455" ht="14.25" customHeight="1">
      <c r="A455" s="4" t="s">
        <v>1416</v>
      </c>
      <c r="B455" s="4" t="s">
        <v>1417</v>
      </c>
      <c r="C455" s="4">
        <v>62.0</v>
      </c>
      <c r="D455" s="4" t="s">
        <v>22</v>
      </c>
      <c r="E455" s="4" t="s">
        <v>1418</v>
      </c>
      <c r="F455" s="4" t="s">
        <v>109</v>
      </c>
      <c r="G455" s="4" t="s">
        <v>19</v>
      </c>
      <c r="H455" s="4" t="s">
        <v>25</v>
      </c>
      <c r="I455" s="4" t="str">
        <f t="shared" si="2"/>
        <v>April Phillips</v>
      </c>
      <c r="J455" s="4" t="str">
        <f t="shared" ref="J455:K455" si="458">TRIM(PROPER(E455))</f>
        <v>Lake Carolyn</v>
      </c>
      <c r="K455" s="4" t="str">
        <f t="shared" si="458"/>
        <v>Hawaii</v>
      </c>
      <c r="L455" s="4" t="str">
        <f t="shared" si="4"/>
        <v>Female</v>
      </c>
      <c r="M455" s="4" t="str">
        <f t="shared" si="5"/>
        <v>Platinum</v>
      </c>
      <c r="N455" s="4" t="str">
        <f t="shared" si="6"/>
        <v>OK</v>
      </c>
    </row>
    <row r="456" ht="14.25" customHeight="1">
      <c r="A456" s="4" t="s">
        <v>1419</v>
      </c>
      <c r="B456" s="4" t="s">
        <v>1420</v>
      </c>
      <c r="C456" s="4">
        <v>60.0</v>
      </c>
      <c r="D456" s="4" t="s">
        <v>16</v>
      </c>
      <c r="E456" s="4" t="s">
        <v>139</v>
      </c>
      <c r="F456" s="4" t="s">
        <v>105</v>
      </c>
      <c r="G456" s="4" t="s">
        <v>19</v>
      </c>
      <c r="H456" s="4" t="s">
        <v>56</v>
      </c>
      <c r="I456" s="4" t="str">
        <f t="shared" si="2"/>
        <v>John Berg</v>
      </c>
      <c r="J456" s="4" t="str">
        <f t="shared" ref="J456:K456" si="459">TRIM(PROPER(E456))</f>
        <v>Johnsonville</v>
      </c>
      <c r="K456" s="4" t="str">
        <f t="shared" si="459"/>
        <v>Oklahoma</v>
      </c>
      <c r="L456" s="4" t="str">
        <f t="shared" si="4"/>
        <v>Male</v>
      </c>
      <c r="M456" s="4" t="str">
        <f t="shared" si="5"/>
        <v>Gold</v>
      </c>
      <c r="N456" s="4" t="str">
        <f t="shared" si="6"/>
        <v>OK</v>
      </c>
    </row>
    <row r="457" ht="14.25" customHeight="1">
      <c r="A457" s="4" t="s">
        <v>1421</v>
      </c>
      <c r="B457" s="4" t="s">
        <v>1422</v>
      </c>
      <c r="C457" s="4">
        <v>54.0</v>
      </c>
      <c r="D457" s="4" t="s">
        <v>16</v>
      </c>
      <c r="E457" s="4" t="s">
        <v>1423</v>
      </c>
      <c r="F457" s="4" t="s">
        <v>204</v>
      </c>
      <c r="G457" s="4" t="s">
        <v>19</v>
      </c>
      <c r="H457" s="4" t="s">
        <v>56</v>
      </c>
      <c r="I457" s="4" t="str">
        <f t="shared" si="2"/>
        <v>Tyler Weber</v>
      </c>
      <c r="J457" s="4" t="str">
        <f t="shared" ref="J457:K457" si="460">TRIM(PROPER(E457))</f>
        <v>East Yvette</v>
      </c>
      <c r="K457" s="4" t="str">
        <f t="shared" si="460"/>
        <v>Illinois</v>
      </c>
      <c r="L457" s="4" t="str">
        <f t="shared" si="4"/>
        <v>Male</v>
      </c>
      <c r="M457" s="4" t="str">
        <f t="shared" si="5"/>
        <v>Gold</v>
      </c>
      <c r="N457" s="4" t="str">
        <f t="shared" si="6"/>
        <v>OK</v>
      </c>
    </row>
    <row r="458" ht="14.25" customHeight="1">
      <c r="A458" s="4" t="s">
        <v>1424</v>
      </c>
      <c r="B458" s="4" t="s">
        <v>1425</v>
      </c>
      <c r="C458" s="4">
        <v>59.0</v>
      </c>
      <c r="D458" s="4" t="s">
        <v>22</v>
      </c>
      <c r="E458" s="4" t="s">
        <v>1426</v>
      </c>
      <c r="F458" s="4" t="s">
        <v>301</v>
      </c>
      <c r="G458" s="4" t="s">
        <v>19</v>
      </c>
      <c r="H458" s="4" t="s">
        <v>56</v>
      </c>
      <c r="I458" s="4" t="str">
        <f t="shared" si="2"/>
        <v>Julie Powell</v>
      </c>
      <c r="J458" s="4" t="str">
        <f t="shared" ref="J458:K458" si="461">TRIM(PROPER(E458))</f>
        <v>South Barbara</v>
      </c>
      <c r="K458" s="4" t="str">
        <f t="shared" si="461"/>
        <v>Arkansas</v>
      </c>
      <c r="L458" s="4" t="str">
        <f t="shared" si="4"/>
        <v>Female</v>
      </c>
      <c r="M458" s="4" t="str">
        <f t="shared" si="5"/>
        <v>Gold</v>
      </c>
      <c r="N458" s="4" t="str">
        <f t="shared" si="6"/>
        <v>OK</v>
      </c>
    </row>
    <row r="459" ht="14.25" customHeight="1">
      <c r="A459" s="4" t="s">
        <v>1427</v>
      </c>
      <c r="B459" s="4" t="s">
        <v>1428</v>
      </c>
      <c r="C459" s="4">
        <v>59.0</v>
      </c>
      <c r="D459" s="4" t="s">
        <v>16</v>
      </c>
      <c r="E459" s="4" t="s">
        <v>1429</v>
      </c>
      <c r="F459" s="4" t="s">
        <v>600</v>
      </c>
      <c r="G459" s="4" t="s">
        <v>19</v>
      </c>
      <c r="H459" s="4" t="s">
        <v>25</v>
      </c>
      <c r="I459" s="4" t="str">
        <f t="shared" si="2"/>
        <v>Christina Robertson</v>
      </c>
      <c r="J459" s="4" t="str">
        <f t="shared" ref="J459:K459" si="462">TRIM(PROPER(E459))</f>
        <v>Hubbardborough</v>
      </c>
      <c r="K459" s="4" t="str">
        <f t="shared" si="462"/>
        <v>Kentucky</v>
      </c>
      <c r="L459" s="4" t="str">
        <f t="shared" si="4"/>
        <v>Male</v>
      </c>
      <c r="M459" s="4" t="str">
        <f t="shared" si="5"/>
        <v>Platinum</v>
      </c>
      <c r="N459" s="4" t="str">
        <f t="shared" si="6"/>
        <v>OK</v>
      </c>
    </row>
    <row r="460" ht="14.25" customHeight="1">
      <c r="A460" s="4" t="s">
        <v>1430</v>
      </c>
      <c r="B460" s="4" t="s">
        <v>1431</v>
      </c>
      <c r="C460" s="4">
        <v>62.0</v>
      </c>
      <c r="D460" s="4" t="s">
        <v>22</v>
      </c>
      <c r="E460" s="4" t="s">
        <v>1432</v>
      </c>
      <c r="F460" s="4" t="s">
        <v>60</v>
      </c>
      <c r="G460" s="4" t="s">
        <v>19</v>
      </c>
      <c r="H460" s="4" t="s">
        <v>39</v>
      </c>
      <c r="I460" s="4" t="str">
        <f t="shared" si="2"/>
        <v>Kelly Garrett</v>
      </c>
      <c r="J460" s="4" t="str">
        <f t="shared" ref="J460:K460" si="463">TRIM(PROPER(E460))</f>
        <v>Port Taylorberg</v>
      </c>
      <c r="K460" s="4" t="str">
        <f t="shared" si="463"/>
        <v>Pennsylvania</v>
      </c>
      <c r="L460" s="4" t="str">
        <f t="shared" si="4"/>
        <v>Female</v>
      </c>
      <c r="M460" s="4" t="str">
        <f t="shared" si="5"/>
        <v>Silver</v>
      </c>
      <c r="N460" s="4" t="str">
        <f t="shared" si="6"/>
        <v>OK</v>
      </c>
    </row>
    <row r="461" ht="14.25" customHeight="1">
      <c r="A461" s="4" t="s">
        <v>1433</v>
      </c>
      <c r="B461" s="4" t="s">
        <v>691</v>
      </c>
      <c r="C461" s="4">
        <v>29.0</v>
      </c>
      <c r="D461" s="4" t="s">
        <v>22</v>
      </c>
      <c r="E461" s="4" t="s">
        <v>1434</v>
      </c>
      <c r="F461" s="4" t="s">
        <v>327</v>
      </c>
      <c r="G461" s="4" t="s">
        <v>19</v>
      </c>
      <c r="H461" s="4" t="s">
        <v>56</v>
      </c>
      <c r="I461" s="4" t="str">
        <f t="shared" si="2"/>
        <v>John Perez</v>
      </c>
      <c r="J461" s="4" t="str">
        <f t="shared" ref="J461:K461" si="464">TRIM(PROPER(E461))</f>
        <v>Brandontown</v>
      </c>
      <c r="K461" s="4" t="str">
        <f t="shared" si="464"/>
        <v>South Carolina</v>
      </c>
      <c r="L461" s="4" t="str">
        <f t="shared" si="4"/>
        <v>Female</v>
      </c>
      <c r="M461" s="4" t="str">
        <f t="shared" si="5"/>
        <v>Gold</v>
      </c>
      <c r="N461" s="4" t="str">
        <f t="shared" si="6"/>
        <v>OK</v>
      </c>
    </row>
    <row r="462" ht="14.25" customHeight="1">
      <c r="A462" s="4" t="s">
        <v>1435</v>
      </c>
      <c r="B462" s="4" t="s">
        <v>1436</v>
      </c>
      <c r="C462" s="4">
        <v>35.0</v>
      </c>
      <c r="D462" s="4" t="s">
        <v>16</v>
      </c>
      <c r="E462" s="4" t="s">
        <v>1437</v>
      </c>
      <c r="F462" s="4" t="s">
        <v>277</v>
      </c>
      <c r="G462" s="4" t="s">
        <v>19</v>
      </c>
      <c r="H462" s="4" t="s">
        <v>56</v>
      </c>
      <c r="I462" s="4" t="str">
        <f t="shared" si="2"/>
        <v>Justin Johnson</v>
      </c>
      <c r="J462" s="4" t="str">
        <f t="shared" ref="J462:K462" si="465">TRIM(PROPER(E462))</f>
        <v>Hughesview</v>
      </c>
      <c r="K462" s="4" t="str">
        <f t="shared" si="465"/>
        <v>Iowa</v>
      </c>
      <c r="L462" s="4" t="str">
        <f t="shared" si="4"/>
        <v>Male</v>
      </c>
      <c r="M462" s="4" t="str">
        <f t="shared" si="5"/>
        <v>Gold</v>
      </c>
      <c r="N462" s="4" t="str">
        <f t="shared" si="6"/>
        <v>OK</v>
      </c>
    </row>
    <row r="463" ht="14.25" customHeight="1">
      <c r="A463" s="4" t="s">
        <v>1438</v>
      </c>
      <c r="B463" s="4" t="s">
        <v>1439</v>
      </c>
      <c r="C463" s="4">
        <v>60.0</v>
      </c>
      <c r="D463" s="4" t="s">
        <v>22</v>
      </c>
      <c r="E463" s="4" t="s">
        <v>1440</v>
      </c>
      <c r="F463" s="4" t="s">
        <v>71</v>
      </c>
      <c r="G463" s="4" t="s">
        <v>19</v>
      </c>
      <c r="H463" s="4" t="s">
        <v>39</v>
      </c>
      <c r="I463" s="4" t="str">
        <f t="shared" si="2"/>
        <v>Paul Cox</v>
      </c>
      <c r="J463" s="4" t="str">
        <f t="shared" ref="J463:K463" si="466">TRIM(PROPER(E463))</f>
        <v>East Julie</v>
      </c>
      <c r="K463" s="4" t="str">
        <f t="shared" si="466"/>
        <v>Kansas</v>
      </c>
      <c r="L463" s="4" t="str">
        <f t="shared" si="4"/>
        <v>Female</v>
      </c>
      <c r="M463" s="4" t="str">
        <f t="shared" si="5"/>
        <v>Silver</v>
      </c>
      <c r="N463" s="4" t="str">
        <f t="shared" si="6"/>
        <v>OK</v>
      </c>
    </row>
    <row r="464" ht="14.25" customHeight="1">
      <c r="A464" s="4" t="s">
        <v>1441</v>
      </c>
      <c r="B464" s="4" t="s">
        <v>1442</v>
      </c>
      <c r="C464" s="4">
        <v>34.0</v>
      </c>
      <c r="D464" s="4" t="s">
        <v>22</v>
      </c>
      <c r="E464" s="4" t="s">
        <v>1443</v>
      </c>
      <c r="F464" s="4" t="s">
        <v>51</v>
      </c>
      <c r="G464" s="4" t="s">
        <v>19</v>
      </c>
      <c r="H464" s="4" t="s">
        <v>39</v>
      </c>
      <c r="I464" s="4" t="str">
        <f t="shared" si="2"/>
        <v>Beth Martin</v>
      </c>
      <c r="J464" s="4" t="str">
        <f t="shared" ref="J464:K464" si="467">TRIM(PROPER(E464))</f>
        <v>Burkefurt</v>
      </c>
      <c r="K464" s="4" t="str">
        <f t="shared" si="467"/>
        <v>West Virginia</v>
      </c>
      <c r="L464" s="4" t="str">
        <f t="shared" si="4"/>
        <v>Female</v>
      </c>
      <c r="M464" s="4" t="str">
        <f t="shared" si="5"/>
        <v>Silver</v>
      </c>
      <c r="N464" s="4" t="str">
        <f t="shared" si="6"/>
        <v>OK</v>
      </c>
    </row>
    <row r="465" ht="14.25" customHeight="1">
      <c r="A465" s="4" t="s">
        <v>1444</v>
      </c>
      <c r="B465" s="4" t="s">
        <v>1445</v>
      </c>
      <c r="C465" s="4">
        <v>36.0</v>
      </c>
      <c r="D465" s="4" t="s">
        <v>22</v>
      </c>
      <c r="E465" s="4" t="s">
        <v>1446</v>
      </c>
      <c r="F465" s="4" t="s">
        <v>177</v>
      </c>
      <c r="G465" s="4" t="s">
        <v>19</v>
      </c>
      <c r="H465" s="4" t="s">
        <v>34</v>
      </c>
      <c r="I465" s="4" t="str">
        <f t="shared" si="2"/>
        <v>Samantha Lee</v>
      </c>
      <c r="J465" s="4" t="str">
        <f t="shared" ref="J465:K465" si="468">TRIM(PROPER(E465))</f>
        <v>Port Anthony</v>
      </c>
      <c r="K465" s="4" t="str">
        <f t="shared" si="468"/>
        <v>Connecticut</v>
      </c>
      <c r="L465" s="4" t="str">
        <f t="shared" si="4"/>
        <v>Female</v>
      </c>
      <c r="M465" s="4" t="str">
        <f t="shared" si="5"/>
        <v>Bronze</v>
      </c>
      <c r="N465" s="4" t="str">
        <f t="shared" si="6"/>
        <v>OK</v>
      </c>
    </row>
    <row r="466" ht="14.25" customHeight="1">
      <c r="A466" s="4" t="s">
        <v>1447</v>
      </c>
      <c r="B466" s="4" t="s">
        <v>1448</v>
      </c>
      <c r="C466" s="4">
        <v>45.0</v>
      </c>
      <c r="D466" s="4" t="s">
        <v>22</v>
      </c>
      <c r="E466" s="4" t="s">
        <v>1449</v>
      </c>
      <c r="F466" s="4" t="s">
        <v>83</v>
      </c>
      <c r="G466" s="4" t="s">
        <v>19</v>
      </c>
      <c r="H466" s="4" t="s">
        <v>25</v>
      </c>
      <c r="I466" s="4" t="str">
        <f t="shared" si="2"/>
        <v>David Pierce</v>
      </c>
      <c r="J466" s="4" t="str">
        <f t="shared" ref="J466:K466" si="469">TRIM(PROPER(E466))</f>
        <v>Grayland</v>
      </c>
      <c r="K466" s="4" t="str">
        <f t="shared" si="469"/>
        <v>Washington</v>
      </c>
      <c r="L466" s="4" t="str">
        <f t="shared" si="4"/>
        <v>Female</v>
      </c>
      <c r="M466" s="4" t="str">
        <f t="shared" si="5"/>
        <v>Platinum</v>
      </c>
      <c r="N466" s="4" t="str">
        <f t="shared" si="6"/>
        <v>OK</v>
      </c>
    </row>
    <row r="467" ht="14.25" customHeight="1">
      <c r="A467" s="4" t="s">
        <v>1450</v>
      </c>
      <c r="B467" s="4" t="s">
        <v>1451</v>
      </c>
      <c r="C467" s="4">
        <v>28.0</v>
      </c>
      <c r="D467" s="4" t="s">
        <v>22</v>
      </c>
      <c r="E467" s="4" t="s">
        <v>1452</v>
      </c>
      <c r="F467" s="4" t="s">
        <v>18</v>
      </c>
      <c r="G467" s="4" t="s">
        <v>19</v>
      </c>
      <c r="H467" s="4" t="s">
        <v>39</v>
      </c>
      <c r="I467" s="4" t="str">
        <f t="shared" si="2"/>
        <v>Ronald Ross</v>
      </c>
      <c r="J467" s="4" t="str">
        <f t="shared" ref="J467:K467" si="470">TRIM(PROPER(E467))</f>
        <v>Hartmanside</v>
      </c>
      <c r="K467" s="4" t="str">
        <f t="shared" si="470"/>
        <v>North Carolina</v>
      </c>
      <c r="L467" s="4" t="str">
        <f t="shared" si="4"/>
        <v>Female</v>
      </c>
      <c r="M467" s="4" t="str">
        <f t="shared" si="5"/>
        <v>Silver</v>
      </c>
      <c r="N467" s="4" t="str">
        <f t="shared" si="6"/>
        <v>OK</v>
      </c>
    </row>
    <row r="468" ht="14.25" customHeight="1">
      <c r="A468" s="4" t="s">
        <v>1453</v>
      </c>
      <c r="B468" s="4" t="s">
        <v>1454</v>
      </c>
      <c r="C468" s="4">
        <v>18.0</v>
      </c>
      <c r="D468" s="4" t="s">
        <v>16</v>
      </c>
      <c r="E468" s="4" t="s">
        <v>1455</v>
      </c>
      <c r="F468" s="4" t="s">
        <v>211</v>
      </c>
      <c r="G468" s="4" t="s">
        <v>19</v>
      </c>
      <c r="H468" s="4" t="s">
        <v>39</v>
      </c>
      <c r="I468" s="4" t="str">
        <f t="shared" si="2"/>
        <v>Cynthia Parrish</v>
      </c>
      <c r="J468" s="4" t="str">
        <f t="shared" ref="J468:K468" si="471">TRIM(PROPER(E468))</f>
        <v>Espinozaberg</v>
      </c>
      <c r="K468" s="4" t="str">
        <f t="shared" si="471"/>
        <v>Minnesota</v>
      </c>
      <c r="L468" s="4" t="str">
        <f t="shared" si="4"/>
        <v>Male</v>
      </c>
      <c r="M468" s="4" t="str">
        <f t="shared" si="5"/>
        <v>Silver</v>
      </c>
      <c r="N468" s="4" t="str">
        <f t="shared" si="6"/>
        <v>OK</v>
      </c>
    </row>
    <row r="469" ht="14.25" customHeight="1">
      <c r="A469" s="4" t="s">
        <v>1456</v>
      </c>
      <c r="B469" s="4" t="s">
        <v>1457</v>
      </c>
      <c r="C469" s="4">
        <v>63.0</v>
      </c>
      <c r="D469" s="4" t="s">
        <v>22</v>
      </c>
      <c r="E469" s="4" t="s">
        <v>1458</v>
      </c>
      <c r="F469" s="4" t="s">
        <v>181</v>
      </c>
      <c r="G469" s="4" t="s">
        <v>19</v>
      </c>
      <c r="H469" s="4" t="s">
        <v>56</v>
      </c>
      <c r="I469" s="4" t="str">
        <f t="shared" si="2"/>
        <v>Michael Foley</v>
      </c>
      <c r="J469" s="4" t="str">
        <f t="shared" ref="J469:K469" si="472">TRIM(PROPER(E469))</f>
        <v>Oneillfurt</v>
      </c>
      <c r="K469" s="4" t="str">
        <f t="shared" si="472"/>
        <v>Vermont</v>
      </c>
      <c r="L469" s="4" t="str">
        <f t="shared" si="4"/>
        <v>Female</v>
      </c>
      <c r="M469" s="4" t="str">
        <f t="shared" si="5"/>
        <v>Gold</v>
      </c>
      <c r="N469" s="4" t="str">
        <f t="shared" si="6"/>
        <v>OK</v>
      </c>
    </row>
    <row r="470" ht="14.25" customHeight="1">
      <c r="A470" s="4" t="s">
        <v>1459</v>
      </c>
      <c r="B470" s="4" t="s">
        <v>1460</v>
      </c>
      <c r="C470" s="4">
        <v>45.0</v>
      </c>
      <c r="D470" s="4" t="s">
        <v>16</v>
      </c>
      <c r="E470" s="4" t="s">
        <v>1461</v>
      </c>
      <c r="F470" s="4" t="s">
        <v>181</v>
      </c>
      <c r="G470" s="4" t="s">
        <v>19</v>
      </c>
      <c r="H470" s="4" t="s">
        <v>34</v>
      </c>
      <c r="I470" s="4" t="str">
        <f t="shared" si="2"/>
        <v>Gregory Curtis</v>
      </c>
      <c r="J470" s="4" t="str">
        <f t="shared" ref="J470:K470" si="473">TRIM(PROPER(E470))</f>
        <v>Bergermouth</v>
      </c>
      <c r="K470" s="4" t="str">
        <f t="shared" si="473"/>
        <v>Vermont</v>
      </c>
      <c r="L470" s="4" t="str">
        <f t="shared" si="4"/>
        <v>Male</v>
      </c>
      <c r="M470" s="4" t="str">
        <f t="shared" si="5"/>
        <v>Bronze</v>
      </c>
      <c r="N470" s="4" t="str">
        <f t="shared" si="6"/>
        <v>OK</v>
      </c>
    </row>
    <row r="471" ht="14.25" customHeight="1">
      <c r="A471" s="4" t="s">
        <v>1462</v>
      </c>
      <c r="B471" s="4" t="s">
        <v>1463</v>
      </c>
      <c r="C471" s="4">
        <v>19.0</v>
      </c>
      <c r="D471" s="4" t="s">
        <v>16</v>
      </c>
      <c r="E471" s="4" t="s">
        <v>1464</v>
      </c>
      <c r="F471" s="4" t="s">
        <v>127</v>
      </c>
      <c r="G471" s="4" t="s">
        <v>19</v>
      </c>
      <c r="H471" s="4" t="s">
        <v>56</v>
      </c>
      <c r="I471" s="4" t="str">
        <f t="shared" si="2"/>
        <v>James Foster</v>
      </c>
      <c r="J471" s="4" t="str">
        <f t="shared" ref="J471:K471" si="474">TRIM(PROPER(E471))</f>
        <v>East Audrey</v>
      </c>
      <c r="K471" s="4" t="str">
        <f t="shared" si="474"/>
        <v>Utah</v>
      </c>
      <c r="L471" s="4" t="str">
        <f t="shared" si="4"/>
        <v>Male</v>
      </c>
      <c r="M471" s="4" t="str">
        <f t="shared" si="5"/>
        <v>Gold</v>
      </c>
      <c r="N471" s="4" t="str">
        <f t="shared" si="6"/>
        <v>OK</v>
      </c>
    </row>
    <row r="472" ht="14.25" customHeight="1">
      <c r="A472" s="4" t="s">
        <v>1465</v>
      </c>
      <c r="B472" s="4" t="s">
        <v>1466</v>
      </c>
      <c r="C472" s="4">
        <v>21.0</v>
      </c>
      <c r="D472" s="4" t="s">
        <v>22</v>
      </c>
      <c r="E472" s="4" t="s">
        <v>1467</v>
      </c>
      <c r="F472" s="4" t="s">
        <v>55</v>
      </c>
      <c r="G472" s="4" t="s">
        <v>19</v>
      </c>
      <c r="H472" s="4" t="s">
        <v>56</v>
      </c>
      <c r="I472" s="4" t="str">
        <f t="shared" si="2"/>
        <v>Manuel Fisher</v>
      </c>
      <c r="J472" s="4" t="str">
        <f t="shared" ref="J472:K472" si="475">TRIM(PROPER(E472))</f>
        <v>Kanebury</v>
      </c>
      <c r="K472" s="4" t="str">
        <f t="shared" si="475"/>
        <v>New Hampshire</v>
      </c>
      <c r="L472" s="4" t="str">
        <f t="shared" si="4"/>
        <v>Female</v>
      </c>
      <c r="M472" s="4" t="str">
        <f t="shared" si="5"/>
        <v>Gold</v>
      </c>
      <c r="N472" s="4" t="str">
        <f t="shared" si="6"/>
        <v>OK</v>
      </c>
    </row>
    <row r="473" ht="14.25" customHeight="1">
      <c r="A473" s="4" t="s">
        <v>1468</v>
      </c>
      <c r="B473" s="4" t="s">
        <v>1469</v>
      </c>
      <c r="C473" s="4">
        <v>42.0</v>
      </c>
      <c r="D473" s="4" t="s">
        <v>16</v>
      </c>
      <c r="E473" s="4" t="s">
        <v>1470</v>
      </c>
      <c r="F473" s="4" t="s">
        <v>75</v>
      </c>
      <c r="G473" s="4" t="s">
        <v>19</v>
      </c>
      <c r="H473" s="4" t="s">
        <v>25</v>
      </c>
      <c r="I473" s="4" t="str">
        <f t="shared" si="2"/>
        <v>Debra Mccullough</v>
      </c>
      <c r="J473" s="4" t="str">
        <f t="shared" ref="J473:K473" si="476">TRIM(PROPER(E473))</f>
        <v>Mcdanielfurt</v>
      </c>
      <c r="K473" s="4" t="str">
        <f t="shared" si="476"/>
        <v>Montana</v>
      </c>
      <c r="L473" s="4" t="str">
        <f t="shared" si="4"/>
        <v>Male</v>
      </c>
      <c r="M473" s="4" t="str">
        <f t="shared" si="5"/>
        <v>Platinum</v>
      </c>
      <c r="N473" s="4" t="str">
        <f t="shared" si="6"/>
        <v>OK</v>
      </c>
    </row>
    <row r="474" ht="14.25" customHeight="1">
      <c r="A474" s="4" t="s">
        <v>1471</v>
      </c>
      <c r="B474" s="4" t="s">
        <v>1472</v>
      </c>
      <c r="C474" s="4">
        <v>42.0</v>
      </c>
      <c r="D474" s="4" t="s">
        <v>16</v>
      </c>
      <c r="E474" s="4" t="s">
        <v>1473</v>
      </c>
      <c r="F474" s="4" t="s">
        <v>729</v>
      </c>
      <c r="G474" s="4" t="s">
        <v>19</v>
      </c>
      <c r="H474" s="4" t="s">
        <v>39</v>
      </c>
      <c r="I474" s="4" t="str">
        <f t="shared" si="2"/>
        <v>Philip Mendoza</v>
      </c>
      <c r="J474" s="4" t="str">
        <f t="shared" ref="J474:K474" si="477">TRIM(PROPER(E474))</f>
        <v>Tylermouth</v>
      </c>
      <c r="K474" s="4" t="str">
        <f t="shared" si="477"/>
        <v>Massachusetts</v>
      </c>
      <c r="L474" s="4" t="str">
        <f t="shared" si="4"/>
        <v>Male</v>
      </c>
      <c r="M474" s="4" t="str">
        <f t="shared" si="5"/>
        <v>Silver</v>
      </c>
      <c r="N474" s="4" t="str">
        <f t="shared" si="6"/>
        <v>OK</v>
      </c>
    </row>
    <row r="475" ht="14.25" customHeight="1">
      <c r="A475" s="4" t="s">
        <v>1474</v>
      </c>
      <c r="B475" s="4" t="s">
        <v>1475</v>
      </c>
      <c r="C475" s="4">
        <v>53.0</v>
      </c>
      <c r="D475" s="4" t="s">
        <v>16</v>
      </c>
      <c r="E475" s="4" t="s">
        <v>1476</v>
      </c>
      <c r="F475" s="4" t="s">
        <v>334</v>
      </c>
      <c r="G475" s="4" t="s">
        <v>19</v>
      </c>
      <c r="H475" s="4" t="s">
        <v>34</v>
      </c>
      <c r="I475" s="4" t="str">
        <f t="shared" si="2"/>
        <v>Laura Mathews</v>
      </c>
      <c r="J475" s="4" t="str">
        <f t="shared" ref="J475:K475" si="478">TRIM(PROPER(E475))</f>
        <v>Chambersfurt</v>
      </c>
      <c r="K475" s="4" t="str">
        <f t="shared" si="478"/>
        <v>Wisconsin</v>
      </c>
      <c r="L475" s="4" t="str">
        <f t="shared" si="4"/>
        <v>Male</v>
      </c>
      <c r="M475" s="4" t="str">
        <f t="shared" si="5"/>
        <v>Bronze</v>
      </c>
      <c r="N475" s="4" t="str">
        <f t="shared" si="6"/>
        <v>OK</v>
      </c>
    </row>
    <row r="476" ht="14.25" customHeight="1">
      <c r="A476" s="4" t="s">
        <v>1477</v>
      </c>
      <c r="B476" s="4" t="s">
        <v>1478</v>
      </c>
      <c r="C476" s="4">
        <v>32.0</v>
      </c>
      <c r="D476" s="4" t="s">
        <v>22</v>
      </c>
      <c r="E476" s="4" t="s">
        <v>1479</v>
      </c>
      <c r="F476" s="4" t="s">
        <v>47</v>
      </c>
      <c r="G476" s="4" t="s">
        <v>19</v>
      </c>
      <c r="H476" s="4" t="s">
        <v>25</v>
      </c>
      <c r="I476" s="4" t="str">
        <f t="shared" si="2"/>
        <v>Joshua Howard</v>
      </c>
      <c r="J476" s="4" t="str">
        <f t="shared" ref="J476:K476" si="479">TRIM(PROPER(E476))</f>
        <v>East Christopherhaven</v>
      </c>
      <c r="K476" s="4" t="str">
        <f t="shared" si="479"/>
        <v>South Dakota</v>
      </c>
      <c r="L476" s="4" t="str">
        <f t="shared" si="4"/>
        <v>Female</v>
      </c>
      <c r="M476" s="4" t="str">
        <f t="shared" si="5"/>
        <v>Platinum</v>
      </c>
      <c r="N476" s="4" t="str">
        <f t="shared" si="6"/>
        <v>OK</v>
      </c>
    </row>
    <row r="477" ht="14.25" customHeight="1">
      <c r="A477" s="4" t="s">
        <v>1480</v>
      </c>
      <c r="B477" s="4" t="s">
        <v>1481</v>
      </c>
      <c r="C477" s="4">
        <v>18.0</v>
      </c>
      <c r="D477" s="4" t="s">
        <v>22</v>
      </c>
      <c r="E477" s="4" t="s">
        <v>405</v>
      </c>
      <c r="F477" s="4" t="s">
        <v>181</v>
      </c>
      <c r="G477" s="4" t="s">
        <v>19</v>
      </c>
      <c r="H477" s="4" t="s">
        <v>25</v>
      </c>
      <c r="I477" s="4" t="str">
        <f t="shared" si="2"/>
        <v>Barbara Berry</v>
      </c>
      <c r="J477" s="4" t="str">
        <f t="shared" ref="J477:K477" si="480">TRIM(PROPER(E477))</f>
        <v>Lake Michael</v>
      </c>
      <c r="K477" s="4" t="str">
        <f t="shared" si="480"/>
        <v>Vermont</v>
      </c>
      <c r="L477" s="4" t="str">
        <f t="shared" si="4"/>
        <v>Female</v>
      </c>
      <c r="M477" s="4" t="str">
        <f t="shared" si="5"/>
        <v>Platinum</v>
      </c>
      <c r="N477" s="4" t="str">
        <f t="shared" si="6"/>
        <v>OK</v>
      </c>
    </row>
    <row r="478" ht="14.25" customHeight="1">
      <c r="A478" s="4" t="s">
        <v>1482</v>
      </c>
      <c r="B478" s="4" t="s">
        <v>1483</v>
      </c>
      <c r="C478" s="4">
        <v>33.0</v>
      </c>
      <c r="D478" s="4" t="s">
        <v>22</v>
      </c>
      <c r="E478" s="4" t="s">
        <v>1484</v>
      </c>
      <c r="F478" s="4" t="s">
        <v>105</v>
      </c>
      <c r="G478" s="4" t="s">
        <v>19</v>
      </c>
      <c r="H478" s="4" t="s">
        <v>56</v>
      </c>
      <c r="I478" s="4" t="str">
        <f t="shared" si="2"/>
        <v>Elizabeth Foster</v>
      </c>
      <c r="J478" s="4" t="str">
        <f t="shared" ref="J478:K478" si="481">TRIM(PROPER(E478))</f>
        <v>Anthonymouth</v>
      </c>
      <c r="K478" s="4" t="str">
        <f t="shared" si="481"/>
        <v>Oklahoma</v>
      </c>
      <c r="L478" s="4" t="str">
        <f t="shared" si="4"/>
        <v>Female</v>
      </c>
      <c r="M478" s="4" t="str">
        <f t="shared" si="5"/>
        <v>Gold</v>
      </c>
      <c r="N478" s="4" t="str">
        <f t="shared" si="6"/>
        <v>OK</v>
      </c>
    </row>
    <row r="479" ht="14.25" customHeight="1">
      <c r="A479" s="4" t="s">
        <v>1485</v>
      </c>
      <c r="B479" s="4" t="s">
        <v>1486</v>
      </c>
      <c r="C479" s="4">
        <v>41.0</v>
      </c>
      <c r="D479" s="4" t="s">
        <v>22</v>
      </c>
      <c r="E479" s="4" t="s">
        <v>1487</v>
      </c>
      <c r="F479" s="4" t="s">
        <v>71</v>
      </c>
      <c r="G479" s="4" t="s">
        <v>19</v>
      </c>
      <c r="H479" s="4" t="s">
        <v>25</v>
      </c>
      <c r="I479" s="4" t="str">
        <f t="shared" si="2"/>
        <v>Andrea Harris</v>
      </c>
      <c r="J479" s="4" t="str">
        <f t="shared" ref="J479:K479" si="482">TRIM(PROPER(E479))</f>
        <v>West Kelseyberg</v>
      </c>
      <c r="K479" s="4" t="str">
        <f t="shared" si="482"/>
        <v>Kansas</v>
      </c>
      <c r="L479" s="4" t="str">
        <f t="shared" si="4"/>
        <v>Female</v>
      </c>
      <c r="M479" s="4" t="str">
        <f t="shared" si="5"/>
        <v>Platinum</v>
      </c>
      <c r="N479" s="4" t="str">
        <f t="shared" si="6"/>
        <v>OK</v>
      </c>
    </row>
    <row r="480" ht="14.25" customHeight="1">
      <c r="A480" s="4" t="s">
        <v>1488</v>
      </c>
      <c r="B480" s="4" t="s">
        <v>1489</v>
      </c>
      <c r="C480" s="4">
        <v>59.0</v>
      </c>
      <c r="D480" s="4" t="s">
        <v>16</v>
      </c>
      <c r="E480" s="4" t="s">
        <v>1490</v>
      </c>
      <c r="F480" s="4" t="s">
        <v>47</v>
      </c>
      <c r="G480" s="4" t="s">
        <v>19</v>
      </c>
      <c r="H480" s="4" t="s">
        <v>56</v>
      </c>
      <c r="I480" s="4" t="str">
        <f t="shared" si="2"/>
        <v>Earl Smith Dds</v>
      </c>
      <c r="J480" s="4" t="str">
        <f t="shared" ref="J480:K480" si="483">TRIM(PROPER(E480))</f>
        <v>West Sarah</v>
      </c>
      <c r="K480" s="4" t="str">
        <f t="shared" si="483"/>
        <v>South Dakota</v>
      </c>
      <c r="L480" s="4" t="str">
        <f t="shared" si="4"/>
        <v>Male</v>
      </c>
      <c r="M480" s="4" t="str">
        <f t="shared" si="5"/>
        <v>Gold</v>
      </c>
      <c r="N480" s="4" t="str">
        <f t="shared" si="6"/>
        <v>OK</v>
      </c>
    </row>
    <row r="481" ht="14.25" customHeight="1">
      <c r="A481" s="4" t="s">
        <v>1491</v>
      </c>
      <c r="B481" s="4" t="s">
        <v>1492</v>
      </c>
      <c r="C481" s="4">
        <v>40.0</v>
      </c>
      <c r="D481" s="4" t="s">
        <v>16</v>
      </c>
      <c r="E481" s="4" t="s">
        <v>1493</v>
      </c>
      <c r="F481" s="4" t="s">
        <v>51</v>
      </c>
      <c r="G481" s="4" t="s">
        <v>19</v>
      </c>
      <c r="H481" s="4" t="s">
        <v>34</v>
      </c>
      <c r="I481" s="4" t="str">
        <f t="shared" si="2"/>
        <v>Dylan Gutierrez</v>
      </c>
      <c r="J481" s="4" t="str">
        <f t="shared" ref="J481:K481" si="484">TRIM(PROPER(E481))</f>
        <v>New Jamesview</v>
      </c>
      <c r="K481" s="4" t="str">
        <f t="shared" si="484"/>
        <v>West Virginia</v>
      </c>
      <c r="L481" s="4" t="str">
        <f t="shared" si="4"/>
        <v>Male</v>
      </c>
      <c r="M481" s="4" t="str">
        <f t="shared" si="5"/>
        <v>Bronze</v>
      </c>
      <c r="N481" s="4" t="str">
        <f t="shared" si="6"/>
        <v>OK</v>
      </c>
    </row>
    <row r="482" ht="14.25" customHeight="1">
      <c r="A482" s="4" t="s">
        <v>1494</v>
      </c>
      <c r="B482" s="4" t="s">
        <v>1495</v>
      </c>
      <c r="C482" s="4">
        <v>33.0</v>
      </c>
      <c r="D482" s="4" t="s">
        <v>16</v>
      </c>
      <c r="E482" s="4" t="s">
        <v>1496</v>
      </c>
      <c r="F482" s="4" t="s">
        <v>260</v>
      </c>
      <c r="G482" s="4" t="s">
        <v>19</v>
      </c>
      <c r="H482" s="4" t="s">
        <v>34</v>
      </c>
      <c r="I482" s="4" t="str">
        <f t="shared" si="2"/>
        <v>Jordan Medina</v>
      </c>
      <c r="J482" s="4" t="str">
        <f t="shared" ref="J482:K482" si="485">TRIM(PROPER(E482))</f>
        <v>Robinchester</v>
      </c>
      <c r="K482" s="4" t="str">
        <f t="shared" si="485"/>
        <v>Florida</v>
      </c>
      <c r="L482" s="4" t="str">
        <f t="shared" si="4"/>
        <v>Male</v>
      </c>
      <c r="M482" s="4" t="str">
        <f t="shared" si="5"/>
        <v>Bronze</v>
      </c>
      <c r="N482" s="4" t="str">
        <f t="shared" si="6"/>
        <v>OK</v>
      </c>
    </row>
    <row r="483" ht="14.25" customHeight="1">
      <c r="A483" s="4" t="s">
        <v>1497</v>
      </c>
      <c r="B483" s="4" t="s">
        <v>1498</v>
      </c>
      <c r="C483" s="4">
        <v>21.0</v>
      </c>
      <c r="D483" s="4" t="s">
        <v>16</v>
      </c>
      <c r="E483" s="4" t="s">
        <v>1499</v>
      </c>
      <c r="F483" s="4" t="s">
        <v>90</v>
      </c>
      <c r="G483" s="4" t="s">
        <v>19</v>
      </c>
      <c r="H483" s="4" t="s">
        <v>56</v>
      </c>
      <c r="I483" s="4" t="str">
        <f t="shared" si="2"/>
        <v>Bryan Tran</v>
      </c>
      <c r="J483" s="4" t="str">
        <f t="shared" ref="J483:K483" si="486">TRIM(PROPER(E483))</f>
        <v>Kelseybury</v>
      </c>
      <c r="K483" s="4" t="str">
        <f t="shared" si="486"/>
        <v>Georgia</v>
      </c>
      <c r="L483" s="4" t="str">
        <f t="shared" si="4"/>
        <v>Male</v>
      </c>
      <c r="M483" s="4" t="str">
        <f t="shared" si="5"/>
        <v>Gold</v>
      </c>
      <c r="N483" s="4" t="str">
        <f t="shared" si="6"/>
        <v>OK</v>
      </c>
    </row>
    <row r="484" ht="14.25" customHeight="1">
      <c r="A484" s="4" t="s">
        <v>1500</v>
      </c>
      <c r="B484" s="4" t="s">
        <v>1501</v>
      </c>
      <c r="C484" s="4">
        <v>26.0</v>
      </c>
      <c r="D484" s="4" t="s">
        <v>16</v>
      </c>
      <c r="E484" s="4" t="s">
        <v>1502</v>
      </c>
      <c r="F484" s="4" t="s">
        <v>600</v>
      </c>
      <c r="G484" s="4" t="s">
        <v>19</v>
      </c>
      <c r="H484" s="4" t="s">
        <v>25</v>
      </c>
      <c r="I484" s="4" t="str">
        <f t="shared" si="2"/>
        <v>Sheri Joyce</v>
      </c>
      <c r="J484" s="4" t="str">
        <f t="shared" ref="J484:K484" si="487">TRIM(PROPER(E484))</f>
        <v>West Tylerfort</v>
      </c>
      <c r="K484" s="4" t="str">
        <f t="shared" si="487"/>
        <v>Kentucky</v>
      </c>
      <c r="L484" s="4" t="str">
        <f t="shared" si="4"/>
        <v>Male</v>
      </c>
      <c r="M484" s="4" t="str">
        <f t="shared" si="5"/>
        <v>Platinum</v>
      </c>
      <c r="N484" s="4" t="str">
        <f t="shared" si="6"/>
        <v>OK</v>
      </c>
    </row>
    <row r="485" ht="14.25" customHeight="1">
      <c r="A485" s="4" t="s">
        <v>1503</v>
      </c>
      <c r="B485" s="4" t="s">
        <v>1289</v>
      </c>
      <c r="C485" s="4">
        <v>48.0</v>
      </c>
      <c r="D485" s="4" t="s">
        <v>16</v>
      </c>
      <c r="E485" s="4" t="s">
        <v>1504</v>
      </c>
      <c r="F485" s="4" t="s">
        <v>194</v>
      </c>
      <c r="G485" s="4" t="s">
        <v>19</v>
      </c>
      <c r="H485" s="4" t="s">
        <v>56</v>
      </c>
      <c r="I485" s="4" t="str">
        <f t="shared" si="2"/>
        <v>Sarah Smith</v>
      </c>
      <c r="J485" s="4" t="str">
        <f t="shared" ref="J485:K485" si="488">TRIM(PROPER(E485))</f>
        <v>East Rodney</v>
      </c>
      <c r="K485" s="4" t="str">
        <f t="shared" si="488"/>
        <v>Nevada</v>
      </c>
      <c r="L485" s="4" t="str">
        <f t="shared" si="4"/>
        <v>Male</v>
      </c>
      <c r="M485" s="4" t="str">
        <f t="shared" si="5"/>
        <v>Gold</v>
      </c>
      <c r="N485" s="4" t="str">
        <f t="shared" si="6"/>
        <v>OK</v>
      </c>
    </row>
    <row r="486" ht="14.25" customHeight="1">
      <c r="A486" s="4" t="s">
        <v>1505</v>
      </c>
      <c r="B486" s="4" t="s">
        <v>1506</v>
      </c>
      <c r="C486" s="4">
        <v>32.0</v>
      </c>
      <c r="D486" s="4" t="s">
        <v>16</v>
      </c>
      <c r="E486" s="4" t="s">
        <v>1507</v>
      </c>
      <c r="F486" s="4" t="s">
        <v>729</v>
      </c>
      <c r="G486" s="4" t="s">
        <v>19</v>
      </c>
      <c r="H486" s="4" t="s">
        <v>34</v>
      </c>
      <c r="I486" s="4" t="str">
        <f t="shared" si="2"/>
        <v>Jessica Castro</v>
      </c>
      <c r="J486" s="4" t="str">
        <f t="shared" ref="J486:K486" si="489">TRIM(PROPER(E486))</f>
        <v>West Markton</v>
      </c>
      <c r="K486" s="4" t="str">
        <f t="shared" si="489"/>
        <v>Massachusetts</v>
      </c>
      <c r="L486" s="4" t="str">
        <f t="shared" si="4"/>
        <v>Male</v>
      </c>
      <c r="M486" s="4" t="str">
        <f t="shared" si="5"/>
        <v>Bronze</v>
      </c>
      <c r="N486" s="4" t="str">
        <f t="shared" si="6"/>
        <v>OK</v>
      </c>
    </row>
    <row r="487" ht="14.25" customHeight="1">
      <c r="A487" s="4" t="s">
        <v>1508</v>
      </c>
      <c r="B487" s="4" t="s">
        <v>1509</v>
      </c>
      <c r="C487" s="4">
        <v>46.0</v>
      </c>
      <c r="D487" s="4" t="s">
        <v>22</v>
      </c>
      <c r="E487" s="4" t="s">
        <v>1510</v>
      </c>
      <c r="F487" s="4" t="s">
        <v>297</v>
      </c>
      <c r="G487" s="4" t="s">
        <v>19</v>
      </c>
      <c r="H487" s="4" t="s">
        <v>34</v>
      </c>
      <c r="I487" s="4" t="str">
        <f t="shared" si="2"/>
        <v>Sara Ingram</v>
      </c>
      <c r="J487" s="4" t="str">
        <f t="shared" ref="J487:K487" si="490">TRIM(PROPER(E487))</f>
        <v>East Dillonview</v>
      </c>
      <c r="K487" s="4" t="str">
        <f t="shared" si="490"/>
        <v>Virginia</v>
      </c>
      <c r="L487" s="4" t="str">
        <f t="shared" si="4"/>
        <v>Female</v>
      </c>
      <c r="M487" s="4" t="str">
        <f t="shared" si="5"/>
        <v>Bronze</v>
      </c>
      <c r="N487" s="4" t="str">
        <f t="shared" si="6"/>
        <v>OK</v>
      </c>
    </row>
    <row r="488" ht="14.25" customHeight="1">
      <c r="A488" s="4" t="s">
        <v>1511</v>
      </c>
      <c r="B488" s="4" t="s">
        <v>1512</v>
      </c>
      <c r="C488" s="4">
        <v>22.0</v>
      </c>
      <c r="D488" s="4" t="s">
        <v>22</v>
      </c>
      <c r="E488" s="4" t="s">
        <v>1513</v>
      </c>
      <c r="F488" s="4" t="s">
        <v>181</v>
      </c>
      <c r="G488" s="4" t="s">
        <v>19</v>
      </c>
      <c r="H488" s="4" t="s">
        <v>34</v>
      </c>
      <c r="I488" s="4" t="str">
        <f t="shared" si="2"/>
        <v>Eric Lee</v>
      </c>
      <c r="J488" s="4" t="str">
        <f t="shared" ref="J488:K488" si="491">TRIM(PROPER(E488))</f>
        <v>Lake April</v>
      </c>
      <c r="K488" s="4" t="str">
        <f t="shared" si="491"/>
        <v>Vermont</v>
      </c>
      <c r="L488" s="4" t="str">
        <f t="shared" si="4"/>
        <v>Female</v>
      </c>
      <c r="M488" s="4" t="str">
        <f t="shared" si="5"/>
        <v>Bronze</v>
      </c>
      <c r="N488" s="4" t="str">
        <f t="shared" si="6"/>
        <v>OK</v>
      </c>
    </row>
    <row r="489" ht="14.25" customHeight="1">
      <c r="A489" s="4" t="s">
        <v>1514</v>
      </c>
      <c r="B489" s="4" t="s">
        <v>1515</v>
      </c>
      <c r="C489" s="4">
        <v>36.0</v>
      </c>
      <c r="D489" s="4" t="s">
        <v>22</v>
      </c>
      <c r="E489" s="4" t="s">
        <v>1516</v>
      </c>
      <c r="F489" s="4" t="s">
        <v>127</v>
      </c>
      <c r="G489" s="4" t="s">
        <v>19</v>
      </c>
      <c r="H489" s="4" t="s">
        <v>25</v>
      </c>
      <c r="I489" s="4" t="str">
        <f t="shared" si="2"/>
        <v>Amanda Medina</v>
      </c>
      <c r="J489" s="4" t="str">
        <f t="shared" ref="J489:K489" si="492">TRIM(PROPER(E489))</f>
        <v>East Patriciastad</v>
      </c>
      <c r="K489" s="4" t="str">
        <f t="shared" si="492"/>
        <v>Utah</v>
      </c>
      <c r="L489" s="4" t="str">
        <f t="shared" si="4"/>
        <v>Female</v>
      </c>
      <c r="M489" s="4" t="str">
        <f t="shared" si="5"/>
        <v>Platinum</v>
      </c>
      <c r="N489" s="4" t="str">
        <f t="shared" si="6"/>
        <v>OK</v>
      </c>
    </row>
    <row r="490" ht="14.25" customHeight="1">
      <c r="A490" s="4" t="s">
        <v>1517</v>
      </c>
      <c r="B490" s="4" t="s">
        <v>1518</v>
      </c>
      <c r="C490" s="4">
        <v>23.0</v>
      </c>
      <c r="D490" s="4" t="s">
        <v>22</v>
      </c>
      <c r="E490" s="4" t="s">
        <v>1519</v>
      </c>
      <c r="F490" s="4" t="s">
        <v>38</v>
      </c>
      <c r="G490" s="4" t="s">
        <v>19</v>
      </c>
      <c r="H490" s="4" t="s">
        <v>25</v>
      </c>
      <c r="I490" s="4" t="str">
        <f t="shared" si="2"/>
        <v>Zachary Andrade</v>
      </c>
      <c r="J490" s="4" t="str">
        <f t="shared" ref="J490:K490" si="493">TRIM(PROPER(E490))</f>
        <v>South Davidport</v>
      </c>
      <c r="K490" s="4" t="str">
        <f t="shared" si="493"/>
        <v>California</v>
      </c>
      <c r="L490" s="4" t="str">
        <f t="shared" si="4"/>
        <v>Female</v>
      </c>
      <c r="M490" s="4" t="str">
        <f t="shared" si="5"/>
        <v>Platinum</v>
      </c>
      <c r="N490" s="4" t="str">
        <f t="shared" si="6"/>
        <v>OK</v>
      </c>
    </row>
    <row r="491" ht="14.25" customHeight="1">
      <c r="A491" s="4" t="s">
        <v>1520</v>
      </c>
      <c r="B491" s="4" t="s">
        <v>1521</v>
      </c>
      <c r="C491" s="4">
        <v>42.0</v>
      </c>
      <c r="D491" s="4" t="s">
        <v>22</v>
      </c>
      <c r="E491" s="4" t="s">
        <v>1522</v>
      </c>
      <c r="F491" s="4" t="s">
        <v>264</v>
      </c>
      <c r="G491" s="4" t="s">
        <v>19</v>
      </c>
      <c r="H491" s="4" t="s">
        <v>39</v>
      </c>
      <c r="I491" s="4" t="str">
        <f t="shared" si="2"/>
        <v>Melinda Thomas</v>
      </c>
      <c r="J491" s="4" t="str">
        <f t="shared" ref="J491:K491" si="494">TRIM(PROPER(E491))</f>
        <v>Lake Elizabethside</v>
      </c>
      <c r="K491" s="4" t="str">
        <f t="shared" si="494"/>
        <v>Indiana</v>
      </c>
      <c r="L491" s="4" t="str">
        <f t="shared" si="4"/>
        <v>Female</v>
      </c>
      <c r="M491" s="4" t="str">
        <f t="shared" si="5"/>
        <v>Silver</v>
      </c>
      <c r="N491" s="4" t="str">
        <f t="shared" si="6"/>
        <v>OK</v>
      </c>
    </row>
    <row r="492" ht="14.25" customHeight="1">
      <c r="A492" s="4" t="s">
        <v>1523</v>
      </c>
      <c r="B492" s="4" t="s">
        <v>1524</v>
      </c>
      <c r="C492" s="4">
        <v>23.0</v>
      </c>
      <c r="D492" s="4" t="s">
        <v>16</v>
      </c>
      <c r="E492" s="4" t="s">
        <v>1525</v>
      </c>
      <c r="F492" s="4" t="s">
        <v>150</v>
      </c>
      <c r="G492" s="4" t="s">
        <v>19</v>
      </c>
      <c r="H492" s="4" t="s">
        <v>25</v>
      </c>
      <c r="I492" s="4" t="str">
        <f t="shared" si="2"/>
        <v>Scott Harris</v>
      </c>
      <c r="J492" s="4" t="str">
        <f t="shared" ref="J492:K492" si="495">TRIM(PROPER(E492))</f>
        <v>North Nataliemouth</v>
      </c>
      <c r="K492" s="4" t="str">
        <f t="shared" si="495"/>
        <v>Maryland</v>
      </c>
      <c r="L492" s="4" t="str">
        <f t="shared" si="4"/>
        <v>Male</v>
      </c>
      <c r="M492" s="4" t="str">
        <f t="shared" si="5"/>
        <v>Platinum</v>
      </c>
      <c r="N492" s="4" t="str">
        <f t="shared" si="6"/>
        <v>OK</v>
      </c>
    </row>
    <row r="493" ht="14.25" customHeight="1">
      <c r="A493" s="4" t="s">
        <v>1526</v>
      </c>
      <c r="B493" s="4" t="s">
        <v>1527</v>
      </c>
      <c r="C493" s="4">
        <v>52.0</v>
      </c>
      <c r="D493" s="4" t="s">
        <v>22</v>
      </c>
      <c r="E493" s="4" t="s">
        <v>1528</v>
      </c>
      <c r="F493" s="4" t="s">
        <v>47</v>
      </c>
      <c r="G493" s="4" t="s">
        <v>19</v>
      </c>
      <c r="H493" s="4" t="s">
        <v>56</v>
      </c>
      <c r="I493" s="4" t="str">
        <f t="shared" si="2"/>
        <v>Kaitlin Brown</v>
      </c>
      <c r="J493" s="4" t="str">
        <f t="shared" ref="J493:K493" si="496">TRIM(PROPER(E493))</f>
        <v>Kellyberg</v>
      </c>
      <c r="K493" s="4" t="str">
        <f t="shared" si="496"/>
        <v>South Dakota</v>
      </c>
      <c r="L493" s="4" t="str">
        <f t="shared" si="4"/>
        <v>Female</v>
      </c>
      <c r="M493" s="4" t="str">
        <f t="shared" si="5"/>
        <v>Gold</v>
      </c>
      <c r="N493" s="4" t="str">
        <f t="shared" si="6"/>
        <v>OK</v>
      </c>
    </row>
    <row r="494" ht="14.25" customHeight="1">
      <c r="A494" s="4" t="s">
        <v>1529</v>
      </c>
      <c r="B494" s="4" t="s">
        <v>1530</v>
      </c>
      <c r="C494" s="4">
        <v>59.0</v>
      </c>
      <c r="D494" s="4" t="s">
        <v>22</v>
      </c>
      <c r="E494" s="4" t="s">
        <v>1531</v>
      </c>
      <c r="F494" s="4" t="s">
        <v>260</v>
      </c>
      <c r="G494" s="4" t="s">
        <v>19</v>
      </c>
      <c r="H494" s="4" t="s">
        <v>25</v>
      </c>
      <c r="I494" s="4" t="str">
        <f t="shared" si="2"/>
        <v>Darrell Miller</v>
      </c>
      <c r="J494" s="4" t="str">
        <f t="shared" ref="J494:K494" si="497">TRIM(PROPER(E494))</f>
        <v>Port Carol</v>
      </c>
      <c r="K494" s="4" t="str">
        <f t="shared" si="497"/>
        <v>Florida</v>
      </c>
      <c r="L494" s="4" t="str">
        <f t="shared" si="4"/>
        <v>Female</v>
      </c>
      <c r="M494" s="4" t="str">
        <f t="shared" si="5"/>
        <v>Platinum</v>
      </c>
      <c r="N494" s="4" t="str">
        <f t="shared" si="6"/>
        <v>OK</v>
      </c>
    </row>
    <row r="495" ht="14.25" customHeight="1">
      <c r="A495" s="4" t="s">
        <v>1532</v>
      </c>
      <c r="B495" s="4" t="s">
        <v>1533</v>
      </c>
      <c r="C495" s="4">
        <v>28.0</v>
      </c>
      <c r="D495" s="4" t="s">
        <v>16</v>
      </c>
      <c r="E495" s="4" t="s">
        <v>93</v>
      </c>
      <c r="F495" s="4" t="s">
        <v>29</v>
      </c>
      <c r="G495" s="4" t="s">
        <v>19</v>
      </c>
      <c r="H495" s="4" t="s">
        <v>39</v>
      </c>
      <c r="I495" s="4" t="str">
        <f t="shared" si="2"/>
        <v>Amanda Powell</v>
      </c>
      <c r="J495" s="4" t="str">
        <f t="shared" ref="J495:K495" si="498">TRIM(PROPER(E495))</f>
        <v>South William</v>
      </c>
      <c r="K495" s="4" t="str">
        <f t="shared" si="498"/>
        <v>Alabama</v>
      </c>
      <c r="L495" s="4" t="str">
        <f t="shared" si="4"/>
        <v>Male</v>
      </c>
      <c r="M495" s="4" t="str">
        <f t="shared" si="5"/>
        <v>Silver</v>
      </c>
      <c r="N495" s="4" t="str">
        <f t="shared" si="6"/>
        <v>OK</v>
      </c>
    </row>
    <row r="496" ht="14.25" customHeight="1">
      <c r="A496" s="4" t="s">
        <v>1534</v>
      </c>
      <c r="B496" s="4" t="s">
        <v>1535</v>
      </c>
      <c r="C496" s="4">
        <v>21.0</v>
      </c>
      <c r="D496" s="4" t="s">
        <v>16</v>
      </c>
      <c r="E496" s="4" t="s">
        <v>1536</v>
      </c>
      <c r="F496" s="4" t="s">
        <v>369</v>
      </c>
      <c r="G496" s="4" t="s">
        <v>19</v>
      </c>
      <c r="H496" s="4" t="s">
        <v>56</v>
      </c>
      <c r="I496" s="4" t="str">
        <f t="shared" si="2"/>
        <v>Justin Lopez</v>
      </c>
      <c r="J496" s="4" t="str">
        <f t="shared" ref="J496:K496" si="499">TRIM(PROPER(E496))</f>
        <v>Port Cheryl</v>
      </c>
      <c r="K496" s="4" t="str">
        <f t="shared" si="499"/>
        <v>Texas</v>
      </c>
      <c r="L496" s="4" t="str">
        <f t="shared" si="4"/>
        <v>Male</v>
      </c>
      <c r="M496" s="4" t="str">
        <f t="shared" si="5"/>
        <v>Gold</v>
      </c>
      <c r="N496" s="4" t="str">
        <f t="shared" si="6"/>
        <v>OK</v>
      </c>
    </row>
    <row r="497" ht="14.25" customHeight="1">
      <c r="A497" s="4" t="s">
        <v>1537</v>
      </c>
      <c r="B497" s="4" t="s">
        <v>1538</v>
      </c>
      <c r="C497" s="4">
        <v>23.0</v>
      </c>
      <c r="D497" s="4" t="s">
        <v>22</v>
      </c>
      <c r="E497" s="4" t="s">
        <v>1539</v>
      </c>
      <c r="F497" s="4" t="s">
        <v>101</v>
      </c>
      <c r="G497" s="4" t="s">
        <v>19</v>
      </c>
      <c r="H497" s="4" t="s">
        <v>34</v>
      </c>
      <c r="I497" s="4" t="str">
        <f t="shared" si="2"/>
        <v>James Berger</v>
      </c>
      <c r="J497" s="4" t="str">
        <f t="shared" ref="J497:K497" si="500">TRIM(PROPER(E497))</f>
        <v>Bryanmouth</v>
      </c>
      <c r="K497" s="4" t="str">
        <f t="shared" si="500"/>
        <v>Delaware</v>
      </c>
      <c r="L497" s="4" t="str">
        <f t="shared" si="4"/>
        <v>Female</v>
      </c>
      <c r="M497" s="4" t="str">
        <f t="shared" si="5"/>
        <v>Bronze</v>
      </c>
      <c r="N497" s="4" t="str">
        <f t="shared" si="6"/>
        <v>OK</v>
      </c>
    </row>
    <row r="498" ht="14.25" customHeight="1">
      <c r="A498" s="4" t="s">
        <v>1540</v>
      </c>
      <c r="B498" s="4" t="s">
        <v>1541</v>
      </c>
      <c r="C498" s="4">
        <v>56.0</v>
      </c>
      <c r="D498" s="4" t="s">
        <v>16</v>
      </c>
      <c r="E498" s="4" t="s">
        <v>1542</v>
      </c>
      <c r="F498" s="4" t="s">
        <v>33</v>
      </c>
      <c r="G498" s="4" t="s">
        <v>19</v>
      </c>
      <c r="H498" s="4" t="s">
        <v>34</v>
      </c>
      <c r="I498" s="4" t="str">
        <f t="shared" si="2"/>
        <v>Christopher Ford</v>
      </c>
      <c r="J498" s="4" t="str">
        <f t="shared" ref="J498:K498" si="501">TRIM(PROPER(E498))</f>
        <v>North Seanfurt</v>
      </c>
      <c r="K498" s="4" t="str">
        <f t="shared" si="501"/>
        <v>Ohio</v>
      </c>
      <c r="L498" s="4" t="str">
        <f t="shared" si="4"/>
        <v>Male</v>
      </c>
      <c r="M498" s="4" t="str">
        <f t="shared" si="5"/>
        <v>Bronze</v>
      </c>
      <c r="N498" s="4" t="str">
        <f t="shared" si="6"/>
        <v>OK</v>
      </c>
    </row>
    <row r="499" ht="14.25" customHeight="1">
      <c r="A499" s="4" t="s">
        <v>1543</v>
      </c>
      <c r="B499" s="4" t="s">
        <v>1544</v>
      </c>
      <c r="C499" s="4">
        <v>47.0</v>
      </c>
      <c r="D499" s="4" t="s">
        <v>22</v>
      </c>
      <c r="E499" s="4" t="s">
        <v>1545</v>
      </c>
      <c r="F499" s="4" t="s">
        <v>67</v>
      </c>
      <c r="G499" s="4" t="s">
        <v>19</v>
      </c>
      <c r="H499" s="4" t="s">
        <v>56</v>
      </c>
      <c r="I499" s="4" t="str">
        <f t="shared" si="2"/>
        <v>Sarah Marsh</v>
      </c>
      <c r="J499" s="4" t="str">
        <f t="shared" ref="J499:K499" si="502">TRIM(PROPER(E499))</f>
        <v>Port William</v>
      </c>
      <c r="K499" s="4" t="str">
        <f t="shared" si="502"/>
        <v>New York</v>
      </c>
      <c r="L499" s="4" t="str">
        <f t="shared" si="4"/>
        <v>Female</v>
      </c>
      <c r="M499" s="4" t="str">
        <f t="shared" si="5"/>
        <v>Gold</v>
      </c>
      <c r="N499" s="4" t="str">
        <f t="shared" si="6"/>
        <v>OK</v>
      </c>
    </row>
    <row r="500" ht="14.25" customHeight="1">
      <c r="A500" s="4" t="s">
        <v>1546</v>
      </c>
      <c r="B500" s="4" t="s">
        <v>1547</v>
      </c>
      <c r="C500" s="4">
        <v>35.0</v>
      </c>
      <c r="D500" s="4" t="s">
        <v>16</v>
      </c>
      <c r="E500" s="4" t="s">
        <v>1548</v>
      </c>
      <c r="F500" s="4" t="s">
        <v>243</v>
      </c>
      <c r="G500" s="4" t="s">
        <v>19</v>
      </c>
      <c r="H500" s="4" t="s">
        <v>39</v>
      </c>
      <c r="I500" s="4" t="str">
        <f t="shared" si="2"/>
        <v>Traci Gonzalez</v>
      </c>
      <c r="J500" s="4" t="str">
        <f t="shared" ref="J500:K500" si="503">TRIM(PROPER(E500))</f>
        <v>Snyderfurt</v>
      </c>
      <c r="K500" s="4" t="str">
        <f t="shared" si="503"/>
        <v>New Mexico</v>
      </c>
      <c r="L500" s="4" t="str">
        <f t="shared" si="4"/>
        <v>Male</v>
      </c>
      <c r="M500" s="4" t="str">
        <f t="shared" si="5"/>
        <v>Silver</v>
      </c>
      <c r="N500" s="4" t="str">
        <f t="shared" si="6"/>
        <v>OK</v>
      </c>
    </row>
    <row r="501" ht="14.25" customHeight="1">
      <c r="A501" s="4" t="s">
        <v>1549</v>
      </c>
      <c r="B501" s="4" t="s">
        <v>1550</v>
      </c>
      <c r="C501" s="4">
        <v>27.0</v>
      </c>
      <c r="D501" s="4" t="s">
        <v>22</v>
      </c>
      <c r="E501" s="4" t="s">
        <v>1551</v>
      </c>
      <c r="F501" s="4" t="s">
        <v>43</v>
      </c>
      <c r="G501" s="4" t="s">
        <v>19</v>
      </c>
      <c r="H501" s="4" t="s">
        <v>25</v>
      </c>
      <c r="I501" s="4" t="str">
        <f t="shared" si="2"/>
        <v>Philip Pennington</v>
      </c>
      <c r="J501" s="4" t="str">
        <f t="shared" ref="J501:K501" si="504">TRIM(PROPER(E501))</f>
        <v>East Valerieview</v>
      </c>
      <c r="K501" s="4" t="str">
        <f t="shared" si="504"/>
        <v>Oregon</v>
      </c>
      <c r="L501" s="4" t="str">
        <f t="shared" si="4"/>
        <v>Female</v>
      </c>
      <c r="M501" s="4" t="str">
        <f t="shared" si="5"/>
        <v>Platinum</v>
      </c>
      <c r="N501" s="4" t="str">
        <f t="shared" si="6"/>
        <v>OK</v>
      </c>
    </row>
    <row r="502" ht="14.25" customHeight="1">
      <c r="G502" s="4"/>
    </row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14"/>
    <col customWidth="1" min="2" max="2" width="36.43"/>
    <col customWidth="1" min="3" max="3" width="16.86"/>
    <col customWidth="1" min="4" max="4" width="22.0"/>
    <col customWidth="1" min="5" max="5" width="25.29"/>
    <col customWidth="1" min="6" max="6" width="8.71"/>
    <col customWidth="1" min="7" max="7" width="14.29"/>
    <col customWidth="1" min="8" max="8" width="11.29"/>
    <col customWidth="1" min="9" max="9" width="26.0"/>
    <col customWidth="1" min="10" max="10" width="18.29"/>
    <col customWidth="1" min="11" max="11" width="16.29"/>
  </cols>
  <sheetData>
    <row r="1" ht="14.25" customHeight="1">
      <c r="A1" s="1" t="s">
        <v>1552</v>
      </c>
      <c r="B1" s="1" t="s">
        <v>1553</v>
      </c>
      <c r="C1" s="1" t="s">
        <v>1554</v>
      </c>
      <c r="D1" s="1" t="s">
        <v>1555</v>
      </c>
      <c r="E1" s="1" t="s">
        <v>1556</v>
      </c>
      <c r="F1" s="1" t="s">
        <v>1557</v>
      </c>
      <c r="G1" s="5" t="s">
        <v>1558</v>
      </c>
      <c r="I1" s="6" t="s">
        <v>1559</v>
      </c>
      <c r="J1" s="6" t="s">
        <v>1560</v>
      </c>
      <c r="K1" s="6" t="s">
        <v>1561</v>
      </c>
    </row>
    <row r="2" ht="14.25" customHeight="1">
      <c r="A2" s="4" t="s">
        <v>1562</v>
      </c>
      <c r="B2" s="4" t="s">
        <v>1563</v>
      </c>
      <c r="C2" s="4" t="s">
        <v>1564</v>
      </c>
      <c r="D2" s="4" t="s">
        <v>1565</v>
      </c>
      <c r="E2" s="4" t="s">
        <v>1566</v>
      </c>
      <c r="F2" s="4">
        <v>112.42</v>
      </c>
      <c r="G2" s="7">
        <v>416.0</v>
      </c>
      <c r="I2" s="4" t="str">
        <f t="shared" ref="I2:I101" si="1">PROPER(B2)</f>
        <v>Brother Laser Printer</v>
      </c>
      <c r="J2" s="4" t="str">
        <f t="shared" ref="J2:J101" si="2">IF(C2="","Others",C2)</f>
        <v>Electronics</v>
      </c>
      <c r="K2" s="4" t="str">
        <f t="shared" ref="K2:K101" si="3">IF(F2&lt;=0,"Error","Valid")</f>
        <v>Valid</v>
      </c>
    </row>
    <row r="3" ht="14.25" customHeight="1">
      <c r="A3" s="4" t="s">
        <v>1567</v>
      </c>
      <c r="B3" s="4" t="s">
        <v>1568</v>
      </c>
      <c r="C3" s="4" t="s">
        <v>1569</v>
      </c>
      <c r="D3" s="4" t="s">
        <v>1570</v>
      </c>
      <c r="E3" s="4" t="s">
        <v>1571</v>
      </c>
      <c r="F3" s="4">
        <v>342.56</v>
      </c>
      <c r="G3" s="7">
        <v>181.0</v>
      </c>
      <c r="I3" s="4" t="str">
        <f t="shared" si="1"/>
        <v>Men'S Graphic T-Shirt</v>
      </c>
      <c r="J3" s="4" t="str">
        <f t="shared" si="2"/>
        <v>Clothing</v>
      </c>
      <c r="K3" s="4" t="str">
        <f t="shared" si="3"/>
        <v>Valid</v>
      </c>
    </row>
    <row r="4" ht="14.25" customHeight="1">
      <c r="A4" s="4" t="s">
        <v>1572</v>
      </c>
      <c r="B4" s="4" t="s">
        <v>1573</v>
      </c>
      <c r="C4" s="4" t="s">
        <v>1569</v>
      </c>
      <c r="D4" s="4" t="s">
        <v>1574</v>
      </c>
      <c r="E4" s="4" t="s">
        <v>1575</v>
      </c>
      <c r="G4" s="7">
        <v>352.0</v>
      </c>
      <c r="I4" s="4" t="str">
        <f t="shared" si="1"/>
        <v>Women'S Casual Hoodie</v>
      </c>
      <c r="J4" s="4" t="str">
        <f t="shared" si="2"/>
        <v>Clothing</v>
      </c>
      <c r="K4" s="4" t="str">
        <f t="shared" si="3"/>
        <v>Error</v>
      </c>
    </row>
    <row r="5" ht="14.25" customHeight="1">
      <c r="A5" s="4" t="s">
        <v>1576</v>
      </c>
      <c r="B5" s="4" t="s">
        <v>1577</v>
      </c>
      <c r="C5" s="4" t="s">
        <v>1569</v>
      </c>
      <c r="D5" s="4" t="s">
        <v>1574</v>
      </c>
      <c r="E5" s="4" t="s">
        <v>1578</v>
      </c>
      <c r="F5" s="4">
        <v>364.67</v>
      </c>
      <c r="G5" s="7">
        <v>452.0</v>
      </c>
      <c r="I5" s="4" t="str">
        <f t="shared" si="1"/>
        <v>Men'S Running Jacket</v>
      </c>
      <c r="J5" s="4" t="str">
        <f t="shared" si="2"/>
        <v>Clothing</v>
      </c>
      <c r="K5" s="4" t="str">
        <f t="shared" si="3"/>
        <v>Valid</v>
      </c>
    </row>
    <row r="6" ht="14.25" customHeight="1">
      <c r="A6" s="4" t="s">
        <v>1579</v>
      </c>
      <c r="B6" s="4" t="s">
        <v>1580</v>
      </c>
      <c r="C6" s="4" t="s">
        <v>1569</v>
      </c>
      <c r="D6" s="4" t="s">
        <v>1581</v>
      </c>
      <c r="E6" s="4" t="s">
        <v>1582</v>
      </c>
      <c r="F6" s="4">
        <v>306.46</v>
      </c>
      <c r="G6" s="7">
        <v>487.0</v>
      </c>
      <c r="I6" s="4" t="str">
        <f t="shared" si="1"/>
        <v>Women'S Yoga Pants</v>
      </c>
      <c r="J6" s="4" t="str">
        <f t="shared" si="2"/>
        <v>Clothing</v>
      </c>
      <c r="K6" s="4" t="str">
        <f t="shared" si="3"/>
        <v>Valid</v>
      </c>
    </row>
    <row r="7" ht="14.25" customHeight="1">
      <c r="A7" s="4" t="s">
        <v>1583</v>
      </c>
      <c r="B7" s="4" t="s">
        <v>1584</v>
      </c>
      <c r="C7" s="4" t="s">
        <v>1569</v>
      </c>
      <c r="D7" s="4" t="s">
        <v>1585</v>
      </c>
      <c r="E7" s="4" t="s">
        <v>1586</v>
      </c>
      <c r="F7" s="4">
        <v>261.0</v>
      </c>
      <c r="G7" s="7">
        <v>59.0</v>
      </c>
      <c r="I7" s="4" t="str">
        <f t="shared" si="1"/>
        <v>Men'S Leather Belt</v>
      </c>
      <c r="J7" s="4" t="str">
        <f t="shared" si="2"/>
        <v>Clothing</v>
      </c>
      <c r="K7" s="4" t="str">
        <f t="shared" si="3"/>
        <v>Valid</v>
      </c>
    </row>
    <row r="8" ht="14.25" customHeight="1">
      <c r="A8" s="4" t="s">
        <v>1587</v>
      </c>
      <c r="B8" s="4" t="s">
        <v>1588</v>
      </c>
      <c r="C8" s="4" t="s">
        <v>1589</v>
      </c>
      <c r="D8" s="4" t="s">
        <v>1590</v>
      </c>
      <c r="E8" s="4" t="s">
        <v>1591</v>
      </c>
      <c r="F8" s="4">
        <v>312.8</v>
      </c>
      <c r="G8" s="7">
        <v>350.0</v>
      </c>
      <c r="I8" s="4" t="str">
        <f t="shared" si="1"/>
        <v>Herbal Face Moisturizer</v>
      </c>
      <c r="J8" s="4" t="str">
        <f t="shared" si="2"/>
        <v>Beauty</v>
      </c>
      <c r="K8" s="4" t="str">
        <f t="shared" si="3"/>
        <v>Valid</v>
      </c>
    </row>
    <row r="9" ht="14.25" customHeight="1">
      <c r="A9" s="4" t="s">
        <v>1592</v>
      </c>
      <c r="B9" s="4" t="s">
        <v>1593</v>
      </c>
      <c r="C9" s="4" t="s">
        <v>1594</v>
      </c>
      <c r="D9" s="4" t="s">
        <v>1595</v>
      </c>
      <c r="E9" s="4" t="s">
        <v>1596</v>
      </c>
      <c r="F9" s="4">
        <v>218.86</v>
      </c>
      <c r="G9" s="7">
        <v>170.0</v>
      </c>
      <c r="I9" s="4" t="str">
        <f t="shared" si="1"/>
        <v>Led Table Lamp</v>
      </c>
      <c r="J9" s="4" t="str">
        <f t="shared" si="2"/>
        <v>Home</v>
      </c>
      <c r="K9" s="4" t="str">
        <f t="shared" si="3"/>
        <v>Valid</v>
      </c>
    </row>
    <row r="10" ht="14.25" customHeight="1">
      <c r="A10" s="4" t="s">
        <v>1597</v>
      </c>
      <c r="B10" s="4" t="s">
        <v>1598</v>
      </c>
      <c r="C10" s="4" t="s">
        <v>1564</v>
      </c>
      <c r="D10" s="4" t="s">
        <v>1599</v>
      </c>
      <c r="E10" s="4" t="s">
        <v>1600</v>
      </c>
      <c r="F10" s="4">
        <v>439.07</v>
      </c>
      <c r="G10" s="7">
        <v>142.0</v>
      </c>
      <c r="I10" s="4" t="str">
        <f t="shared" si="1"/>
        <v>Wireless Bluetooth Earbuds</v>
      </c>
      <c r="J10" s="4" t="str">
        <f t="shared" si="2"/>
        <v>Electronics</v>
      </c>
      <c r="K10" s="4" t="str">
        <f t="shared" si="3"/>
        <v>Valid</v>
      </c>
    </row>
    <row r="11" ht="14.25" customHeight="1">
      <c r="A11" s="4" t="s">
        <v>1601</v>
      </c>
      <c r="B11" s="4" t="s">
        <v>1602</v>
      </c>
      <c r="C11" s="4" t="s">
        <v>1603</v>
      </c>
      <c r="D11" s="4" t="s">
        <v>1604</v>
      </c>
      <c r="E11" s="4" t="s">
        <v>1605</v>
      </c>
      <c r="F11" s="4">
        <v>495.72</v>
      </c>
      <c r="G11" s="7">
        <v>323.0</v>
      </c>
      <c r="I11" s="4" t="str">
        <f t="shared" si="1"/>
        <v>Adjustable Dumbbell Set</v>
      </c>
      <c r="J11" s="4" t="str">
        <f t="shared" si="2"/>
        <v>Sports</v>
      </c>
      <c r="K11" s="4" t="str">
        <f t="shared" si="3"/>
        <v>Valid</v>
      </c>
    </row>
    <row r="12" ht="14.25" customHeight="1">
      <c r="A12" s="4" t="s">
        <v>1606</v>
      </c>
      <c r="B12" s="4" t="s">
        <v>1607</v>
      </c>
      <c r="C12" s="4" t="s">
        <v>1594</v>
      </c>
      <c r="D12" s="4" t="s">
        <v>1608</v>
      </c>
      <c r="E12" s="4" t="s">
        <v>1609</v>
      </c>
      <c r="F12" s="4">
        <v>298.86</v>
      </c>
      <c r="G12" s="7">
        <v>308.0</v>
      </c>
      <c r="I12" s="4" t="str">
        <f t="shared" si="1"/>
        <v>Ceramic Kitchen Bowl Set</v>
      </c>
      <c r="J12" s="4" t="str">
        <f t="shared" si="2"/>
        <v>Home</v>
      </c>
      <c r="K12" s="4" t="str">
        <f t="shared" si="3"/>
        <v>Valid</v>
      </c>
    </row>
    <row r="13" ht="14.25" customHeight="1">
      <c r="A13" s="4" t="s">
        <v>1610</v>
      </c>
      <c r="B13" s="4" t="s">
        <v>1611</v>
      </c>
      <c r="C13" s="4" t="s">
        <v>1564</v>
      </c>
      <c r="D13" s="4" t="s">
        <v>1585</v>
      </c>
      <c r="E13" s="4" t="s">
        <v>1612</v>
      </c>
      <c r="F13" s="4">
        <v>449.4</v>
      </c>
      <c r="G13" s="7"/>
      <c r="I13" s="4" t="str">
        <f t="shared" si="1"/>
        <v>Hd Smart Tv Stick</v>
      </c>
      <c r="J13" s="4" t="str">
        <f t="shared" si="2"/>
        <v>Electronics</v>
      </c>
      <c r="K13" s="4" t="str">
        <f t="shared" si="3"/>
        <v>Valid</v>
      </c>
    </row>
    <row r="14" ht="14.25" customHeight="1">
      <c r="A14" s="4" t="s">
        <v>1613</v>
      </c>
      <c r="B14" s="4" t="s">
        <v>1614</v>
      </c>
      <c r="C14" s="4" t="s">
        <v>1589</v>
      </c>
      <c r="D14" s="4" t="s">
        <v>1615</v>
      </c>
      <c r="E14" s="4" t="s">
        <v>1616</v>
      </c>
      <c r="F14" s="4">
        <v>115.82</v>
      </c>
      <c r="G14" s="7">
        <v>460.0</v>
      </c>
      <c r="I14" s="4" t="str">
        <f t="shared" si="1"/>
        <v>Hair Strengthening Shampoo</v>
      </c>
      <c r="J14" s="4" t="str">
        <f t="shared" si="2"/>
        <v>Beauty</v>
      </c>
      <c r="K14" s="4" t="str">
        <f t="shared" si="3"/>
        <v>Valid</v>
      </c>
    </row>
    <row r="15" ht="14.25" customHeight="1">
      <c r="A15" s="4" t="s">
        <v>1617</v>
      </c>
      <c r="B15" s="4" t="s">
        <v>1618</v>
      </c>
      <c r="C15" s="4" t="s">
        <v>1564</v>
      </c>
      <c r="D15" s="4" t="s">
        <v>1585</v>
      </c>
      <c r="E15" s="4" t="s">
        <v>1619</v>
      </c>
      <c r="F15" s="4">
        <v>242.23</v>
      </c>
      <c r="G15" s="7">
        <v>453.0</v>
      </c>
      <c r="I15" s="4" t="str">
        <f t="shared" si="1"/>
        <v>Usb-C Fast Charger</v>
      </c>
      <c r="J15" s="4" t="str">
        <f t="shared" si="2"/>
        <v>Electronics</v>
      </c>
      <c r="K15" s="4" t="str">
        <f t="shared" si="3"/>
        <v>Valid</v>
      </c>
    </row>
    <row r="16" ht="14.25" customHeight="1">
      <c r="A16" s="4" t="s">
        <v>1620</v>
      </c>
      <c r="B16" s="4" t="s">
        <v>1621</v>
      </c>
      <c r="C16" s="4" t="s">
        <v>1594</v>
      </c>
      <c r="D16" s="4" t="s">
        <v>1622</v>
      </c>
      <c r="E16" s="4" t="s">
        <v>1623</v>
      </c>
      <c r="F16" s="4">
        <v>48.01</v>
      </c>
      <c r="G16" s="7">
        <v>439.0</v>
      </c>
      <c r="I16" s="4" t="str">
        <f t="shared" si="1"/>
        <v>Decorative Wall Mirror</v>
      </c>
      <c r="J16" s="4" t="str">
        <f t="shared" si="2"/>
        <v>Home</v>
      </c>
      <c r="K16" s="4" t="str">
        <f t="shared" si="3"/>
        <v>Valid</v>
      </c>
    </row>
    <row r="17" ht="14.25" customHeight="1">
      <c r="A17" s="4" t="s">
        <v>1624</v>
      </c>
      <c r="B17" s="4" t="s">
        <v>1625</v>
      </c>
      <c r="C17" s="4" t="s">
        <v>1564</v>
      </c>
      <c r="D17" s="4" t="s">
        <v>1626</v>
      </c>
      <c r="E17" s="4" t="s">
        <v>1627</v>
      </c>
      <c r="F17" s="4">
        <v>465.34</v>
      </c>
      <c r="G17" s="7">
        <v>301.0</v>
      </c>
      <c r="I17" s="4" t="str">
        <f t="shared" si="1"/>
        <v>4K Home Projector</v>
      </c>
      <c r="J17" s="4" t="str">
        <f t="shared" si="2"/>
        <v>Electronics</v>
      </c>
      <c r="K17" s="4" t="str">
        <f t="shared" si="3"/>
        <v>Valid</v>
      </c>
    </row>
    <row r="18" ht="14.25" customHeight="1">
      <c r="A18" s="4" t="s">
        <v>1628</v>
      </c>
      <c r="B18" s="4" t="s">
        <v>1629</v>
      </c>
      <c r="C18" s="4" t="s">
        <v>1589</v>
      </c>
      <c r="D18" s="4" t="s">
        <v>1630</v>
      </c>
      <c r="E18" s="4" t="s">
        <v>1631</v>
      </c>
      <c r="F18" s="4">
        <v>337.42</v>
      </c>
      <c r="G18" s="7">
        <v>256.0</v>
      </c>
      <c r="I18" s="4" t="str">
        <f t="shared" si="1"/>
        <v>Beard Grooming Kit</v>
      </c>
      <c r="J18" s="4" t="str">
        <f t="shared" si="2"/>
        <v>Beauty</v>
      </c>
      <c r="K18" s="4" t="str">
        <f t="shared" si="3"/>
        <v>Valid</v>
      </c>
    </row>
    <row r="19" ht="14.25" customHeight="1">
      <c r="A19" s="4" t="s">
        <v>1632</v>
      </c>
      <c r="B19" s="4" t="s">
        <v>1633</v>
      </c>
      <c r="C19" s="4" t="s">
        <v>1603</v>
      </c>
      <c r="D19" s="4" t="s">
        <v>1585</v>
      </c>
      <c r="E19" s="4" t="s">
        <v>1634</v>
      </c>
      <c r="F19" s="4">
        <v>144.53</v>
      </c>
      <c r="G19" s="7">
        <v>367.0</v>
      </c>
      <c r="I19" s="4" t="str">
        <f t="shared" si="1"/>
        <v>Soccer Training Cone Set</v>
      </c>
      <c r="J19" s="4" t="str">
        <f t="shared" si="2"/>
        <v>Sports</v>
      </c>
      <c r="K19" s="4" t="str">
        <f t="shared" si="3"/>
        <v>Valid</v>
      </c>
    </row>
    <row r="20" ht="14.25" customHeight="1">
      <c r="A20" s="4" t="s">
        <v>1635</v>
      </c>
      <c r="B20" s="4" t="s">
        <v>1636</v>
      </c>
      <c r="C20" s="4" t="s">
        <v>1569</v>
      </c>
      <c r="D20" s="4" t="s">
        <v>1581</v>
      </c>
      <c r="E20" s="4" t="s">
        <v>1637</v>
      </c>
      <c r="G20" s="7">
        <v>343.0</v>
      </c>
      <c r="I20" s="4" t="str">
        <f t="shared" si="1"/>
        <v>Women'S Denim Jeans</v>
      </c>
      <c r="J20" s="4" t="str">
        <f t="shared" si="2"/>
        <v>Clothing</v>
      </c>
      <c r="K20" s="4" t="str">
        <f t="shared" si="3"/>
        <v>Error</v>
      </c>
    </row>
    <row r="21" ht="14.25" customHeight="1">
      <c r="A21" s="4" t="s">
        <v>1638</v>
      </c>
      <c r="B21" s="4" t="s">
        <v>1639</v>
      </c>
      <c r="C21" s="4" t="s">
        <v>1603</v>
      </c>
      <c r="D21" s="4" t="s">
        <v>1640</v>
      </c>
      <c r="E21" s="4" t="s">
        <v>1641</v>
      </c>
      <c r="F21" s="4">
        <v>21.34</v>
      </c>
      <c r="G21" s="7">
        <v>65.0</v>
      </c>
      <c r="I21" s="4" t="str">
        <f t="shared" si="1"/>
        <v>Knee Support Brace</v>
      </c>
      <c r="J21" s="4" t="str">
        <f t="shared" si="2"/>
        <v>Sports</v>
      </c>
      <c r="K21" s="4" t="str">
        <f t="shared" si="3"/>
        <v>Valid</v>
      </c>
    </row>
    <row r="22" ht="14.25" customHeight="1">
      <c r="A22" s="4" t="s">
        <v>1642</v>
      </c>
      <c r="B22" s="4" t="s">
        <v>1643</v>
      </c>
      <c r="C22" s="4" t="s">
        <v>1603</v>
      </c>
      <c r="D22" s="4" t="s">
        <v>1585</v>
      </c>
      <c r="E22" s="4" t="s">
        <v>1644</v>
      </c>
      <c r="F22" s="4">
        <v>131.51</v>
      </c>
      <c r="G22" s="7"/>
      <c r="I22" s="4" t="str">
        <f t="shared" si="1"/>
        <v>Outdoor Sports Water Bottle</v>
      </c>
      <c r="J22" s="4" t="str">
        <f t="shared" si="2"/>
        <v>Sports</v>
      </c>
      <c r="K22" s="4" t="str">
        <f t="shared" si="3"/>
        <v>Valid</v>
      </c>
    </row>
    <row r="23" ht="14.25" customHeight="1">
      <c r="A23" s="4" t="s">
        <v>1645</v>
      </c>
      <c r="B23" s="4" t="s">
        <v>1646</v>
      </c>
      <c r="C23" s="4" t="s">
        <v>1594</v>
      </c>
      <c r="D23" s="4" t="s">
        <v>1647</v>
      </c>
      <c r="E23" s="4" t="s">
        <v>1648</v>
      </c>
      <c r="F23" s="4">
        <v>123.46</v>
      </c>
      <c r="G23" s="7">
        <v>76.0</v>
      </c>
      <c r="I23" s="4" t="str">
        <f t="shared" si="1"/>
        <v>Multi-Purpose Storage Box</v>
      </c>
      <c r="J23" s="4" t="str">
        <f t="shared" si="2"/>
        <v>Home</v>
      </c>
      <c r="K23" s="4" t="str">
        <f t="shared" si="3"/>
        <v>Valid</v>
      </c>
    </row>
    <row r="24" ht="14.25" customHeight="1">
      <c r="A24" s="4" t="s">
        <v>1649</v>
      </c>
      <c r="B24" s="4" t="s">
        <v>1650</v>
      </c>
      <c r="C24" s="4" t="s">
        <v>1603</v>
      </c>
      <c r="D24" s="4" t="s">
        <v>1640</v>
      </c>
      <c r="E24" s="4" t="s">
        <v>1651</v>
      </c>
      <c r="F24" s="4">
        <v>484.62</v>
      </c>
      <c r="G24" s="7">
        <v>432.0</v>
      </c>
      <c r="I24" s="4" t="str">
        <f t="shared" si="1"/>
        <v>Carbon Fiber Tennis Racket</v>
      </c>
      <c r="J24" s="4" t="str">
        <f t="shared" si="2"/>
        <v>Sports</v>
      </c>
      <c r="K24" s="4" t="str">
        <f t="shared" si="3"/>
        <v>Valid</v>
      </c>
    </row>
    <row r="25" ht="14.25" customHeight="1">
      <c r="A25" s="4" t="s">
        <v>1652</v>
      </c>
      <c r="B25" s="4" t="s">
        <v>1653</v>
      </c>
      <c r="C25" s="4" t="s">
        <v>1569</v>
      </c>
      <c r="D25" s="4" t="s">
        <v>1570</v>
      </c>
      <c r="E25" s="4" t="s">
        <v>1654</v>
      </c>
      <c r="G25" s="7">
        <v>360.0</v>
      </c>
      <c r="I25" s="4" t="str">
        <f t="shared" si="1"/>
        <v>Men'S Formal Shirt</v>
      </c>
      <c r="J25" s="4" t="str">
        <f t="shared" si="2"/>
        <v>Clothing</v>
      </c>
      <c r="K25" s="4" t="str">
        <f t="shared" si="3"/>
        <v>Error</v>
      </c>
    </row>
    <row r="26" ht="14.25" customHeight="1">
      <c r="A26" s="4" t="s">
        <v>1655</v>
      </c>
      <c r="B26" s="4" t="s">
        <v>1656</v>
      </c>
      <c r="C26" s="4" t="s">
        <v>1603</v>
      </c>
      <c r="D26" s="4" t="s">
        <v>1657</v>
      </c>
      <c r="E26" s="4" t="s">
        <v>1658</v>
      </c>
      <c r="F26" s="4">
        <v>166.06</v>
      </c>
      <c r="G26" s="7">
        <v>340.0</v>
      </c>
      <c r="I26" s="4" t="str">
        <f t="shared" si="1"/>
        <v>Foldable Camping Chair</v>
      </c>
      <c r="J26" s="4" t="str">
        <f t="shared" si="2"/>
        <v>Sports</v>
      </c>
      <c r="K26" s="4" t="str">
        <f t="shared" si="3"/>
        <v>Valid</v>
      </c>
    </row>
    <row r="27" ht="14.25" customHeight="1">
      <c r="A27" s="4" t="s">
        <v>1659</v>
      </c>
      <c r="B27" s="4" t="s">
        <v>1660</v>
      </c>
      <c r="C27" s="4" t="s">
        <v>1569</v>
      </c>
      <c r="D27" s="4" t="s">
        <v>1585</v>
      </c>
      <c r="E27" s="4" t="s">
        <v>1661</v>
      </c>
      <c r="F27" s="4">
        <v>174.02</v>
      </c>
      <c r="G27" s="7">
        <v>268.0</v>
      </c>
      <c r="I27" s="4" t="str">
        <f t="shared" si="1"/>
        <v>Women'S Scarf Set</v>
      </c>
      <c r="J27" s="4" t="str">
        <f t="shared" si="2"/>
        <v>Clothing</v>
      </c>
      <c r="K27" s="4" t="str">
        <f t="shared" si="3"/>
        <v>Valid</v>
      </c>
    </row>
    <row r="28" ht="14.25" customHeight="1">
      <c r="A28" s="4" t="s">
        <v>1662</v>
      </c>
      <c r="B28" s="4" t="s">
        <v>1663</v>
      </c>
      <c r="C28" s="4" t="s">
        <v>1564</v>
      </c>
      <c r="D28" s="4" t="s">
        <v>1599</v>
      </c>
      <c r="E28" s="4" t="s">
        <v>1664</v>
      </c>
      <c r="F28" s="4">
        <v>322.41</v>
      </c>
      <c r="G28" s="7">
        <v>213.0</v>
      </c>
      <c r="I28" s="4" t="str">
        <f t="shared" si="1"/>
        <v>Wireless Bluetooth Speaker</v>
      </c>
      <c r="J28" s="4" t="str">
        <f t="shared" si="2"/>
        <v>Electronics</v>
      </c>
      <c r="K28" s="4" t="str">
        <f t="shared" si="3"/>
        <v>Valid</v>
      </c>
    </row>
    <row r="29" ht="14.25" customHeight="1">
      <c r="A29" s="4" t="s">
        <v>1665</v>
      </c>
      <c r="B29" s="4" t="s">
        <v>1666</v>
      </c>
      <c r="C29" s="4" t="s">
        <v>1594</v>
      </c>
      <c r="D29" s="4" t="s">
        <v>1622</v>
      </c>
      <c r="E29" s="4" t="s">
        <v>1667</v>
      </c>
      <c r="G29" s="7">
        <v>378.0</v>
      </c>
      <c r="I29" s="4" t="str">
        <f t="shared" si="1"/>
        <v>Decorative Floor Vase</v>
      </c>
      <c r="J29" s="4" t="str">
        <f t="shared" si="2"/>
        <v>Home</v>
      </c>
      <c r="K29" s="4" t="str">
        <f t="shared" si="3"/>
        <v>Error</v>
      </c>
    </row>
    <row r="30" ht="14.25" customHeight="1">
      <c r="A30" s="4" t="s">
        <v>1668</v>
      </c>
      <c r="B30" s="4" t="s">
        <v>1669</v>
      </c>
      <c r="C30" s="4" t="s">
        <v>1603</v>
      </c>
      <c r="D30" s="4" t="s">
        <v>1585</v>
      </c>
      <c r="E30" s="4" t="s">
        <v>1670</v>
      </c>
      <c r="F30" s="4">
        <v>38.76</v>
      </c>
      <c r="G30" s="7">
        <v>137.0</v>
      </c>
      <c r="I30" s="4" t="str">
        <f t="shared" si="1"/>
        <v>Sports Stopwatch Timer</v>
      </c>
      <c r="J30" s="4" t="str">
        <f t="shared" si="2"/>
        <v>Sports</v>
      </c>
      <c r="K30" s="4" t="str">
        <f t="shared" si="3"/>
        <v>Valid</v>
      </c>
    </row>
    <row r="31" ht="14.25" customHeight="1">
      <c r="A31" s="4" t="s">
        <v>1671</v>
      </c>
      <c r="B31" s="4" t="s">
        <v>1672</v>
      </c>
      <c r="C31" s="4" t="s">
        <v>1594</v>
      </c>
      <c r="D31" s="4" t="s">
        <v>1622</v>
      </c>
      <c r="E31" s="4" t="s">
        <v>1673</v>
      </c>
      <c r="F31" s="4">
        <v>218.48</v>
      </c>
      <c r="G31" s="7">
        <v>276.0</v>
      </c>
      <c r="I31" s="4" t="str">
        <f t="shared" si="1"/>
        <v>Fabric Sofa Throw Blanket</v>
      </c>
      <c r="J31" s="4" t="str">
        <f t="shared" si="2"/>
        <v>Home</v>
      </c>
      <c r="K31" s="4" t="str">
        <f t="shared" si="3"/>
        <v>Valid</v>
      </c>
    </row>
    <row r="32" ht="14.25" customHeight="1">
      <c r="A32" s="4" t="s">
        <v>1674</v>
      </c>
      <c r="B32" s="4" t="s">
        <v>1675</v>
      </c>
      <c r="C32" s="4" t="s">
        <v>1594</v>
      </c>
      <c r="D32" s="4" t="s">
        <v>1608</v>
      </c>
      <c r="E32" s="4" t="s">
        <v>1676</v>
      </c>
      <c r="F32" s="4">
        <v>19.52</v>
      </c>
      <c r="G32" s="7">
        <v>57.0</v>
      </c>
      <c r="I32" s="4" t="str">
        <f t="shared" si="1"/>
        <v>Stainless Steel Cutlery Set</v>
      </c>
      <c r="J32" s="4" t="str">
        <f t="shared" si="2"/>
        <v>Home</v>
      </c>
      <c r="K32" s="4" t="str">
        <f t="shared" si="3"/>
        <v>Valid</v>
      </c>
    </row>
    <row r="33" ht="14.25" customHeight="1">
      <c r="A33" s="4" t="s">
        <v>1677</v>
      </c>
      <c r="B33" s="4" t="s">
        <v>1678</v>
      </c>
      <c r="C33" s="4" t="s">
        <v>1603</v>
      </c>
      <c r="D33" s="4" t="s">
        <v>1679</v>
      </c>
      <c r="E33" s="4" t="s">
        <v>1680</v>
      </c>
      <c r="F33" s="4">
        <v>204.39</v>
      </c>
      <c r="G33" s="7">
        <v>281.0</v>
      </c>
      <c r="I33" s="4" t="str">
        <f t="shared" si="1"/>
        <v>Basketball</v>
      </c>
      <c r="J33" s="4" t="str">
        <f t="shared" si="2"/>
        <v>Sports</v>
      </c>
      <c r="K33" s="4" t="str">
        <f t="shared" si="3"/>
        <v>Valid</v>
      </c>
    </row>
    <row r="34" ht="14.25" customHeight="1">
      <c r="A34" s="4" t="s">
        <v>1681</v>
      </c>
      <c r="B34" s="4" t="s">
        <v>1682</v>
      </c>
      <c r="C34" s="4" t="s">
        <v>1589</v>
      </c>
      <c r="D34" s="4" t="s">
        <v>1590</v>
      </c>
      <c r="E34" s="4" t="s">
        <v>1683</v>
      </c>
      <c r="F34" s="4">
        <v>283.83</v>
      </c>
      <c r="G34" s="7">
        <v>244.0</v>
      </c>
      <c r="I34" s="4" t="str">
        <f t="shared" si="1"/>
        <v>Vitamin C Face Serum</v>
      </c>
      <c r="J34" s="4" t="str">
        <f t="shared" si="2"/>
        <v>Beauty</v>
      </c>
      <c r="K34" s="4" t="str">
        <f t="shared" si="3"/>
        <v>Valid</v>
      </c>
    </row>
    <row r="35" ht="14.25" customHeight="1">
      <c r="A35" s="4" t="s">
        <v>1684</v>
      </c>
      <c r="B35" s="4" t="s">
        <v>1685</v>
      </c>
      <c r="C35" s="4" t="s">
        <v>1594</v>
      </c>
      <c r="D35" s="4" t="s">
        <v>1622</v>
      </c>
      <c r="E35" s="4" t="s">
        <v>1686</v>
      </c>
      <c r="F35" s="4">
        <v>179.77</v>
      </c>
      <c r="G35" s="7">
        <v>305.0</v>
      </c>
      <c r="I35" s="4" t="str">
        <f t="shared" si="1"/>
        <v>Modern Wall Clock</v>
      </c>
      <c r="J35" s="4" t="str">
        <f t="shared" si="2"/>
        <v>Home</v>
      </c>
      <c r="K35" s="4" t="str">
        <f t="shared" si="3"/>
        <v>Valid</v>
      </c>
    </row>
    <row r="36" ht="14.25" customHeight="1">
      <c r="A36" s="4" t="s">
        <v>1687</v>
      </c>
      <c r="B36" s="4" t="s">
        <v>1688</v>
      </c>
      <c r="C36" s="4" t="s">
        <v>1564</v>
      </c>
      <c r="D36" s="4" t="s">
        <v>1565</v>
      </c>
      <c r="E36" s="4" t="s">
        <v>1689</v>
      </c>
      <c r="F36" s="4">
        <v>419.28</v>
      </c>
      <c r="G36" s="7">
        <v>86.0</v>
      </c>
      <c r="I36" s="4" t="str">
        <f t="shared" si="1"/>
        <v>Gaming Mechanical Keyboard</v>
      </c>
      <c r="J36" s="4" t="str">
        <f t="shared" si="2"/>
        <v>Electronics</v>
      </c>
      <c r="K36" s="4" t="str">
        <f t="shared" si="3"/>
        <v>Valid</v>
      </c>
    </row>
    <row r="37" ht="14.25" customHeight="1">
      <c r="A37" s="4" t="s">
        <v>1690</v>
      </c>
      <c r="B37" s="4" t="s">
        <v>1691</v>
      </c>
      <c r="C37" s="4" t="s">
        <v>1594</v>
      </c>
      <c r="D37" s="4" t="s">
        <v>1595</v>
      </c>
      <c r="E37" s="4" t="s">
        <v>1692</v>
      </c>
      <c r="F37" s="4">
        <v>382.22</v>
      </c>
      <c r="G37" s="7">
        <v>329.0</v>
      </c>
      <c r="I37" s="4" t="str">
        <f t="shared" si="1"/>
        <v>Bedroom Table Lamp</v>
      </c>
      <c r="J37" s="4" t="str">
        <f t="shared" si="2"/>
        <v>Home</v>
      </c>
      <c r="K37" s="4" t="str">
        <f t="shared" si="3"/>
        <v>Valid</v>
      </c>
    </row>
    <row r="38" ht="14.25" customHeight="1">
      <c r="A38" s="4" t="s">
        <v>1693</v>
      </c>
      <c r="B38" s="4" t="s">
        <v>1694</v>
      </c>
      <c r="C38" s="4" t="s">
        <v>1569</v>
      </c>
      <c r="D38" s="4" t="s">
        <v>1570</v>
      </c>
      <c r="E38" s="4" t="s">
        <v>1695</v>
      </c>
      <c r="F38" s="4">
        <v>223.43</v>
      </c>
      <c r="G38" s="7">
        <v>154.0</v>
      </c>
      <c r="I38" s="4" t="str">
        <f t="shared" si="1"/>
        <v>Women'S Summer Dress</v>
      </c>
      <c r="J38" s="4" t="str">
        <f t="shared" si="2"/>
        <v>Clothing</v>
      </c>
      <c r="K38" s="4" t="str">
        <f t="shared" si="3"/>
        <v>Valid</v>
      </c>
    </row>
    <row r="39" ht="14.25" customHeight="1">
      <c r="A39" s="4" t="s">
        <v>1696</v>
      </c>
      <c r="B39" s="4" t="s">
        <v>1697</v>
      </c>
      <c r="C39" s="4" t="s">
        <v>1569</v>
      </c>
      <c r="D39" s="4" t="s">
        <v>1698</v>
      </c>
      <c r="E39" s="4" t="s">
        <v>1699</v>
      </c>
      <c r="F39" s="4">
        <v>353.47</v>
      </c>
      <c r="G39" s="7">
        <v>214.0</v>
      </c>
      <c r="I39" s="4" t="str">
        <f t="shared" si="1"/>
        <v>Men'S Casual Sneakers</v>
      </c>
      <c r="J39" s="4" t="str">
        <f t="shared" si="2"/>
        <v>Clothing</v>
      </c>
      <c r="K39" s="4" t="str">
        <f t="shared" si="3"/>
        <v>Valid</v>
      </c>
    </row>
    <row r="40" ht="14.25" customHeight="1">
      <c r="A40" s="4" t="s">
        <v>1700</v>
      </c>
      <c r="B40" s="4" t="s">
        <v>1701</v>
      </c>
      <c r="C40" s="4" t="s">
        <v>1603</v>
      </c>
      <c r="D40" s="4" t="s">
        <v>1657</v>
      </c>
      <c r="E40" s="4" t="s">
        <v>1702</v>
      </c>
      <c r="F40" s="4">
        <v>135.61</v>
      </c>
      <c r="G40" s="7">
        <v>394.0</v>
      </c>
      <c r="I40" s="4" t="str">
        <f t="shared" si="1"/>
        <v>Sports Water Hydration Pack</v>
      </c>
      <c r="J40" s="4" t="str">
        <f t="shared" si="2"/>
        <v>Sports</v>
      </c>
      <c r="K40" s="4" t="str">
        <f t="shared" si="3"/>
        <v>Valid</v>
      </c>
    </row>
    <row r="41" ht="14.25" customHeight="1">
      <c r="A41" s="4" t="s">
        <v>1703</v>
      </c>
      <c r="B41" s="4" t="s">
        <v>1704</v>
      </c>
      <c r="C41" s="4" t="s">
        <v>1564</v>
      </c>
      <c r="D41" s="4" t="s">
        <v>1705</v>
      </c>
      <c r="E41" s="4" t="s">
        <v>1706</v>
      </c>
      <c r="F41" s="4">
        <v>326.06</v>
      </c>
      <c r="G41" s="7">
        <v>301.0</v>
      </c>
      <c r="I41" s="4" t="str">
        <f t="shared" si="1"/>
        <v>Portable Power Bank</v>
      </c>
      <c r="J41" s="4" t="str">
        <f t="shared" si="2"/>
        <v>Electronics</v>
      </c>
      <c r="K41" s="4" t="str">
        <f t="shared" si="3"/>
        <v>Valid</v>
      </c>
    </row>
    <row r="42" ht="14.25" customHeight="1">
      <c r="A42" s="4" t="s">
        <v>1707</v>
      </c>
      <c r="B42" s="4" t="s">
        <v>1708</v>
      </c>
      <c r="C42" s="4" t="s">
        <v>1564</v>
      </c>
      <c r="D42" s="4" t="s">
        <v>1599</v>
      </c>
      <c r="E42" s="4" t="s">
        <v>1709</v>
      </c>
      <c r="F42" s="4">
        <v>38.52</v>
      </c>
      <c r="G42" s="7">
        <v>378.0</v>
      </c>
      <c r="I42" s="4" t="str">
        <f t="shared" si="1"/>
        <v>Noise-Canceling Headphones</v>
      </c>
      <c r="J42" s="4" t="str">
        <f t="shared" si="2"/>
        <v>Electronics</v>
      </c>
      <c r="K42" s="4" t="str">
        <f t="shared" si="3"/>
        <v>Valid</v>
      </c>
    </row>
    <row r="43" ht="14.25" customHeight="1">
      <c r="A43" s="4" t="s">
        <v>1710</v>
      </c>
      <c r="B43" s="4" t="s">
        <v>1711</v>
      </c>
      <c r="C43" s="4" t="s">
        <v>1603</v>
      </c>
      <c r="D43" s="4" t="s">
        <v>1604</v>
      </c>
      <c r="E43" s="4" t="s">
        <v>1712</v>
      </c>
      <c r="F43" s="4">
        <v>313.26</v>
      </c>
      <c r="G43" s="7">
        <v>369.0</v>
      </c>
      <c r="I43" s="4" t="str">
        <f t="shared" si="1"/>
        <v>Yoga Exercise Mat</v>
      </c>
      <c r="J43" s="4" t="str">
        <f t="shared" si="2"/>
        <v>Sports</v>
      </c>
      <c r="K43" s="4" t="str">
        <f t="shared" si="3"/>
        <v>Valid</v>
      </c>
    </row>
    <row r="44" ht="14.25" customHeight="1">
      <c r="A44" s="4" t="s">
        <v>1713</v>
      </c>
      <c r="B44" s="4" t="s">
        <v>1714</v>
      </c>
      <c r="C44" s="4" t="s">
        <v>1564</v>
      </c>
      <c r="D44" s="4" t="s">
        <v>1585</v>
      </c>
      <c r="E44" s="4" t="s">
        <v>1715</v>
      </c>
      <c r="F44" s="4">
        <v>450.71</v>
      </c>
      <c r="G44" s="7">
        <v>389.0</v>
      </c>
      <c r="I44" s="4" t="str">
        <f t="shared" si="1"/>
        <v>Smart Home Wifi Camera</v>
      </c>
      <c r="J44" s="4" t="str">
        <f t="shared" si="2"/>
        <v>Electronics</v>
      </c>
      <c r="K44" s="4" t="str">
        <f t="shared" si="3"/>
        <v>Valid</v>
      </c>
    </row>
    <row r="45" ht="14.25" customHeight="1">
      <c r="A45" s="4" t="s">
        <v>1716</v>
      </c>
      <c r="B45" s="4" t="s">
        <v>1717</v>
      </c>
      <c r="C45" s="4" t="s">
        <v>1564</v>
      </c>
      <c r="D45" s="4" t="s">
        <v>1565</v>
      </c>
      <c r="E45" s="4" t="s">
        <v>1718</v>
      </c>
      <c r="F45" s="4">
        <v>253.33</v>
      </c>
      <c r="G45" s="7">
        <v>266.0</v>
      </c>
      <c r="I45" s="4" t="str">
        <f t="shared" si="1"/>
        <v>Usb External Hard Drive</v>
      </c>
      <c r="J45" s="4" t="str">
        <f t="shared" si="2"/>
        <v>Electronics</v>
      </c>
      <c r="K45" s="4" t="str">
        <f t="shared" si="3"/>
        <v>Valid</v>
      </c>
    </row>
    <row r="46" ht="14.25" customHeight="1">
      <c r="A46" s="4" t="s">
        <v>1719</v>
      </c>
      <c r="B46" s="4" t="s">
        <v>1720</v>
      </c>
      <c r="C46" s="4" t="s">
        <v>1603</v>
      </c>
      <c r="D46" s="4" t="s">
        <v>1604</v>
      </c>
      <c r="E46" s="4" t="s">
        <v>1721</v>
      </c>
      <c r="F46" s="4">
        <v>167.12</v>
      </c>
      <c r="G46" s="7">
        <v>316.0</v>
      </c>
      <c r="I46" s="4" t="str">
        <f t="shared" si="1"/>
        <v>Adjustable Jump Rope</v>
      </c>
      <c r="J46" s="4" t="str">
        <f t="shared" si="2"/>
        <v>Sports</v>
      </c>
      <c r="K46" s="4" t="str">
        <f t="shared" si="3"/>
        <v>Valid</v>
      </c>
    </row>
    <row r="47" ht="14.25" customHeight="1">
      <c r="A47" s="4" t="s">
        <v>1722</v>
      </c>
      <c r="B47" s="4" t="s">
        <v>1723</v>
      </c>
      <c r="C47" s="4" t="s">
        <v>1603</v>
      </c>
      <c r="D47" s="4" t="s">
        <v>1679</v>
      </c>
      <c r="E47" s="4" t="s">
        <v>1724</v>
      </c>
      <c r="F47" s="4">
        <v>318.91</v>
      </c>
      <c r="G47" s="7">
        <v>114.0</v>
      </c>
      <c r="I47" s="4" t="str">
        <f t="shared" si="1"/>
        <v>High-Grip Football</v>
      </c>
      <c r="J47" s="4" t="str">
        <f t="shared" si="2"/>
        <v>Sports</v>
      </c>
      <c r="K47" s="4" t="str">
        <f t="shared" si="3"/>
        <v>Valid</v>
      </c>
    </row>
    <row r="48" ht="14.25" customHeight="1">
      <c r="A48" s="4" t="s">
        <v>1725</v>
      </c>
      <c r="B48" s="4" t="s">
        <v>1726</v>
      </c>
      <c r="C48" s="4" t="s">
        <v>1569</v>
      </c>
      <c r="D48" s="4" t="s">
        <v>1574</v>
      </c>
      <c r="E48" s="4" t="s">
        <v>1727</v>
      </c>
      <c r="F48" s="4">
        <v>167.34</v>
      </c>
      <c r="G48" s="7">
        <v>296.0</v>
      </c>
      <c r="I48" s="4" t="str">
        <f t="shared" si="1"/>
        <v>Men'S Winter Jacket</v>
      </c>
      <c r="J48" s="4" t="str">
        <f t="shared" si="2"/>
        <v>Clothing</v>
      </c>
      <c r="K48" s="4" t="str">
        <f t="shared" si="3"/>
        <v>Valid</v>
      </c>
    </row>
    <row r="49" ht="14.25" customHeight="1">
      <c r="A49" s="4" t="s">
        <v>1728</v>
      </c>
      <c r="B49" s="4" t="s">
        <v>1729</v>
      </c>
      <c r="C49" s="4" t="s">
        <v>1589</v>
      </c>
      <c r="D49" s="4" t="s">
        <v>1730</v>
      </c>
      <c r="E49" s="4" t="s">
        <v>1731</v>
      </c>
      <c r="G49" s="7">
        <v>431.0</v>
      </c>
      <c r="I49" s="4" t="str">
        <f t="shared" si="1"/>
        <v>Makeup Brush Set</v>
      </c>
      <c r="J49" s="4" t="str">
        <f t="shared" si="2"/>
        <v>Beauty</v>
      </c>
      <c r="K49" s="4" t="str">
        <f t="shared" si="3"/>
        <v>Error</v>
      </c>
    </row>
    <row r="50" ht="14.25" customHeight="1">
      <c r="A50" s="4" t="s">
        <v>1732</v>
      </c>
      <c r="B50" s="4" t="s">
        <v>1733</v>
      </c>
      <c r="C50" s="4" t="s">
        <v>1564</v>
      </c>
      <c r="D50" s="4" t="s">
        <v>1585</v>
      </c>
      <c r="E50" s="4" t="s">
        <v>1734</v>
      </c>
      <c r="F50" s="4">
        <v>177.98</v>
      </c>
      <c r="G50" s="7">
        <v>103.0</v>
      </c>
      <c r="I50" s="4" t="str">
        <f t="shared" si="1"/>
        <v>Car Dashboard Phone Holder</v>
      </c>
      <c r="J50" s="4" t="str">
        <f t="shared" si="2"/>
        <v>Electronics</v>
      </c>
      <c r="K50" s="4" t="str">
        <f t="shared" si="3"/>
        <v>Valid</v>
      </c>
    </row>
    <row r="51" ht="14.25" customHeight="1">
      <c r="A51" s="4" t="s">
        <v>1735</v>
      </c>
      <c r="B51" s="4" t="s">
        <v>1736</v>
      </c>
      <c r="C51" s="4" t="s">
        <v>1589</v>
      </c>
      <c r="D51" s="4" t="s">
        <v>1737</v>
      </c>
      <c r="E51" s="4" t="s">
        <v>1738</v>
      </c>
      <c r="F51" s="4">
        <v>43.29</v>
      </c>
      <c r="G51" s="7">
        <v>267.0</v>
      </c>
      <c r="I51" s="4" t="str">
        <f t="shared" si="1"/>
        <v>Men'S Roll-On Perfume</v>
      </c>
      <c r="J51" s="4" t="str">
        <f t="shared" si="2"/>
        <v>Beauty</v>
      </c>
      <c r="K51" s="4" t="str">
        <f t="shared" si="3"/>
        <v>Valid</v>
      </c>
    </row>
    <row r="52" ht="14.25" customHeight="1">
      <c r="A52" s="4" t="s">
        <v>1739</v>
      </c>
      <c r="B52" s="4" t="s">
        <v>1740</v>
      </c>
      <c r="C52" s="4" t="s">
        <v>1603</v>
      </c>
      <c r="D52" s="4" t="s">
        <v>1604</v>
      </c>
      <c r="E52" s="4" t="s">
        <v>1741</v>
      </c>
      <c r="F52" s="4">
        <v>190.29</v>
      </c>
      <c r="G52" s="7">
        <v>260.0</v>
      </c>
      <c r="I52" s="4" t="str">
        <f t="shared" si="1"/>
        <v>Boxing Hand Wraps</v>
      </c>
      <c r="J52" s="4" t="str">
        <f t="shared" si="2"/>
        <v>Sports</v>
      </c>
      <c r="K52" s="4" t="str">
        <f t="shared" si="3"/>
        <v>Valid</v>
      </c>
    </row>
    <row r="53" ht="14.25" customHeight="1">
      <c r="A53" s="4" t="s">
        <v>1742</v>
      </c>
      <c r="B53" s="4" t="s">
        <v>1743</v>
      </c>
      <c r="C53" s="4" t="s">
        <v>1564</v>
      </c>
      <c r="D53" s="4" t="s">
        <v>1585</v>
      </c>
      <c r="E53" s="4" t="s">
        <v>1744</v>
      </c>
      <c r="F53" s="4">
        <v>88.49</v>
      </c>
      <c r="G53" s="7">
        <v>246.0</v>
      </c>
      <c r="I53" s="4" t="str">
        <f t="shared" si="1"/>
        <v>Hdmi Cable – 2M</v>
      </c>
      <c r="J53" s="4" t="str">
        <f t="shared" si="2"/>
        <v>Electronics</v>
      </c>
      <c r="K53" s="4" t="str">
        <f t="shared" si="3"/>
        <v>Valid</v>
      </c>
    </row>
    <row r="54" ht="14.25" customHeight="1">
      <c r="A54" s="4" t="s">
        <v>1745</v>
      </c>
      <c r="B54" s="4" t="s">
        <v>1746</v>
      </c>
      <c r="C54" s="4" t="s">
        <v>1603</v>
      </c>
      <c r="D54" s="4" t="s">
        <v>1679</v>
      </c>
      <c r="E54" s="4" t="s">
        <v>1747</v>
      </c>
      <c r="F54" s="4">
        <v>212.26</v>
      </c>
      <c r="G54" s="7">
        <v>82.0</v>
      </c>
      <c r="I54" s="4" t="str">
        <f t="shared" si="1"/>
        <v>Rugby Ball</v>
      </c>
      <c r="J54" s="4" t="str">
        <f t="shared" si="2"/>
        <v>Sports</v>
      </c>
      <c r="K54" s="4" t="str">
        <f t="shared" si="3"/>
        <v>Valid</v>
      </c>
    </row>
    <row r="55" ht="14.25" customHeight="1">
      <c r="A55" s="4" t="s">
        <v>1748</v>
      </c>
      <c r="B55" s="4" t="s">
        <v>1749</v>
      </c>
      <c r="C55" s="4" t="s">
        <v>1569</v>
      </c>
      <c r="D55" s="4" t="s">
        <v>1581</v>
      </c>
      <c r="E55" s="4" t="s">
        <v>1750</v>
      </c>
      <c r="F55" s="4">
        <v>386.56</v>
      </c>
      <c r="G55" s="7">
        <v>125.0</v>
      </c>
      <c r="I55" s="4" t="str">
        <f t="shared" si="1"/>
        <v>Men'S Track Pants</v>
      </c>
      <c r="J55" s="4" t="str">
        <f t="shared" si="2"/>
        <v>Clothing</v>
      </c>
      <c r="K55" s="4" t="str">
        <f t="shared" si="3"/>
        <v>Valid</v>
      </c>
    </row>
    <row r="56" ht="14.25" customHeight="1">
      <c r="A56" s="4" t="s">
        <v>1751</v>
      </c>
      <c r="B56" s="4" t="s">
        <v>1752</v>
      </c>
      <c r="C56" s="4" t="s">
        <v>1603</v>
      </c>
      <c r="D56" s="4" t="s">
        <v>1585</v>
      </c>
      <c r="E56" s="4" t="s">
        <v>1753</v>
      </c>
      <c r="F56" s="4">
        <v>434.84</v>
      </c>
      <c r="G56" s="7">
        <v>185.0</v>
      </c>
      <c r="I56" s="4" t="str">
        <f t="shared" si="1"/>
        <v>Sports Stopwatch Pro</v>
      </c>
      <c r="J56" s="4" t="str">
        <f t="shared" si="2"/>
        <v>Sports</v>
      </c>
      <c r="K56" s="4" t="str">
        <f t="shared" si="3"/>
        <v>Valid</v>
      </c>
    </row>
    <row r="57" ht="14.25" customHeight="1">
      <c r="A57" s="4" t="s">
        <v>1754</v>
      </c>
      <c r="B57" s="4" t="s">
        <v>1755</v>
      </c>
      <c r="C57" s="4" t="s">
        <v>1594</v>
      </c>
      <c r="D57" s="4" t="s">
        <v>1622</v>
      </c>
      <c r="E57" s="4" t="s">
        <v>1756</v>
      </c>
      <c r="F57" s="4">
        <v>81.75</v>
      </c>
      <c r="G57" s="7"/>
      <c r="I57" s="4" t="str">
        <f t="shared" si="1"/>
        <v>Ceramic Plant Pot</v>
      </c>
      <c r="J57" s="4" t="str">
        <f t="shared" si="2"/>
        <v>Home</v>
      </c>
      <c r="K57" s="4" t="str">
        <f t="shared" si="3"/>
        <v>Valid</v>
      </c>
    </row>
    <row r="58" ht="14.25" customHeight="1">
      <c r="A58" s="4" t="s">
        <v>1757</v>
      </c>
      <c r="B58" s="4" t="s">
        <v>1758</v>
      </c>
      <c r="C58" s="4" t="s">
        <v>1594</v>
      </c>
      <c r="D58" s="4" t="s">
        <v>1622</v>
      </c>
      <c r="E58" s="4" t="s">
        <v>1759</v>
      </c>
      <c r="F58" s="4">
        <v>461.47</v>
      </c>
      <c r="G58" s="7">
        <v>190.0</v>
      </c>
      <c r="I58" s="4" t="str">
        <f t="shared" si="1"/>
        <v>Premium Blanket Throw</v>
      </c>
      <c r="J58" s="4" t="str">
        <f t="shared" si="2"/>
        <v>Home</v>
      </c>
      <c r="K58" s="4" t="str">
        <f t="shared" si="3"/>
        <v>Valid</v>
      </c>
    </row>
    <row r="59" ht="14.25" customHeight="1">
      <c r="A59" s="4" t="s">
        <v>1760</v>
      </c>
      <c r="B59" s="4" t="s">
        <v>1761</v>
      </c>
      <c r="C59" s="4" t="s">
        <v>1603</v>
      </c>
      <c r="D59" s="4" t="s">
        <v>1604</v>
      </c>
      <c r="E59" s="4" t="s">
        <v>1762</v>
      </c>
      <c r="F59" s="4">
        <v>30.62</v>
      </c>
      <c r="G59" s="7">
        <v>138.0</v>
      </c>
      <c r="I59" s="4" t="str">
        <f t="shared" si="1"/>
        <v>Foam Roller</v>
      </c>
      <c r="J59" s="4" t="str">
        <f t="shared" si="2"/>
        <v>Sports</v>
      </c>
      <c r="K59" s="4" t="str">
        <f t="shared" si="3"/>
        <v>Valid</v>
      </c>
    </row>
    <row r="60" ht="14.25" customHeight="1">
      <c r="A60" s="4" t="s">
        <v>1763</v>
      </c>
      <c r="B60" s="4" t="s">
        <v>1764</v>
      </c>
      <c r="C60" s="4" t="s">
        <v>1569</v>
      </c>
      <c r="D60" s="4" t="s">
        <v>1585</v>
      </c>
      <c r="E60" s="4" t="s">
        <v>1765</v>
      </c>
      <c r="F60" s="4">
        <v>113.83</v>
      </c>
      <c r="G60" s="7">
        <v>485.0</v>
      </c>
      <c r="I60" s="4" t="str">
        <f t="shared" si="1"/>
        <v>Womens Cotton Scarf</v>
      </c>
      <c r="J60" s="4" t="str">
        <f t="shared" si="2"/>
        <v>Clothing</v>
      </c>
      <c r="K60" s="4" t="str">
        <f t="shared" si="3"/>
        <v>Valid</v>
      </c>
    </row>
    <row r="61" ht="14.25" customHeight="1">
      <c r="A61" s="4" t="s">
        <v>1766</v>
      </c>
      <c r="B61" s="4" t="s">
        <v>1767</v>
      </c>
      <c r="C61" s="4" t="s">
        <v>1589</v>
      </c>
      <c r="D61" s="4" t="s">
        <v>1615</v>
      </c>
      <c r="E61" s="4" t="s">
        <v>1768</v>
      </c>
      <c r="F61" s="4">
        <v>17.31</v>
      </c>
      <c r="G61" s="7">
        <v>399.0</v>
      </c>
      <c r="I61" s="4" t="str">
        <f t="shared" si="1"/>
        <v>Men'S Hair Styling Gel</v>
      </c>
      <c r="J61" s="4" t="str">
        <f t="shared" si="2"/>
        <v>Beauty</v>
      </c>
      <c r="K61" s="4" t="str">
        <f t="shared" si="3"/>
        <v>Valid</v>
      </c>
    </row>
    <row r="62" ht="14.25" customHeight="1">
      <c r="A62" s="4" t="s">
        <v>1769</v>
      </c>
      <c r="B62" s="4" t="s">
        <v>1770</v>
      </c>
      <c r="C62" s="4" t="s">
        <v>1589</v>
      </c>
      <c r="D62" s="4" t="s">
        <v>1737</v>
      </c>
      <c r="E62" s="4" t="s">
        <v>1771</v>
      </c>
      <c r="F62" s="4">
        <v>482.75</v>
      </c>
      <c r="G62" s="7">
        <v>444.0</v>
      </c>
      <c r="I62" s="4" t="str">
        <f t="shared" si="1"/>
        <v>Luxury Perfume Spray</v>
      </c>
      <c r="J62" s="4" t="str">
        <f t="shared" si="2"/>
        <v>Beauty</v>
      </c>
      <c r="K62" s="4" t="str">
        <f t="shared" si="3"/>
        <v>Valid</v>
      </c>
    </row>
    <row r="63" ht="14.25" customHeight="1">
      <c r="A63" s="4" t="s">
        <v>1772</v>
      </c>
      <c r="B63" s="4" t="s">
        <v>1773</v>
      </c>
      <c r="C63" s="4" t="s">
        <v>1603</v>
      </c>
      <c r="D63" s="4" t="s">
        <v>1640</v>
      </c>
      <c r="E63" s="4" t="s">
        <v>1774</v>
      </c>
      <c r="F63" s="4">
        <v>103.45</v>
      </c>
      <c r="G63" s="7">
        <v>465.0</v>
      </c>
      <c r="I63" s="4" t="str">
        <f t="shared" si="1"/>
        <v>Tennis Ball 3-Pack</v>
      </c>
      <c r="J63" s="4" t="str">
        <f t="shared" si="2"/>
        <v>Sports</v>
      </c>
      <c r="K63" s="4" t="str">
        <f t="shared" si="3"/>
        <v>Valid</v>
      </c>
    </row>
    <row r="64" ht="14.25" customHeight="1">
      <c r="A64" s="4" t="s">
        <v>1775</v>
      </c>
      <c r="B64" s="4" t="s">
        <v>1776</v>
      </c>
      <c r="C64" s="4" t="s">
        <v>1564</v>
      </c>
      <c r="D64" s="4" t="s">
        <v>1565</v>
      </c>
      <c r="E64" s="4" t="s">
        <v>1777</v>
      </c>
      <c r="F64" s="4">
        <v>86.42</v>
      </c>
      <c r="G64" s="7">
        <v>222.0</v>
      </c>
      <c r="I64" s="4" t="str">
        <f t="shared" si="1"/>
        <v>Laptop Cooling Pad</v>
      </c>
      <c r="J64" s="4" t="str">
        <f t="shared" si="2"/>
        <v>Electronics</v>
      </c>
      <c r="K64" s="4" t="str">
        <f t="shared" si="3"/>
        <v>Valid</v>
      </c>
    </row>
    <row r="65" ht="14.25" customHeight="1">
      <c r="A65" s="4" t="s">
        <v>1778</v>
      </c>
      <c r="B65" s="4" t="s">
        <v>1779</v>
      </c>
      <c r="C65" s="4" t="s">
        <v>1589</v>
      </c>
      <c r="D65" s="4" t="s">
        <v>1590</v>
      </c>
      <c r="E65" s="4" t="s">
        <v>1780</v>
      </c>
      <c r="F65" s="4">
        <v>266.86</v>
      </c>
      <c r="G65" s="7">
        <v>458.0</v>
      </c>
      <c r="I65" s="4" t="str">
        <f t="shared" si="1"/>
        <v>Organic Sunscreen Lotion</v>
      </c>
      <c r="J65" s="4" t="str">
        <f t="shared" si="2"/>
        <v>Beauty</v>
      </c>
      <c r="K65" s="4" t="str">
        <f t="shared" si="3"/>
        <v>Valid</v>
      </c>
    </row>
    <row r="66" ht="14.25" customHeight="1">
      <c r="A66" s="4" t="s">
        <v>1781</v>
      </c>
      <c r="B66" s="4" t="s">
        <v>1782</v>
      </c>
      <c r="C66" s="4" t="s">
        <v>1589</v>
      </c>
      <c r="D66" s="4" t="s">
        <v>1730</v>
      </c>
      <c r="E66" s="4" t="s">
        <v>1783</v>
      </c>
      <c r="F66" s="4">
        <v>299.11</v>
      </c>
      <c r="G66" s="7">
        <v>118.0</v>
      </c>
      <c r="I66" s="4" t="str">
        <f t="shared" si="1"/>
        <v>Matte Lipstick Set</v>
      </c>
      <c r="J66" s="4" t="str">
        <f t="shared" si="2"/>
        <v>Beauty</v>
      </c>
      <c r="K66" s="4" t="str">
        <f t="shared" si="3"/>
        <v>Valid</v>
      </c>
    </row>
    <row r="67" ht="14.25" customHeight="1">
      <c r="A67" s="4" t="s">
        <v>1784</v>
      </c>
      <c r="B67" s="4" t="s">
        <v>1785</v>
      </c>
      <c r="C67" s="4" t="s">
        <v>1603</v>
      </c>
      <c r="D67" s="4" t="s">
        <v>1604</v>
      </c>
      <c r="E67" s="4" t="s">
        <v>1786</v>
      </c>
      <c r="F67" s="4">
        <v>240.63</v>
      </c>
      <c r="G67" s="7">
        <v>423.0</v>
      </c>
      <c r="I67" s="4" t="str">
        <f t="shared" si="1"/>
        <v>Adjustable Dumbbells 20Kg</v>
      </c>
      <c r="J67" s="4" t="str">
        <f t="shared" si="2"/>
        <v>Sports</v>
      </c>
      <c r="K67" s="4" t="str">
        <f t="shared" si="3"/>
        <v>Valid</v>
      </c>
    </row>
    <row r="68" ht="14.25" customHeight="1">
      <c r="A68" s="4" t="s">
        <v>1787</v>
      </c>
      <c r="B68" s="4" t="s">
        <v>1788</v>
      </c>
      <c r="C68" s="4" t="s">
        <v>1589</v>
      </c>
      <c r="D68" s="4" t="s">
        <v>1615</v>
      </c>
      <c r="E68" s="4" t="s">
        <v>1789</v>
      </c>
      <c r="F68" s="4">
        <v>340.39</v>
      </c>
      <c r="G68" s="7">
        <v>177.0</v>
      </c>
      <c r="I68" s="4" t="str">
        <f t="shared" si="1"/>
        <v>Women'S Hair Dryer Brush</v>
      </c>
      <c r="J68" s="4" t="str">
        <f t="shared" si="2"/>
        <v>Beauty</v>
      </c>
      <c r="K68" s="4" t="str">
        <f t="shared" si="3"/>
        <v>Valid</v>
      </c>
    </row>
    <row r="69" ht="14.25" customHeight="1">
      <c r="A69" s="4" t="s">
        <v>1790</v>
      </c>
      <c r="B69" s="4" t="s">
        <v>1791</v>
      </c>
      <c r="C69" s="4" t="s">
        <v>1564</v>
      </c>
      <c r="D69" s="4" t="s">
        <v>1585</v>
      </c>
      <c r="E69" s="4" t="s">
        <v>1792</v>
      </c>
      <c r="F69" s="4">
        <v>349.17</v>
      </c>
      <c r="G69" s="7">
        <v>476.0</v>
      </c>
      <c r="I69" s="4" t="str">
        <f t="shared" si="1"/>
        <v>Smart Led Light Strip</v>
      </c>
      <c r="J69" s="4" t="str">
        <f t="shared" si="2"/>
        <v>Electronics</v>
      </c>
      <c r="K69" s="4" t="str">
        <f t="shared" si="3"/>
        <v>Valid</v>
      </c>
    </row>
    <row r="70" ht="14.25" customHeight="1">
      <c r="A70" s="4" t="s">
        <v>1793</v>
      </c>
      <c r="B70" s="4" t="s">
        <v>1794</v>
      </c>
      <c r="C70" s="4" t="s">
        <v>1594</v>
      </c>
      <c r="D70" s="4" t="s">
        <v>1795</v>
      </c>
      <c r="E70" s="4" t="s">
        <v>1796</v>
      </c>
      <c r="F70" s="4">
        <v>243.7</v>
      </c>
      <c r="G70" s="7">
        <v>130.0</v>
      </c>
      <c r="I70" s="4" t="str">
        <f t="shared" si="1"/>
        <v>Wooden Nightstand</v>
      </c>
      <c r="J70" s="4" t="str">
        <f t="shared" si="2"/>
        <v>Home</v>
      </c>
      <c r="K70" s="4" t="str">
        <f t="shared" si="3"/>
        <v>Valid</v>
      </c>
    </row>
    <row r="71" ht="14.25" customHeight="1">
      <c r="A71" s="4" t="s">
        <v>1797</v>
      </c>
      <c r="B71" s="4" t="s">
        <v>1798</v>
      </c>
      <c r="C71" s="4" t="s">
        <v>1569</v>
      </c>
      <c r="D71" s="4" t="s">
        <v>1581</v>
      </c>
      <c r="E71" s="4" t="s">
        <v>1799</v>
      </c>
      <c r="F71" s="4">
        <v>218.22</v>
      </c>
      <c r="G71" s="7">
        <v>224.0</v>
      </c>
      <c r="I71" s="4" t="str">
        <f t="shared" si="1"/>
        <v>Men'S Sports Shorts</v>
      </c>
      <c r="J71" s="4" t="str">
        <f t="shared" si="2"/>
        <v>Clothing</v>
      </c>
      <c r="K71" s="4" t="str">
        <f t="shared" si="3"/>
        <v>Valid</v>
      </c>
    </row>
    <row r="72" ht="14.25" customHeight="1">
      <c r="A72" s="4" t="s">
        <v>1800</v>
      </c>
      <c r="B72" s="4" t="s">
        <v>1801</v>
      </c>
      <c r="C72" s="4" t="s">
        <v>1594</v>
      </c>
      <c r="D72" s="4" t="s">
        <v>1647</v>
      </c>
      <c r="E72" s="4" t="s">
        <v>1802</v>
      </c>
      <c r="F72" s="4">
        <v>138.05</v>
      </c>
      <c r="G72" s="7">
        <v>89.0</v>
      </c>
      <c r="I72" s="4" t="str">
        <f t="shared" si="1"/>
        <v>Kitchen Storage Rack</v>
      </c>
      <c r="J72" s="4" t="str">
        <f t="shared" si="2"/>
        <v>Home</v>
      </c>
      <c r="K72" s="4" t="str">
        <f t="shared" si="3"/>
        <v>Valid</v>
      </c>
    </row>
    <row r="73" ht="14.25" customHeight="1">
      <c r="A73" s="4" t="s">
        <v>1803</v>
      </c>
      <c r="B73" s="4" t="s">
        <v>1804</v>
      </c>
      <c r="C73" s="4" t="s">
        <v>1589</v>
      </c>
      <c r="D73" s="4" t="s">
        <v>1615</v>
      </c>
      <c r="E73" s="4" t="s">
        <v>1805</v>
      </c>
      <c r="F73" s="4">
        <v>214.32</v>
      </c>
      <c r="G73" s="7">
        <v>383.0</v>
      </c>
      <c r="I73" s="4" t="str">
        <f t="shared" si="1"/>
        <v>Hair Repair Oil Treatment</v>
      </c>
      <c r="J73" s="4" t="str">
        <f t="shared" si="2"/>
        <v>Beauty</v>
      </c>
      <c r="K73" s="4" t="str">
        <f t="shared" si="3"/>
        <v>Valid</v>
      </c>
    </row>
    <row r="74" ht="14.25" customHeight="1">
      <c r="A74" s="4" t="s">
        <v>1806</v>
      </c>
      <c r="B74" s="4" t="s">
        <v>1807</v>
      </c>
      <c r="C74" s="4" t="s">
        <v>1603</v>
      </c>
      <c r="D74" s="4" t="s">
        <v>1604</v>
      </c>
      <c r="E74" s="4" t="s">
        <v>1808</v>
      </c>
      <c r="F74" s="4">
        <v>477.61</v>
      </c>
      <c r="G74" s="7">
        <v>300.0</v>
      </c>
      <c r="I74" s="4" t="str">
        <f t="shared" si="1"/>
        <v>Professional Jump Rope</v>
      </c>
      <c r="J74" s="4" t="str">
        <f t="shared" si="2"/>
        <v>Sports</v>
      </c>
      <c r="K74" s="4" t="str">
        <f t="shared" si="3"/>
        <v>Valid</v>
      </c>
    </row>
    <row r="75" ht="14.25" customHeight="1">
      <c r="A75" s="4" t="s">
        <v>1809</v>
      </c>
      <c r="B75" s="4" t="s">
        <v>1810</v>
      </c>
      <c r="C75" s="4" t="s">
        <v>1603</v>
      </c>
      <c r="D75" s="4" t="s">
        <v>1679</v>
      </c>
      <c r="E75" s="4" t="s">
        <v>1811</v>
      </c>
      <c r="F75" s="4">
        <v>107.06</v>
      </c>
      <c r="G75" s="7">
        <v>359.0</v>
      </c>
      <c r="I75" s="4" t="str">
        <f t="shared" si="1"/>
        <v>Shin Guards – Adult</v>
      </c>
      <c r="J75" s="4" t="str">
        <f t="shared" si="2"/>
        <v>Sports</v>
      </c>
      <c r="K75" s="4" t="str">
        <f t="shared" si="3"/>
        <v>Valid</v>
      </c>
    </row>
    <row r="76" ht="14.25" customHeight="1">
      <c r="A76" s="4" t="s">
        <v>1812</v>
      </c>
      <c r="B76" s="4" t="s">
        <v>1813</v>
      </c>
      <c r="C76" s="4" t="s">
        <v>1564</v>
      </c>
      <c r="D76" s="4" t="s">
        <v>1599</v>
      </c>
      <c r="E76" s="4" t="s">
        <v>1814</v>
      </c>
      <c r="F76" s="4">
        <v>403.71</v>
      </c>
      <c r="G76" s="7">
        <v>159.0</v>
      </c>
      <c r="I76" s="4" t="str">
        <f t="shared" si="1"/>
        <v>Bluetooth Car Audio System</v>
      </c>
      <c r="J76" s="4" t="str">
        <f t="shared" si="2"/>
        <v>Electronics</v>
      </c>
      <c r="K76" s="4" t="str">
        <f t="shared" si="3"/>
        <v>Valid</v>
      </c>
    </row>
    <row r="77" ht="14.25" customHeight="1">
      <c r="A77" s="4" t="s">
        <v>1815</v>
      </c>
      <c r="B77" s="4" t="s">
        <v>1816</v>
      </c>
      <c r="C77" s="4" t="s">
        <v>1569</v>
      </c>
      <c r="D77" s="4" t="s">
        <v>1698</v>
      </c>
      <c r="E77" s="4" t="s">
        <v>1817</v>
      </c>
      <c r="F77" s="4">
        <v>158.14</v>
      </c>
      <c r="G77" s="7">
        <v>82.0</v>
      </c>
      <c r="I77" s="4" t="str">
        <f t="shared" si="1"/>
        <v>Women'S Ankle Boots</v>
      </c>
      <c r="J77" s="4" t="str">
        <f t="shared" si="2"/>
        <v>Clothing</v>
      </c>
      <c r="K77" s="4" t="str">
        <f t="shared" si="3"/>
        <v>Valid</v>
      </c>
    </row>
    <row r="78" ht="14.25" customHeight="1">
      <c r="A78" s="4" t="s">
        <v>1818</v>
      </c>
      <c r="B78" s="4" t="s">
        <v>1819</v>
      </c>
      <c r="C78" s="4" t="s">
        <v>1564</v>
      </c>
      <c r="D78" s="4" t="s">
        <v>1565</v>
      </c>
      <c r="E78" s="4" t="s">
        <v>1820</v>
      </c>
      <c r="F78" s="4">
        <v>392.89</v>
      </c>
      <c r="G78" s="7">
        <v>320.0</v>
      </c>
      <c r="I78" s="4" t="str">
        <f t="shared" si="1"/>
        <v>Wireless Mouse</v>
      </c>
      <c r="J78" s="4" t="str">
        <f t="shared" si="2"/>
        <v>Electronics</v>
      </c>
      <c r="K78" s="4" t="str">
        <f t="shared" si="3"/>
        <v>Valid</v>
      </c>
    </row>
    <row r="79" ht="14.25" customHeight="1">
      <c r="A79" s="4" t="s">
        <v>1821</v>
      </c>
      <c r="B79" s="4" t="s">
        <v>1822</v>
      </c>
      <c r="C79" s="4" t="s">
        <v>1564</v>
      </c>
      <c r="D79" s="4" t="s">
        <v>1626</v>
      </c>
      <c r="E79" s="4" t="s">
        <v>1823</v>
      </c>
      <c r="F79" s="4">
        <v>480.9</v>
      </c>
      <c r="G79" s="7">
        <v>104.0</v>
      </c>
      <c r="I79" s="4" t="str">
        <f t="shared" si="1"/>
        <v>Wifi Mesh Router</v>
      </c>
      <c r="J79" s="4" t="str">
        <f t="shared" si="2"/>
        <v>Electronics</v>
      </c>
      <c r="K79" s="4" t="str">
        <f t="shared" si="3"/>
        <v>Valid</v>
      </c>
    </row>
    <row r="80" ht="14.25" customHeight="1">
      <c r="A80" s="4" t="s">
        <v>1824</v>
      </c>
      <c r="B80" s="4" t="s">
        <v>1825</v>
      </c>
      <c r="C80" s="4" t="s">
        <v>1594</v>
      </c>
      <c r="D80" s="4" t="s">
        <v>1622</v>
      </c>
      <c r="E80" s="4" t="s">
        <v>1826</v>
      </c>
      <c r="F80" s="4">
        <v>325.26</v>
      </c>
      <c r="G80" s="7">
        <v>400.0</v>
      </c>
      <c r="I80" s="4" t="str">
        <f t="shared" si="1"/>
        <v>Essential Oil Diffuser</v>
      </c>
      <c r="J80" s="4" t="str">
        <f t="shared" si="2"/>
        <v>Home</v>
      </c>
      <c r="K80" s="4" t="str">
        <f t="shared" si="3"/>
        <v>Valid</v>
      </c>
    </row>
    <row r="81" ht="14.25" customHeight="1">
      <c r="A81" s="4" t="s">
        <v>1827</v>
      </c>
      <c r="B81" s="4" t="s">
        <v>1828</v>
      </c>
      <c r="C81" s="4" t="s">
        <v>1594</v>
      </c>
      <c r="D81" s="4" t="s">
        <v>1595</v>
      </c>
      <c r="E81" s="4" t="s">
        <v>1829</v>
      </c>
      <c r="F81" s="4">
        <v>228.53</v>
      </c>
      <c r="G81" s="7">
        <v>469.0</v>
      </c>
      <c r="I81" s="4" t="str">
        <f t="shared" si="1"/>
        <v>Decorative Lamp Shade</v>
      </c>
      <c r="J81" s="4" t="str">
        <f t="shared" si="2"/>
        <v>Home</v>
      </c>
      <c r="K81" s="4" t="str">
        <f t="shared" si="3"/>
        <v>Valid</v>
      </c>
    </row>
    <row r="82" ht="14.25" customHeight="1">
      <c r="A82" s="4" t="s">
        <v>1830</v>
      </c>
      <c r="B82" s="4" t="s">
        <v>1831</v>
      </c>
      <c r="C82" s="4" t="s">
        <v>1594</v>
      </c>
      <c r="D82" s="4" t="s">
        <v>1608</v>
      </c>
      <c r="E82" s="4" t="s">
        <v>1832</v>
      </c>
      <c r="F82" s="4">
        <v>143.43</v>
      </c>
      <c r="G82" s="7">
        <v>58.0</v>
      </c>
      <c r="I82" s="4" t="str">
        <f t="shared" si="1"/>
        <v>Wall-Mounted Spice Rack</v>
      </c>
      <c r="J82" s="4" t="str">
        <f t="shared" si="2"/>
        <v>Home</v>
      </c>
      <c r="K82" s="4" t="str">
        <f t="shared" si="3"/>
        <v>Valid</v>
      </c>
    </row>
    <row r="83" ht="14.25" customHeight="1">
      <c r="A83" s="4" t="s">
        <v>1833</v>
      </c>
      <c r="B83" s="4" t="s">
        <v>1834</v>
      </c>
      <c r="C83" s="4" t="s">
        <v>1603</v>
      </c>
      <c r="D83" s="4" t="s">
        <v>1640</v>
      </c>
      <c r="E83" s="4" t="s">
        <v>1835</v>
      </c>
      <c r="F83" s="4">
        <v>285.54</v>
      </c>
      <c r="G83" s="7">
        <v>358.0</v>
      </c>
      <c r="I83" s="4" t="str">
        <f t="shared" si="1"/>
        <v>Badminton Racket Set</v>
      </c>
      <c r="J83" s="4" t="str">
        <f t="shared" si="2"/>
        <v>Sports</v>
      </c>
      <c r="K83" s="4" t="str">
        <f t="shared" si="3"/>
        <v>Valid</v>
      </c>
    </row>
    <row r="84" ht="14.25" customHeight="1">
      <c r="A84" s="4" t="s">
        <v>1836</v>
      </c>
      <c r="B84" s="4" t="s">
        <v>1837</v>
      </c>
      <c r="C84" s="4" t="s">
        <v>1603</v>
      </c>
      <c r="D84" s="4" t="s">
        <v>1604</v>
      </c>
      <c r="E84" s="4" t="s">
        <v>1838</v>
      </c>
      <c r="F84" s="4">
        <v>152.92</v>
      </c>
      <c r="G84" s="7">
        <v>281.0</v>
      </c>
      <c r="I84" s="4" t="str">
        <f t="shared" si="1"/>
        <v>Fitness Resistance Bands</v>
      </c>
      <c r="J84" s="4" t="str">
        <f t="shared" si="2"/>
        <v>Sports</v>
      </c>
      <c r="K84" s="4" t="str">
        <f t="shared" si="3"/>
        <v>Valid</v>
      </c>
    </row>
    <row r="85" ht="14.25" customHeight="1">
      <c r="A85" s="4" t="s">
        <v>1839</v>
      </c>
      <c r="B85" s="4" t="s">
        <v>1840</v>
      </c>
      <c r="C85" s="4" t="s">
        <v>1589</v>
      </c>
      <c r="D85" s="4" t="s">
        <v>1590</v>
      </c>
      <c r="E85" s="4" t="s">
        <v>1841</v>
      </c>
      <c r="G85" s="7">
        <v>159.0</v>
      </c>
      <c r="I85" s="4" t="str">
        <f t="shared" si="1"/>
        <v>Hydrating Face Cleanser</v>
      </c>
      <c r="J85" s="4" t="str">
        <f t="shared" si="2"/>
        <v>Beauty</v>
      </c>
      <c r="K85" s="4" t="str">
        <f t="shared" si="3"/>
        <v>Error</v>
      </c>
    </row>
    <row r="86" ht="14.25" customHeight="1">
      <c r="A86" s="4" t="s">
        <v>1842</v>
      </c>
      <c r="B86" s="4" t="s">
        <v>1843</v>
      </c>
      <c r="C86" s="4" t="s">
        <v>1594</v>
      </c>
      <c r="D86" s="4" t="s">
        <v>1795</v>
      </c>
      <c r="E86" s="4" t="s">
        <v>1844</v>
      </c>
      <c r="F86" s="4">
        <v>388.46</v>
      </c>
      <c r="G86" s="7">
        <v>208.0</v>
      </c>
      <c r="I86" s="4" t="str">
        <f t="shared" si="1"/>
        <v>Wooden Bookshelf</v>
      </c>
      <c r="J86" s="4" t="str">
        <f t="shared" si="2"/>
        <v>Home</v>
      </c>
      <c r="K86" s="4" t="str">
        <f t="shared" si="3"/>
        <v>Valid</v>
      </c>
    </row>
    <row r="87" ht="14.25" customHeight="1">
      <c r="A87" s="4" t="s">
        <v>1845</v>
      </c>
      <c r="B87" s="4" t="s">
        <v>1846</v>
      </c>
      <c r="C87" s="4" t="s">
        <v>1569</v>
      </c>
      <c r="D87" s="4" t="s">
        <v>1585</v>
      </c>
      <c r="E87" s="4" t="s">
        <v>1847</v>
      </c>
      <c r="F87" s="4">
        <v>119.57</v>
      </c>
      <c r="G87" s="7">
        <v>210.0</v>
      </c>
      <c r="I87" s="4" t="str">
        <f t="shared" si="1"/>
        <v>Women'S Beanie Hat</v>
      </c>
      <c r="J87" s="4" t="str">
        <f t="shared" si="2"/>
        <v>Clothing</v>
      </c>
      <c r="K87" s="4" t="str">
        <f t="shared" si="3"/>
        <v>Valid</v>
      </c>
    </row>
    <row r="88" ht="14.25" customHeight="1">
      <c r="A88" s="4" t="s">
        <v>1848</v>
      </c>
      <c r="B88" s="4" t="s">
        <v>1849</v>
      </c>
      <c r="C88" s="4" t="s">
        <v>1594</v>
      </c>
      <c r="D88" s="4" t="s">
        <v>1608</v>
      </c>
      <c r="E88" s="4" t="s">
        <v>1850</v>
      </c>
      <c r="F88" s="4">
        <v>176.07</v>
      </c>
      <c r="G88" s="7">
        <v>82.0</v>
      </c>
      <c r="I88" s="4" t="str">
        <f t="shared" si="1"/>
        <v>Kitchen Cutting Board</v>
      </c>
      <c r="J88" s="4" t="str">
        <f t="shared" si="2"/>
        <v>Home</v>
      </c>
      <c r="K88" s="4" t="str">
        <f t="shared" si="3"/>
        <v>Valid</v>
      </c>
    </row>
    <row r="89" ht="14.25" customHeight="1">
      <c r="A89" s="4" t="s">
        <v>1851</v>
      </c>
      <c r="B89" s="4" t="s">
        <v>1852</v>
      </c>
      <c r="C89" s="4" t="s">
        <v>1594</v>
      </c>
      <c r="D89" s="4" t="s">
        <v>1595</v>
      </c>
      <c r="E89" s="4" t="s">
        <v>1853</v>
      </c>
      <c r="F89" s="4">
        <v>371.38</v>
      </c>
      <c r="G89" s="7">
        <v>220.0</v>
      </c>
      <c r="I89" s="4" t="str">
        <f t="shared" si="1"/>
        <v>Led Bedside Lamp</v>
      </c>
      <c r="J89" s="4" t="str">
        <f t="shared" si="2"/>
        <v>Home</v>
      </c>
      <c r="K89" s="4" t="str">
        <f t="shared" si="3"/>
        <v>Valid</v>
      </c>
    </row>
    <row r="90" ht="14.25" customHeight="1">
      <c r="A90" s="4" t="s">
        <v>1854</v>
      </c>
      <c r="B90" s="4" t="s">
        <v>1855</v>
      </c>
      <c r="C90" s="4" t="s">
        <v>1603</v>
      </c>
      <c r="D90" s="4" t="s">
        <v>1585</v>
      </c>
      <c r="E90" s="4" t="s">
        <v>1856</v>
      </c>
      <c r="F90" s="4">
        <v>131.24</v>
      </c>
      <c r="G90" s="7">
        <v>232.0</v>
      </c>
      <c r="I90" s="4" t="str">
        <f t="shared" si="1"/>
        <v>Sports Wrist Sweatbands</v>
      </c>
      <c r="J90" s="4" t="str">
        <f t="shared" si="2"/>
        <v>Sports</v>
      </c>
      <c r="K90" s="4" t="str">
        <f t="shared" si="3"/>
        <v>Valid</v>
      </c>
    </row>
    <row r="91" ht="14.25" customHeight="1">
      <c r="A91" s="4" t="s">
        <v>1857</v>
      </c>
      <c r="B91" s="4" t="s">
        <v>1858</v>
      </c>
      <c r="C91" s="4" t="s">
        <v>1589</v>
      </c>
      <c r="D91" s="4" t="s">
        <v>1730</v>
      </c>
      <c r="E91" s="4" t="s">
        <v>1859</v>
      </c>
      <c r="F91" s="4">
        <v>183.04</v>
      </c>
      <c r="G91" s="7">
        <v>457.0</v>
      </c>
      <c r="I91" s="4" t="str">
        <f t="shared" si="1"/>
        <v>Face Foundation Kit</v>
      </c>
      <c r="J91" s="4" t="str">
        <f t="shared" si="2"/>
        <v>Beauty</v>
      </c>
      <c r="K91" s="4" t="str">
        <f t="shared" si="3"/>
        <v>Valid</v>
      </c>
    </row>
    <row r="92" ht="14.25" customHeight="1">
      <c r="A92" s="4" t="s">
        <v>1860</v>
      </c>
      <c r="B92" s="4" t="s">
        <v>1861</v>
      </c>
      <c r="C92" s="4" t="s">
        <v>1564</v>
      </c>
      <c r="D92" s="4" t="s">
        <v>1585</v>
      </c>
      <c r="E92" s="4" t="s">
        <v>1862</v>
      </c>
      <c r="F92" s="4">
        <v>340.14</v>
      </c>
      <c r="G92" s="7">
        <v>361.0</v>
      </c>
      <c r="I92" s="4" t="str">
        <f t="shared" si="1"/>
        <v>Gaming Mouse Pad Xl</v>
      </c>
      <c r="J92" s="4" t="str">
        <f t="shared" si="2"/>
        <v>Electronics</v>
      </c>
      <c r="K92" s="4" t="str">
        <f t="shared" si="3"/>
        <v>Valid</v>
      </c>
    </row>
    <row r="93" ht="14.25" customHeight="1">
      <c r="A93" s="4" t="s">
        <v>1863</v>
      </c>
      <c r="B93" s="4" t="s">
        <v>1864</v>
      </c>
      <c r="C93" s="4" t="s">
        <v>1569</v>
      </c>
      <c r="D93" s="4" t="s">
        <v>1698</v>
      </c>
      <c r="E93" s="4" t="s">
        <v>1865</v>
      </c>
      <c r="F93" s="4">
        <v>438.25</v>
      </c>
      <c r="G93" s="7">
        <v>496.0</v>
      </c>
      <c r="I93" s="4" t="str">
        <f t="shared" si="1"/>
        <v>Women'S High Heels</v>
      </c>
      <c r="J93" s="4" t="str">
        <f t="shared" si="2"/>
        <v>Clothing</v>
      </c>
      <c r="K93" s="4" t="str">
        <f t="shared" si="3"/>
        <v>Valid</v>
      </c>
    </row>
    <row r="94" ht="14.25" customHeight="1">
      <c r="A94" s="4" t="s">
        <v>1866</v>
      </c>
      <c r="B94" s="4" t="s">
        <v>1867</v>
      </c>
      <c r="C94" s="4" t="s">
        <v>1594</v>
      </c>
      <c r="D94" s="4" t="s">
        <v>1626</v>
      </c>
      <c r="E94" s="4" t="s">
        <v>1868</v>
      </c>
      <c r="F94" s="4">
        <v>447.43</v>
      </c>
      <c r="G94" s="7">
        <v>191.0</v>
      </c>
      <c r="I94" s="4" t="str">
        <f t="shared" si="1"/>
        <v>Microwave Oven</v>
      </c>
      <c r="J94" s="4" t="str">
        <f t="shared" si="2"/>
        <v>Home</v>
      </c>
      <c r="K94" s="4" t="str">
        <f t="shared" si="3"/>
        <v>Valid</v>
      </c>
    </row>
    <row r="95" ht="14.25" customHeight="1">
      <c r="A95" s="4" t="s">
        <v>1869</v>
      </c>
      <c r="B95" s="4" t="s">
        <v>1870</v>
      </c>
      <c r="C95" s="4" t="s">
        <v>1564</v>
      </c>
      <c r="D95" s="4" t="s">
        <v>1565</v>
      </c>
      <c r="E95" s="4" t="s">
        <v>1871</v>
      </c>
      <c r="F95" s="4">
        <v>377.52</v>
      </c>
      <c r="G95" s="7">
        <v>485.0</v>
      </c>
      <c r="I95" s="4" t="str">
        <f t="shared" si="1"/>
        <v>Usb-C Laptop Charger</v>
      </c>
      <c r="J95" s="4" t="str">
        <f t="shared" si="2"/>
        <v>Electronics</v>
      </c>
      <c r="K95" s="4" t="str">
        <f t="shared" si="3"/>
        <v>Valid</v>
      </c>
    </row>
    <row r="96" ht="14.25" customHeight="1">
      <c r="A96" s="4" t="s">
        <v>1872</v>
      </c>
      <c r="B96" s="4" t="s">
        <v>1873</v>
      </c>
      <c r="C96" s="4" t="s">
        <v>1589</v>
      </c>
      <c r="D96" s="4" t="s">
        <v>1590</v>
      </c>
      <c r="E96" s="4" t="s">
        <v>1874</v>
      </c>
      <c r="F96" s="4">
        <v>358.47</v>
      </c>
      <c r="G96" s="7">
        <v>213.0</v>
      </c>
      <c r="I96" s="4" t="str">
        <f t="shared" si="1"/>
        <v>Vitamin E Body Lotion</v>
      </c>
      <c r="J96" s="4" t="str">
        <f t="shared" si="2"/>
        <v>Beauty</v>
      </c>
      <c r="K96" s="4" t="str">
        <f t="shared" si="3"/>
        <v>Valid</v>
      </c>
    </row>
    <row r="97" ht="14.25" customHeight="1">
      <c r="A97" s="4" t="s">
        <v>1875</v>
      </c>
      <c r="B97" s="4" t="s">
        <v>1876</v>
      </c>
      <c r="C97" s="4" t="s">
        <v>1603</v>
      </c>
      <c r="D97" s="4" t="s">
        <v>1585</v>
      </c>
      <c r="E97" s="4" t="s">
        <v>1877</v>
      </c>
      <c r="F97" s="4">
        <v>60.65</v>
      </c>
      <c r="G97" s="7">
        <v>75.0</v>
      </c>
      <c r="I97" s="4" t="str">
        <f t="shared" si="1"/>
        <v>Sports Stopwatch Basic</v>
      </c>
      <c r="J97" s="4" t="str">
        <f t="shared" si="2"/>
        <v>Sports</v>
      </c>
      <c r="K97" s="4" t="str">
        <f t="shared" si="3"/>
        <v>Valid</v>
      </c>
    </row>
    <row r="98" ht="14.25" customHeight="1">
      <c r="A98" s="4" t="s">
        <v>1878</v>
      </c>
      <c r="B98" s="4" t="s">
        <v>1879</v>
      </c>
      <c r="C98" s="4" t="s">
        <v>1569</v>
      </c>
      <c r="D98" s="4" t="s">
        <v>1574</v>
      </c>
      <c r="E98" s="4" t="s">
        <v>1880</v>
      </c>
      <c r="F98" s="4">
        <v>358.47</v>
      </c>
      <c r="G98" s="7">
        <v>143.0</v>
      </c>
      <c r="I98" s="4" t="str">
        <f t="shared" si="1"/>
        <v>Women'S Formal Blazer</v>
      </c>
      <c r="J98" s="4" t="str">
        <f t="shared" si="2"/>
        <v>Clothing</v>
      </c>
      <c r="K98" s="4" t="str">
        <f t="shared" si="3"/>
        <v>Valid</v>
      </c>
    </row>
    <row r="99" ht="14.25" customHeight="1">
      <c r="A99" s="4" t="s">
        <v>1881</v>
      </c>
      <c r="B99" s="4" t="s">
        <v>1882</v>
      </c>
      <c r="C99" s="4" t="s">
        <v>1603</v>
      </c>
      <c r="D99" s="4" t="s">
        <v>1679</v>
      </c>
      <c r="E99" s="4" t="s">
        <v>1883</v>
      </c>
      <c r="F99" s="4">
        <v>245.98</v>
      </c>
      <c r="G99" s="7">
        <v>471.0</v>
      </c>
      <c r="I99" s="4" t="str">
        <f t="shared" si="1"/>
        <v>Cricket Bat</v>
      </c>
      <c r="J99" s="4" t="str">
        <f t="shared" si="2"/>
        <v>Sports</v>
      </c>
      <c r="K99" s="4" t="str">
        <f t="shared" si="3"/>
        <v>Valid</v>
      </c>
    </row>
    <row r="100" ht="14.25" customHeight="1">
      <c r="A100" s="4" t="s">
        <v>1884</v>
      </c>
      <c r="B100" s="4" t="s">
        <v>1885</v>
      </c>
      <c r="C100" s="4" t="s">
        <v>1564</v>
      </c>
      <c r="D100" s="4" t="s">
        <v>1599</v>
      </c>
      <c r="E100" s="4" t="s">
        <v>1886</v>
      </c>
      <c r="F100" s="4">
        <v>431.67</v>
      </c>
      <c r="G100" s="7">
        <v>73.0</v>
      </c>
      <c r="I100" s="4" t="str">
        <f t="shared" si="1"/>
        <v>Portable Bluetooth Speaker</v>
      </c>
      <c r="J100" s="4" t="str">
        <f t="shared" si="2"/>
        <v>Electronics</v>
      </c>
      <c r="K100" s="4" t="str">
        <f t="shared" si="3"/>
        <v>Valid</v>
      </c>
    </row>
    <row r="101" ht="14.25" customHeight="1">
      <c r="A101" s="4" t="s">
        <v>1887</v>
      </c>
      <c r="B101" s="4" t="s">
        <v>1888</v>
      </c>
      <c r="C101" s="4" t="s">
        <v>1594</v>
      </c>
      <c r="D101" s="4" t="s">
        <v>1608</v>
      </c>
      <c r="E101" s="4" t="s">
        <v>1889</v>
      </c>
      <c r="F101" s="4">
        <v>201.41</v>
      </c>
      <c r="G101" s="7">
        <v>146.0</v>
      </c>
      <c r="I101" s="4" t="str">
        <f t="shared" si="1"/>
        <v>Stainless Steel Cookware Set</v>
      </c>
      <c r="J101" s="4" t="str">
        <f t="shared" si="2"/>
        <v>Home</v>
      </c>
      <c r="K101" s="4" t="str">
        <f t="shared" si="3"/>
        <v>Valid</v>
      </c>
    </row>
    <row r="102" ht="14.25" customHeight="1">
      <c r="G102" s="7"/>
    </row>
    <row r="103" ht="14.25" customHeight="1">
      <c r="G103" s="7"/>
    </row>
    <row r="104" ht="14.25" customHeight="1">
      <c r="G104" s="7"/>
    </row>
    <row r="105" ht="14.25" customHeight="1">
      <c r="G105" s="7"/>
    </row>
    <row r="106" ht="14.25" customHeight="1">
      <c r="G106" s="7"/>
    </row>
    <row r="107" ht="14.25" customHeight="1">
      <c r="G107" s="7"/>
    </row>
    <row r="108" ht="14.25" customHeight="1">
      <c r="G108" s="7"/>
    </row>
    <row r="109" ht="14.25" customHeight="1">
      <c r="G109" s="7"/>
    </row>
    <row r="110" ht="14.25" customHeight="1">
      <c r="G110" s="7"/>
    </row>
    <row r="111" ht="14.25" customHeight="1">
      <c r="G111" s="7"/>
    </row>
    <row r="112" ht="14.25" customHeight="1">
      <c r="G112" s="7"/>
    </row>
    <row r="113" ht="14.25" customHeight="1">
      <c r="G113" s="7"/>
    </row>
    <row r="114" ht="14.25" customHeight="1">
      <c r="G114" s="7"/>
    </row>
    <row r="115" ht="14.25" customHeight="1">
      <c r="G115" s="7"/>
    </row>
    <row r="116" ht="14.25" customHeight="1">
      <c r="G116" s="7"/>
    </row>
    <row r="117" ht="14.25" customHeight="1">
      <c r="G117" s="7"/>
    </row>
    <row r="118" ht="14.25" customHeight="1">
      <c r="G118" s="7"/>
    </row>
    <row r="119" ht="14.25" customHeight="1">
      <c r="G119" s="7"/>
    </row>
    <row r="120" ht="14.25" customHeight="1">
      <c r="G120" s="7"/>
    </row>
    <row r="121" ht="14.25" customHeight="1">
      <c r="G121" s="7"/>
    </row>
    <row r="122" ht="14.25" customHeight="1">
      <c r="G122" s="7"/>
    </row>
    <row r="123" ht="14.25" customHeight="1">
      <c r="G123" s="7"/>
    </row>
    <row r="124" ht="14.25" customHeight="1">
      <c r="G124" s="7"/>
    </row>
    <row r="125" ht="14.25" customHeight="1">
      <c r="G125" s="7"/>
    </row>
    <row r="126" ht="14.25" customHeight="1">
      <c r="G126" s="7"/>
    </row>
    <row r="127" ht="14.25" customHeight="1">
      <c r="G127" s="7"/>
    </row>
    <row r="128" ht="14.25" customHeight="1">
      <c r="G128" s="7"/>
    </row>
    <row r="129" ht="14.25" customHeight="1">
      <c r="G129" s="7"/>
    </row>
    <row r="130" ht="14.25" customHeight="1">
      <c r="G130" s="7"/>
    </row>
    <row r="131" ht="14.25" customHeight="1">
      <c r="G131" s="7"/>
    </row>
    <row r="132" ht="14.25" customHeight="1">
      <c r="G132" s="7"/>
    </row>
    <row r="133" ht="14.25" customHeight="1">
      <c r="G133" s="7"/>
    </row>
    <row r="134" ht="14.25" customHeight="1">
      <c r="G134" s="7"/>
    </row>
    <row r="135" ht="14.25" customHeight="1">
      <c r="G135" s="7"/>
    </row>
    <row r="136" ht="14.25" customHeight="1">
      <c r="G136" s="7"/>
    </row>
    <row r="137" ht="14.25" customHeight="1">
      <c r="G137" s="7"/>
    </row>
    <row r="138" ht="14.25" customHeight="1">
      <c r="G138" s="7"/>
    </row>
    <row r="139" ht="14.25" customHeight="1">
      <c r="G139" s="7"/>
    </row>
    <row r="140" ht="14.25" customHeight="1">
      <c r="G140" s="7"/>
    </row>
    <row r="141" ht="14.25" customHeight="1">
      <c r="G141" s="7"/>
    </row>
    <row r="142" ht="14.25" customHeight="1">
      <c r="G142" s="7"/>
    </row>
    <row r="143" ht="14.25" customHeight="1">
      <c r="G143" s="7"/>
    </row>
    <row r="144" ht="14.25" customHeight="1">
      <c r="G144" s="7"/>
    </row>
    <row r="145" ht="14.25" customHeight="1">
      <c r="G145" s="7"/>
    </row>
    <row r="146" ht="14.25" customHeight="1">
      <c r="G146" s="7"/>
    </row>
    <row r="147" ht="14.25" customHeight="1">
      <c r="G147" s="7"/>
    </row>
    <row r="148" ht="14.25" customHeight="1">
      <c r="G148" s="7"/>
    </row>
    <row r="149" ht="14.25" customHeight="1">
      <c r="G149" s="7"/>
    </row>
    <row r="150" ht="14.25" customHeight="1">
      <c r="G150" s="7"/>
    </row>
    <row r="151" ht="14.25" customHeight="1">
      <c r="G151" s="7"/>
    </row>
    <row r="152" ht="14.25" customHeight="1">
      <c r="G152" s="7"/>
    </row>
    <row r="153" ht="14.25" customHeight="1">
      <c r="G153" s="7"/>
    </row>
    <row r="154" ht="14.25" customHeight="1">
      <c r="G154" s="7"/>
    </row>
    <row r="155" ht="14.25" customHeight="1">
      <c r="G155" s="7"/>
    </row>
    <row r="156" ht="14.25" customHeight="1">
      <c r="G156" s="7"/>
    </row>
    <row r="157" ht="14.25" customHeight="1">
      <c r="G157" s="7"/>
    </row>
    <row r="158" ht="14.25" customHeight="1">
      <c r="G158" s="7"/>
    </row>
    <row r="159" ht="14.25" customHeight="1">
      <c r="G159" s="7"/>
    </row>
    <row r="160" ht="14.25" customHeight="1">
      <c r="G160" s="7"/>
    </row>
    <row r="161" ht="14.25" customHeight="1">
      <c r="G161" s="7"/>
    </row>
    <row r="162" ht="14.25" customHeight="1">
      <c r="G162" s="7"/>
    </row>
    <row r="163" ht="14.25" customHeight="1">
      <c r="G163" s="7"/>
    </row>
    <row r="164" ht="14.25" customHeight="1">
      <c r="G164" s="7"/>
    </row>
    <row r="165" ht="14.25" customHeight="1">
      <c r="G165" s="7"/>
    </row>
    <row r="166" ht="14.25" customHeight="1">
      <c r="G166" s="7"/>
    </row>
    <row r="167" ht="14.25" customHeight="1">
      <c r="G167" s="7"/>
    </row>
    <row r="168" ht="14.25" customHeight="1">
      <c r="G168" s="7"/>
    </row>
    <row r="169" ht="14.25" customHeight="1">
      <c r="G169" s="7"/>
    </row>
    <row r="170" ht="14.25" customHeight="1">
      <c r="G170" s="7"/>
    </row>
    <row r="171" ht="14.25" customHeight="1">
      <c r="G171" s="7"/>
    </row>
    <row r="172" ht="14.25" customHeight="1">
      <c r="G172" s="7"/>
    </row>
    <row r="173" ht="14.25" customHeight="1">
      <c r="G173" s="7"/>
    </row>
    <row r="174" ht="14.25" customHeight="1">
      <c r="G174" s="7"/>
    </row>
    <row r="175" ht="14.25" customHeight="1">
      <c r="G175" s="7"/>
    </row>
    <row r="176" ht="14.25" customHeight="1">
      <c r="G176" s="7"/>
    </row>
    <row r="177" ht="14.25" customHeight="1">
      <c r="G177" s="7"/>
    </row>
    <row r="178" ht="14.25" customHeight="1">
      <c r="G178" s="7"/>
    </row>
    <row r="179" ht="14.25" customHeight="1">
      <c r="G179" s="7"/>
    </row>
    <row r="180" ht="14.25" customHeight="1">
      <c r="G180" s="7"/>
    </row>
    <row r="181" ht="14.25" customHeight="1">
      <c r="G181" s="7"/>
    </row>
    <row r="182" ht="14.25" customHeight="1">
      <c r="G182" s="7"/>
    </row>
    <row r="183" ht="14.25" customHeight="1">
      <c r="G183" s="7"/>
    </row>
    <row r="184" ht="14.25" customHeight="1">
      <c r="G184" s="7"/>
    </row>
    <row r="185" ht="14.25" customHeight="1">
      <c r="G185" s="7"/>
    </row>
    <row r="186" ht="14.25" customHeight="1">
      <c r="G186" s="7"/>
    </row>
    <row r="187" ht="14.25" customHeight="1">
      <c r="G187" s="7"/>
    </row>
    <row r="188" ht="14.25" customHeight="1">
      <c r="G188" s="7"/>
    </row>
    <row r="189" ht="14.25" customHeight="1">
      <c r="G189" s="7"/>
    </row>
    <row r="190" ht="14.25" customHeight="1">
      <c r="G190" s="7"/>
    </row>
    <row r="191" ht="14.25" customHeight="1">
      <c r="G191" s="7"/>
    </row>
    <row r="192" ht="14.25" customHeight="1">
      <c r="G192" s="7"/>
    </row>
    <row r="193" ht="14.25" customHeight="1">
      <c r="G193" s="7"/>
    </row>
    <row r="194" ht="14.25" customHeight="1">
      <c r="G194" s="7"/>
    </row>
    <row r="195" ht="14.25" customHeight="1">
      <c r="G195" s="7"/>
    </row>
    <row r="196" ht="14.25" customHeight="1">
      <c r="G196" s="7"/>
    </row>
    <row r="197" ht="14.25" customHeight="1">
      <c r="G197" s="7"/>
    </row>
    <row r="198" ht="14.25" customHeight="1">
      <c r="G198" s="7"/>
    </row>
    <row r="199" ht="14.25" customHeight="1">
      <c r="G199" s="7"/>
    </row>
    <row r="200" ht="14.25" customHeight="1">
      <c r="G200" s="7"/>
    </row>
    <row r="201" ht="14.25" customHeight="1">
      <c r="G201" s="7"/>
    </row>
    <row r="202" ht="14.25" customHeight="1">
      <c r="G202" s="7"/>
    </row>
    <row r="203" ht="14.25" customHeight="1">
      <c r="G203" s="7"/>
    </row>
    <row r="204" ht="14.25" customHeight="1">
      <c r="G204" s="7"/>
    </row>
    <row r="205" ht="14.25" customHeight="1">
      <c r="G205" s="7"/>
    </row>
    <row r="206" ht="14.25" customHeight="1">
      <c r="G206" s="7"/>
    </row>
    <row r="207" ht="14.25" customHeight="1">
      <c r="G207" s="7"/>
    </row>
    <row r="208" ht="14.25" customHeight="1">
      <c r="G208" s="7"/>
    </row>
    <row r="209" ht="14.25" customHeight="1">
      <c r="G209" s="7"/>
    </row>
    <row r="210" ht="14.25" customHeight="1">
      <c r="G210" s="7"/>
    </row>
    <row r="211" ht="14.25" customHeight="1">
      <c r="G211" s="7"/>
    </row>
    <row r="212" ht="14.25" customHeight="1">
      <c r="G212" s="7"/>
    </row>
    <row r="213" ht="14.25" customHeight="1">
      <c r="G213" s="7"/>
    </row>
    <row r="214" ht="14.25" customHeight="1">
      <c r="G214" s="7"/>
    </row>
    <row r="215" ht="14.25" customHeight="1">
      <c r="G215" s="7"/>
    </row>
    <row r="216" ht="14.25" customHeight="1">
      <c r="G216" s="7"/>
    </row>
    <row r="217" ht="14.25" customHeight="1">
      <c r="G217" s="7"/>
    </row>
    <row r="218" ht="14.25" customHeight="1">
      <c r="G218" s="7"/>
    </row>
    <row r="219" ht="14.25" customHeight="1">
      <c r="G219" s="7"/>
    </row>
    <row r="220" ht="14.25" customHeight="1">
      <c r="G220" s="7"/>
    </row>
    <row r="221" ht="14.25" customHeight="1">
      <c r="G221" s="7"/>
    </row>
    <row r="222" ht="14.25" customHeight="1">
      <c r="G222" s="7"/>
    </row>
    <row r="223" ht="14.25" customHeight="1">
      <c r="G223" s="7"/>
    </row>
    <row r="224" ht="14.25" customHeight="1">
      <c r="G224" s="7"/>
    </row>
    <row r="225" ht="14.25" customHeight="1">
      <c r="G225" s="7"/>
    </row>
    <row r="226" ht="14.25" customHeight="1">
      <c r="G226" s="7"/>
    </row>
    <row r="227" ht="14.25" customHeight="1">
      <c r="G227" s="7"/>
    </row>
    <row r="228" ht="14.25" customHeight="1">
      <c r="G228" s="7"/>
    </row>
    <row r="229" ht="14.25" customHeight="1">
      <c r="G229" s="7"/>
    </row>
    <row r="230" ht="14.25" customHeight="1">
      <c r="G230" s="7"/>
    </row>
    <row r="231" ht="14.25" customHeight="1">
      <c r="G231" s="7"/>
    </row>
    <row r="232" ht="14.25" customHeight="1">
      <c r="G232" s="7"/>
    </row>
    <row r="233" ht="14.25" customHeight="1">
      <c r="G233" s="7"/>
    </row>
    <row r="234" ht="14.25" customHeight="1">
      <c r="G234" s="7"/>
    </row>
    <row r="235" ht="14.25" customHeight="1">
      <c r="G235" s="7"/>
    </row>
    <row r="236" ht="14.25" customHeight="1">
      <c r="G236" s="7"/>
    </row>
    <row r="237" ht="14.25" customHeight="1">
      <c r="G237" s="7"/>
    </row>
    <row r="238" ht="14.25" customHeight="1">
      <c r="G238" s="7"/>
    </row>
    <row r="239" ht="14.25" customHeight="1">
      <c r="G239" s="7"/>
    </row>
    <row r="240" ht="14.25" customHeight="1">
      <c r="G240" s="7"/>
    </row>
    <row r="241" ht="14.25" customHeight="1">
      <c r="G241" s="7"/>
    </row>
    <row r="242" ht="14.25" customHeight="1">
      <c r="G242" s="7"/>
    </row>
    <row r="243" ht="14.25" customHeight="1">
      <c r="G243" s="7"/>
    </row>
    <row r="244" ht="14.25" customHeight="1">
      <c r="G244" s="7"/>
    </row>
    <row r="245" ht="14.25" customHeight="1">
      <c r="G245" s="7"/>
    </row>
    <row r="246" ht="14.25" customHeight="1">
      <c r="G246" s="7"/>
    </row>
    <row r="247" ht="14.25" customHeight="1">
      <c r="G247" s="7"/>
    </row>
    <row r="248" ht="14.25" customHeight="1">
      <c r="G248" s="7"/>
    </row>
    <row r="249" ht="14.25" customHeight="1">
      <c r="G249" s="7"/>
    </row>
    <row r="250" ht="14.25" customHeight="1">
      <c r="G250" s="7"/>
    </row>
    <row r="251" ht="14.25" customHeight="1">
      <c r="G251" s="7"/>
    </row>
    <row r="252" ht="14.25" customHeight="1">
      <c r="G252" s="7"/>
    </row>
    <row r="253" ht="14.25" customHeight="1">
      <c r="G253" s="7"/>
    </row>
    <row r="254" ht="14.25" customHeight="1">
      <c r="G254" s="7"/>
    </row>
    <row r="255" ht="14.25" customHeight="1">
      <c r="G255" s="7"/>
    </row>
    <row r="256" ht="14.25" customHeight="1">
      <c r="G256" s="7"/>
    </row>
    <row r="257" ht="14.25" customHeight="1">
      <c r="G257" s="7"/>
    </row>
    <row r="258" ht="14.25" customHeight="1">
      <c r="G258" s="7"/>
    </row>
    <row r="259" ht="14.25" customHeight="1">
      <c r="G259" s="7"/>
    </row>
    <row r="260" ht="14.25" customHeight="1">
      <c r="G260" s="7"/>
    </row>
    <row r="261" ht="14.25" customHeight="1">
      <c r="G261" s="7"/>
    </row>
    <row r="262" ht="14.25" customHeight="1">
      <c r="G262" s="7"/>
    </row>
    <row r="263" ht="14.25" customHeight="1">
      <c r="G263" s="7"/>
    </row>
    <row r="264" ht="14.25" customHeight="1">
      <c r="G264" s="7"/>
    </row>
    <row r="265" ht="14.25" customHeight="1">
      <c r="G265" s="7"/>
    </row>
    <row r="266" ht="14.25" customHeight="1">
      <c r="G266" s="7"/>
    </row>
    <row r="267" ht="14.25" customHeight="1">
      <c r="G267" s="7"/>
    </row>
    <row r="268" ht="14.25" customHeight="1">
      <c r="G268" s="7"/>
    </row>
    <row r="269" ht="14.25" customHeight="1">
      <c r="G269" s="7"/>
    </row>
    <row r="270" ht="14.25" customHeight="1">
      <c r="G270" s="7"/>
    </row>
    <row r="271" ht="14.25" customHeight="1">
      <c r="G271" s="7"/>
    </row>
    <row r="272" ht="14.25" customHeight="1">
      <c r="G272" s="7"/>
    </row>
    <row r="273" ht="14.25" customHeight="1">
      <c r="G273" s="7"/>
    </row>
    <row r="274" ht="14.25" customHeight="1">
      <c r="G274" s="7"/>
    </row>
    <row r="275" ht="14.25" customHeight="1">
      <c r="G275" s="7"/>
    </row>
    <row r="276" ht="14.25" customHeight="1">
      <c r="G276" s="7"/>
    </row>
    <row r="277" ht="14.25" customHeight="1">
      <c r="G277" s="7"/>
    </row>
    <row r="278" ht="14.25" customHeight="1">
      <c r="G278" s="7"/>
    </row>
    <row r="279" ht="14.25" customHeight="1">
      <c r="G279" s="7"/>
    </row>
    <row r="280" ht="14.25" customHeight="1">
      <c r="G280" s="7"/>
    </row>
    <row r="281" ht="14.25" customHeight="1">
      <c r="G281" s="7"/>
    </row>
    <row r="282" ht="14.25" customHeight="1">
      <c r="G282" s="7"/>
    </row>
    <row r="283" ht="14.25" customHeight="1">
      <c r="G283" s="7"/>
    </row>
    <row r="284" ht="14.25" customHeight="1">
      <c r="G284" s="7"/>
    </row>
    <row r="285" ht="14.25" customHeight="1">
      <c r="G285" s="7"/>
    </row>
    <row r="286" ht="14.25" customHeight="1">
      <c r="G286" s="7"/>
    </row>
    <row r="287" ht="14.25" customHeight="1">
      <c r="G287" s="7"/>
    </row>
    <row r="288" ht="14.25" customHeight="1">
      <c r="G288" s="7"/>
    </row>
    <row r="289" ht="14.25" customHeight="1">
      <c r="G289" s="7"/>
    </row>
    <row r="290" ht="14.25" customHeight="1">
      <c r="G290" s="7"/>
    </row>
    <row r="291" ht="14.25" customHeight="1">
      <c r="G291" s="7"/>
    </row>
    <row r="292" ht="14.25" customHeight="1">
      <c r="G292" s="7"/>
    </row>
    <row r="293" ht="14.25" customHeight="1">
      <c r="G293" s="7"/>
    </row>
    <row r="294" ht="14.25" customHeight="1">
      <c r="G294" s="7"/>
    </row>
    <row r="295" ht="14.25" customHeight="1">
      <c r="G295" s="7"/>
    </row>
    <row r="296" ht="14.25" customHeight="1">
      <c r="G296" s="7"/>
    </row>
    <row r="297" ht="14.25" customHeight="1">
      <c r="G297" s="7"/>
    </row>
    <row r="298" ht="14.25" customHeight="1">
      <c r="G298" s="7"/>
    </row>
    <row r="299" ht="14.25" customHeight="1">
      <c r="G299" s="7"/>
    </row>
    <row r="300" ht="14.25" customHeight="1">
      <c r="G300" s="7"/>
    </row>
    <row r="301" ht="14.25" customHeight="1">
      <c r="G301" s="7"/>
    </row>
    <row r="302" ht="15.75" customHeight="1">
      <c r="G302" s="7"/>
    </row>
    <row r="303" ht="15.75" customHeight="1">
      <c r="G303" s="7"/>
    </row>
    <row r="304" ht="15.75" customHeight="1">
      <c r="G304" s="7"/>
    </row>
    <row r="305" ht="15.75" customHeight="1">
      <c r="G305" s="7"/>
    </row>
    <row r="306" ht="15.75" customHeight="1">
      <c r="G306" s="7"/>
    </row>
    <row r="307" ht="15.75" customHeight="1">
      <c r="G307" s="7"/>
    </row>
    <row r="308" ht="15.75" customHeight="1">
      <c r="G308" s="7"/>
    </row>
    <row r="309" ht="15.75" customHeight="1">
      <c r="G309" s="7"/>
    </row>
    <row r="310" ht="15.75" customHeight="1">
      <c r="G310" s="7"/>
    </row>
    <row r="311" ht="15.75" customHeight="1">
      <c r="G311" s="7"/>
    </row>
    <row r="312" ht="15.75" customHeight="1">
      <c r="G312" s="7"/>
    </row>
    <row r="313" ht="15.75" customHeight="1">
      <c r="G313" s="7"/>
    </row>
    <row r="314" ht="15.75" customHeight="1">
      <c r="G314" s="7"/>
    </row>
    <row r="315" ht="15.75" customHeight="1">
      <c r="G315" s="7"/>
    </row>
    <row r="316" ht="15.75" customHeight="1">
      <c r="G316" s="7"/>
    </row>
    <row r="317" ht="15.75" customHeight="1">
      <c r="G317" s="7"/>
    </row>
    <row r="318" ht="15.75" customHeight="1">
      <c r="G318" s="7"/>
    </row>
    <row r="319" ht="15.75" customHeight="1">
      <c r="G319" s="7"/>
    </row>
    <row r="320" ht="15.75" customHeight="1">
      <c r="G320" s="7"/>
    </row>
    <row r="321" ht="15.75" customHeight="1">
      <c r="G321" s="7"/>
    </row>
    <row r="322" ht="15.75" customHeight="1">
      <c r="G322" s="7"/>
    </row>
    <row r="323" ht="15.75" customHeight="1">
      <c r="G323" s="7"/>
    </row>
    <row r="324" ht="15.75" customHeight="1">
      <c r="G324" s="7"/>
    </row>
    <row r="325" ht="15.75" customHeight="1">
      <c r="G325" s="7"/>
    </row>
    <row r="326" ht="15.75" customHeight="1">
      <c r="G326" s="7"/>
    </row>
    <row r="327" ht="15.75" customHeight="1">
      <c r="G327" s="7"/>
    </row>
    <row r="328" ht="15.75" customHeight="1">
      <c r="G328" s="7"/>
    </row>
    <row r="329" ht="15.75" customHeight="1">
      <c r="G329" s="7"/>
    </row>
    <row r="330" ht="15.75" customHeight="1">
      <c r="G330" s="7"/>
    </row>
    <row r="331" ht="15.75" customHeight="1">
      <c r="G331" s="7"/>
    </row>
    <row r="332" ht="15.75" customHeight="1">
      <c r="G332" s="7"/>
    </row>
    <row r="333" ht="15.75" customHeight="1">
      <c r="G333" s="7"/>
    </row>
    <row r="334" ht="15.75" customHeight="1">
      <c r="G334" s="7"/>
    </row>
    <row r="335" ht="15.75" customHeight="1">
      <c r="G335" s="7"/>
    </row>
    <row r="336" ht="15.75" customHeight="1">
      <c r="G336" s="7"/>
    </row>
    <row r="337" ht="15.75" customHeight="1">
      <c r="G337" s="7"/>
    </row>
    <row r="338" ht="15.75" customHeight="1">
      <c r="G338" s="7"/>
    </row>
    <row r="339" ht="15.75" customHeight="1">
      <c r="G339" s="7"/>
    </row>
    <row r="340" ht="15.75" customHeight="1">
      <c r="G340" s="7"/>
    </row>
    <row r="341" ht="15.75" customHeight="1">
      <c r="G341" s="7"/>
    </row>
    <row r="342" ht="15.75" customHeight="1">
      <c r="G342" s="7"/>
    </row>
    <row r="343" ht="15.75" customHeight="1">
      <c r="G343" s="7"/>
    </row>
    <row r="344" ht="15.75" customHeight="1">
      <c r="G344" s="7"/>
    </row>
    <row r="345" ht="15.75" customHeight="1">
      <c r="G345" s="7"/>
    </row>
    <row r="346" ht="15.75" customHeight="1">
      <c r="G346" s="7"/>
    </row>
    <row r="347" ht="15.75" customHeight="1">
      <c r="G347" s="7"/>
    </row>
    <row r="348" ht="15.75" customHeight="1">
      <c r="G348" s="7"/>
    </row>
    <row r="349" ht="15.75" customHeight="1">
      <c r="G349" s="7"/>
    </row>
    <row r="350" ht="15.75" customHeight="1">
      <c r="G350" s="7"/>
    </row>
    <row r="351" ht="15.75" customHeight="1">
      <c r="G351" s="7"/>
    </row>
    <row r="352" ht="15.75" customHeight="1">
      <c r="G352" s="7"/>
    </row>
    <row r="353" ht="15.75" customHeight="1">
      <c r="G353" s="7"/>
    </row>
    <row r="354" ht="15.75" customHeight="1">
      <c r="G354" s="7"/>
    </row>
    <row r="355" ht="15.75" customHeight="1">
      <c r="G355" s="7"/>
    </row>
    <row r="356" ht="15.75" customHeight="1">
      <c r="G356" s="7"/>
    </row>
    <row r="357" ht="15.75" customHeight="1">
      <c r="G357" s="7"/>
    </row>
    <row r="358" ht="15.75" customHeight="1">
      <c r="G358" s="7"/>
    </row>
    <row r="359" ht="15.75" customHeight="1">
      <c r="G359" s="7"/>
    </row>
    <row r="360" ht="15.75" customHeight="1">
      <c r="G360" s="7"/>
    </row>
    <row r="361" ht="15.75" customHeight="1">
      <c r="G361" s="7"/>
    </row>
    <row r="362" ht="15.75" customHeight="1">
      <c r="G362" s="7"/>
    </row>
    <row r="363" ht="15.75" customHeight="1">
      <c r="G363" s="7"/>
    </row>
    <row r="364" ht="15.75" customHeight="1">
      <c r="G364" s="7"/>
    </row>
    <row r="365" ht="15.75" customHeight="1">
      <c r="G365" s="7"/>
    </row>
    <row r="366" ht="15.75" customHeight="1">
      <c r="G366" s="7"/>
    </row>
    <row r="367" ht="15.75" customHeight="1">
      <c r="G367" s="7"/>
    </row>
    <row r="368" ht="15.75" customHeight="1">
      <c r="G368" s="7"/>
    </row>
    <row r="369" ht="15.75" customHeight="1">
      <c r="G369" s="7"/>
    </row>
    <row r="370" ht="15.75" customHeight="1">
      <c r="G370" s="7"/>
    </row>
    <row r="371" ht="15.75" customHeight="1">
      <c r="G371" s="7"/>
    </row>
    <row r="372" ht="15.75" customHeight="1">
      <c r="G372" s="7"/>
    </row>
    <row r="373" ht="15.75" customHeight="1">
      <c r="G373" s="7"/>
    </row>
    <row r="374" ht="15.75" customHeight="1">
      <c r="G374" s="7"/>
    </row>
    <row r="375" ht="15.75" customHeight="1">
      <c r="G375" s="7"/>
    </row>
    <row r="376" ht="15.75" customHeight="1">
      <c r="G376" s="7"/>
    </row>
    <row r="377" ht="15.75" customHeight="1">
      <c r="G377" s="7"/>
    </row>
    <row r="378" ht="15.75" customHeight="1">
      <c r="G378" s="7"/>
    </row>
    <row r="379" ht="15.75" customHeight="1">
      <c r="G379" s="7"/>
    </row>
    <row r="380" ht="15.75" customHeight="1">
      <c r="G380" s="7"/>
    </row>
    <row r="381" ht="15.75" customHeight="1">
      <c r="G381" s="7"/>
    </row>
    <row r="382" ht="15.75" customHeight="1">
      <c r="G382" s="7"/>
    </row>
    <row r="383" ht="15.75" customHeight="1">
      <c r="G383" s="7"/>
    </row>
    <row r="384" ht="15.75" customHeight="1">
      <c r="G384" s="7"/>
    </row>
    <row r="385" ht="15.75" customHeight="1">
      <c r="G385" s="7"/>
    </row>
    <row r="386" ht="15.75" customHeight="1">
      <c r="G386" s="7"/>
    </row>
    <row r="387" ht="15.75" customHeight="1">
      <c r="G387" s="7"/>
    </row>
    <row r="388" ht="15.75" customHeight="1">
      <c r="G388" s="7"/>
    </row>
    <row r="389" ht="15.75" customHeight="1">
      <c r="G389" s="7"/>
    </row>
    <row r="390" ht="15.75" customHeight="1">
      <c r="G390" s="7"/>
    </row>
    <row r="391" ht="15.75" customHeight="1">
      <c r="G391" s="7"/>
    </row>
    <row r="392" ht="15.75" customHeight="1">
      <c r="G392" s="7"/>
    </row>
    <row r="393" ht="15.75" customHeight="1">
      <c r="G393" s="7"/>
    </row>
    <row r="394" ht="15.75" customHeight="1">
      <c r="G394" s="7"/>
    </row>
    <row r="395" ht="15.75" customHeight="1">
      <c r="G395" s="7"/>
    </row>
    <row r="396" ht="15.75" customHeight="1">
      <c r="G396" s="7"/>
    </row>
    <row r="397" ht="15.75" customHeight="1">
      <c r="G397" s="7"/>
    </row>
    <row r="398" ht="15.75" customHeight="1">
      <c r="G398" s="7"/>
    </row>
    <row r="399" ht="15.75" customHeight="1">
      <c r="G399" s="7"/>
    </row>
    <row r="400" ht="15.75" customHeight="1">
      <c r="G400" s="7"/>
    </row>
    <row r="401" ht="15.75" customHeight="1">
      <c r="G401" s="7"/>
    </row>
    <row r="402" ht="15.75" customHeight="1">
      <c r="G402" s="7"/>
    </row>
    <row r="403" ht="15.75" customHeight="1">
      <c r="G403" s="7"/>
    </row>
    <row r="404" ht="15.75" customHeight="1">
      <c r="G404" s="7"/>
    </row>
    <row r="405" ht="15.75" customHeight="1">
      <c r="G405" s="7"/>
    </row>
    <row r="406" ht="15.75" customHeight="1">
      <c r="G406" s="7"/>
    </row>
    <row r="407" ht="15.75" customHeight="1">
      <c r="G407" s="7"/>
    </row>
    <row r="408" ht="15.75" customHeight="1">
      <c r="G408" s="7"/>
    </row>
    <row r="409" ht="15.75" customHeight="1">
      <c r="G409" s="7"/>
    </row>
    <row r="410" ht="15.75" customHeight="1">
      <c r="G410" s="7"/>
    </row>
    <row r="411" ht="15.75" customHeight="1">
      <c r="G411" s="7"/>
    </row>
    <row r="412" ht="15.75" customHeight="1">
      <c r="G412" s="7"/>
    </row>
    <row r="413" ht="15.75" customHeight="1">
      <c r="G413" s="7"/>
    </row>
    <row r="414" ht="15.75" customHeight="1">
      <c r="G414" s="7"/>
    </row>
    <row r="415" ht="15.75" customHeight="1">
      <c r="G415" s="7"/>
    </row>
    <row r="416" ht="15.75" customHeight="1">
      <c r="G416" s="7"/>
    </row>
    <row r="417" ht="15.75" customHeight="1">
      <c r="G417" s="7"/>
    </row>
    <row r="418" ht="15.75" customHeight="1">
      <c r="G418" s="7"/>
    </row>
    <row r="419" ht="15.75" customHeight="1">
      <c r="G419" s="7"/>
    </row>
    <row r="420" ht="15.75" customHeight="1">
      <c r="G420" s="7"/>
    </row>
    <row r="421" ht="15.75" customHeight="1">
      <c r="G421" s="7"/>
    </row>
    <row r="422" ht="15.75" customHeight="1">
      <c r="G422" s="7"/>
    </row>
    <row r="423" ht="15.75" customHeight="1">
      <c r="G423" s="7"/>
    </row>
    <row r="424" ht="15.75" customHeight="1">
      <c r="G424" s="7"/>
    </row>
    <row r="425" ht="15.75" customHeight="1">
      <c r="G425" s="7"/>
    </row>
    <row r="426" ht="15.75" customHeight="1">
      <c r="G426" s="7"/>
    </row>
    <row r="427" ht="15.75" customHeight="1">
      <c r="G427" s="7"/>
    </row>
    <row r="428" ht="15.75" customHeight="1">
      <c r="G428" s="7"/>
    </row>
    <row r="429" ht="15.75" customHeight="1">
      <c r="G429" s="7"/>
    </row>
    <row r="430" ht="15.75" customHeight="1">
      <c r="G430" s="7"/>
    </row>
    <row r="431" ht="15.75" customHeight="1">
      <c r="G431" s="7"/>
    </row>
    <row r="432" ht="15.75" customHeight="1">
      <c r="G432" s="7"/>
    </row>
    <row r="433" ht="15.75" customHeight="1">
      <c r="G433" s="7"/>
    </row>
    <row r="434" ht="15.75" customHeight="1">
      <c r="G434" s="7"/>
    </row>
    <row r="435" ht="15.75" customHeight="1">
      <c r="G435" s="7"/>
    </row>
    <row r="436" ht="15.75" customHeight="1">
      <c r="G436" s="7"/>
    </row>
    <row r="437" ht="15.75" customHeight="1">
      <c r="G437" s="7"/>
    </row>
    <row r="438" ht="15.75" customHeight="1">
      <c r="G438" s="7"/>
    </row>
    <row r="439" ht="15.75" customHeight="1">
      <c r="G439" s="7"/>
    </row>
    <row r="440" ht="15.75" customHeight="1">
      <c r="G440" s="7"/>
    </row>
    <row r="441" ht="15.75" customHeight="1">
      <c r="G441" s="7"/>
    </row>
    <row r="442" ht="15.75" customHeight="1">
      <c r="G442" s="7"/>
    </row>
    <row r="443" ht="15.75" customHeight="1">
      <c r="G443" s="7"/>
    </row>
    <row r="444" ht="15.75" customHeight="1">
      <c r="G444" s="7"/>
    </row>
    <row r="445" ht="15.75" customHeight="1">
      <c r="G445" s="7"/>
    </row>
    <row r="446" ht="15.75" customHeight="1">
      <c r="G446" s="7"/>
    </row>
    <row r="447" ht="15.75" customHeight="1">
      <c r="G447" s="7"/>
    </row>
    <row r="448" ht="15.75" customHeight="1">
      <c r="G448" s="7"/>
    </row>
    <row r="449" ht="15.75" customHeight="1">
      <c r="G449" s="7"/>
    </row>
    <row r="450" ht="15.75" customHeight="1">
      <c r="G450" s="7"/>
    </row>
    <row r="451" ht="15.75" customHeight="1">
      <c r="G451" s="7"/>
    </row>
    <row r="452" ht="15.75" customHeight="1">
      <c r="G452" s="7"/>
    </row>
    <row r="453" ht="15.75" customHeight="1">
      <c r="G453" s="7"/>
    </row>
    <row r="454" ht="15.75" customHeight="1">
      <c r="G454" s="7"/>
    </row>
    <row r="455" ht="15.75" customHeight="1">
      <c r="G455" s="7"/>
    </row>
    <row r="456" ht="15.75" customHeight="1">
      <c r="G456" s="7"/>
    </row>
    <row r="457" ht="15.75" customHeight="1">
      <c r="G457" s="7"/>
    </row>
    <row r="458" ht="15.75" customHeight="1">
      <c r="G458" s="7"/>
    </row>
    <row r="459" ht="15.75" customHeight="1">
      <c r="G459" s="7"/>
    </row>
    <row r="460" ht="15.75" customHeight="1">
      <c r="G460" s="7"/>
    </row>
    <row r="461" ht="15.75" customHeight="1">
      <c r="G461" s="7"/>
    </row>
    <row r="462" ht="15.75" customHeight="1">
      <c r="G462" s="7"/>
    </row>
    <row r="463" ht="15.75" customHeight="1">
      <c r="G463" s="7"/>
    </row>
    <row r="464" ht="15.75" customHeight="1">
      <c r="G464" s="7"/>
    </row>
    <row r="465" ht="15.75" customHeight="1">
      <c r="G465" s="7"/>
    </row>
    <row r="466" ht="15.75" customHeight="1">
      <c r="G466" s="7"/>
    </row>
    <row r="467" ht="15.75" customHeight="1">
      <c r="G467" s="7"/>
    </row>
    <row r="468" ht="15.75" customHeight="1">
      <c r="G468" s="7"/>
    </row>
    <row r="469" ht="15.75" customHeight="1">
      <c r="G469" s="7"/>
    </row>
    <row r="470" ht="15.75" customHeight="1">
      <c r="G470" s="7"/>
    </row>
    <row r="471" ht="15.75" customHeight="1">
      <c r="G471" s="7"/>
    </row>
    <row r="472" ht="15.75" customHeight="1">
      <c r="G472" s="7"/>
    </row>
    <row r="473" ht="15.75" customHeight="1">
      <c r="G473" s="7"/>
    </row>
    <row r="474" ht="15.75" customHeight="1">
      <c r="G474" s="7"/>
    </row>
    <row r="475" ht="15.75" customHeight="1">
      <c r="G475" s="7"/>
    </row>
    <row r="476" ht="15.75" customHeight="1">
      <c r="G476" s="7"/>
    </row>
    <row r="477" ht="15.75" customHeight="1">
      <c r="G477" s="7"/>
    </row>
    <row r="478" ht="15.75" customHeight="1">
      <c r="G478" s="7"/>
    </row>
    <row r="479" ht="15.75" customHeight="1">
      <c r="G479" s="7"/>
    </row>
    <row r="480" ht="15.75" customHeight="1">
      <c r="G480" s="7"/>
    </row>
    <row r="481" ht="15.75" customHeight="1">
      <c r="G481" s="7"/>
    </row>
    <row r="482" ht="15.75" customHeight="1">
      <c r="G482" s="7"/>
    </row>
    <row r="483" ht="15.75" customHeight="1">
      <c r="G483" s="7"/>
    </row>
    <row r="484" ht="15.75" customHeight="1">
      <c r="G484" s="7"/>
    </row>
    <row r="485" ht="15.75" customHeight="1">
      <c r="G485" s="7"/>
    </row>
    <row r="486" ht="15.75" customHeight="1">
      <c r="G486" s="7"/>
    </row>
    <row r="487" ht="15.75" customHeight="1">
      <c r="G487" s="7"/>
    </row>
    <row r="488" ht="15.75" customHeight="1">
      <c r="G488" s="7"/>
    </row>
    <row r="489" ht="15.75" customHeight="1">
      <c r="G489" s="7"/>
    </row>
    <row r="490" ht="15.75" customHeight="1">
      <c r="G490" s="7"/>
    </row>
    <row r="491" ht="15.75" customHeight="1">
      <c r="G491" s="7"/>
    </row>
    <row r="492" ht="15.75" customHeight="1">
      <c r="G492" s="7"/>
    </row>
    <row r="493" ht="15.75" customHeight="1">
      <c r="G493" s="7"/>
    </row>
    <row r="494" ht="15.75" customHeight="1">
      <c r="G494" s="7"/>
    </row>
    <row r="495" ht="15.75" customHeight="1">
      <c r="G495" s="7"/>
    </row>
    <row r="496" ht="15.75" customHeight="1">
      <c r="G496" s="7"/>
    </row>
    <row r="497" ht="15.75" customHeight="1">
      <c r="G497" s="7"/>
    </row>
    <row r="498" ht="15.75" customHeight="1">
      <c r="G498" s="7"/>
    </row>
    <row r="499" ht="15.75" customHeight="1">
      <c r="G499" s="7"/>
    </row>
    <row r="500" ht="15.75" customHeight="1">
      <c r="G500" s="7"/>
    </row>
    <row r="501" ht="15.75" customHeight="1">
      <c r="G501" s="7"/>
    </row>
    <row r="502" ht="15.75" customHeight="1">
      <c r="G502" s="7"/>
    </row>
    <row r="503" ht="15.75" customHeight="1">
      <c r="G503" s="7"/>
    </row>
    <row r="504" ht="15.75" customHeight="1">
      <c r="G504" s="7"/>
    </row>
    <row r="505" ht="15.75" customHeight="1">
      <c r="G505" s="7"/>
    </row>
    <row r="506" ht="15.75" customHeight="1">
      <c r="G506" s="7"/>
    </row>
    <row r="507" ht="15.75" customHeight="1">
      <c r="G507" s="7"/>
    </row>
    <row r="508" ht="15.75" customHeight="1">
      <c r="G508" s="7"/>
    </row>
    <row r="509" ht="15.75" customHeight="1">
      <c r="G509" s="7"/>
    </row>
    <row r="510" ht="15.75" customHeight="1">
      <c r="G510" s="7"/>
    </row>
    <row r="511" ht="15.75" customHeight="1">
      <c r="G511" s="7"/>
    </row>
    <row r="512" ht="15.75" customHeight="1">
      <c r="G512" s="7"/>
    </row>
    <row r="513" ht="15.75" customHeight="1">
      <c r="G513" s="7"/>
    </row>
    <row r="514" ht="15.75" customHeight="1">
      <c r="G514" s="7"/>
    </row>
    <row r="515" ht="15.75" customHeight="1">
      <c r="G515" s="7"/>
    </row>
    <row r="516" ht="15.75" customHeight="1">
      <c r="G516" s="7"/>
    </row>
    <row r="517" ht="15.75" customHeight="1">
      <c r="G517" s="7"/>
    </row>
    <row r="518" ht="15.75" customHeight="1">
      <c r="G518" s="7"/>
    </row>
    <row r="519" ht="15.75" customHeight="1">
      <c r="G519" s="7"/>
    </row>
    <row r="520" ht="15.75" customHeight="1">
      <c r="G520" s="7"/>
    </row>
    <row r="521" ht="15.75" customHeight="1">
      <c r="G521" s="7"/>
    </row>
    <row r="522" ht="15.75" customHeight="1">
      <c r="G522" s="7"/>
    </row>
    <row r="523" ht="15.75" customHeight="1">
      <c r="G523" s="7"/>
    </row>
    <row r="524" ht="15.75" customHeight="1">
      <c r="G524" s="7"/>
    </row>
    <row r="525" ht="15.75" customHeight="1">
      <c r="G525" s="7"/>
    </row>
    <row r="526" ht="15.75" customHeight="1">
      <c r="G526" s="7"/>
    </row>
    <row r="527" ht="15.75" customHeight="1">
      <c r="G527" s="7"/>
    </row>
    <row r="528" ht="15.75" customHeight="1">
      <c r="G528" s="7"/>
    </row>
    <row r="529" ht="15.75" customHeight="1">
      <c r="G529" s="7"/>
    </row>
    <row r="530" ht="15.75" customHeight="1">
      <c r="G530" s="7"/>
    </row>
    <row r="531" ht="15.75" customHeight="1">
      <c r="G531" s="7"/>
    </row>
    <row r="532" ht="15.75" customHeight="1">
      <c r="G532" s="7"/>
    </row>
    <row r="533" ht="15.75" customHeight="1">
      <c r="G533" s="7"/>
    </row>
    <row r="534" ht="15.75" customHeight="1">
      <c r="G534" s="7"/>
    </row>
    <row r="535" ht="15.75" customHeight="1">
      <c r="G535" s="7"/>
    </row>
    <row r="536" ht="15.75" customHeight="1">
      <c r="G536" s="7"/>
    </row>
    <row r="537" ht="15.75" customHeight="1">
      <c r="G537" s="7"/>
    </row>
    <row r="538" ht="15.75" customHeight="1">
      <c r="G538" s="7"/>
    </row>
    <row r="539" ht="15.75" customHeight="1">
      <c r="G539" s="7"/>
    </row>
    <row r="540" ht="15.75" customHeight="1">
      <c r="G540" s="7"/>
    </row>
    <row r="541" ht="15.75" customHeight="1">
      <c r="G541" s="7"/>
    </row>
    <row r="542" ht="15.75" customHeight="1">
      <c r="G542" s="7"/>
    </row>
    <row r="543" ht="15.75" customHeight="1">
      <c r="G543" s="7"/>
    </row>
    <row r="544" ht="15.75" customHeight="1">
      <c r="G544" s="7"/>
    </row>
    <row r="545" ht="15.75" customHeight="1">
      <c r="G545" s="7"/>
    </row>
    <row r="546" ht="15.75" customHeight="1">
      <c r="G546" s="7"/>
    </row>
    <row r="547" ht="15.75" customHeight="1">
      <c r="G547" s="7"/>
    </row>
    <row r="548" ht="15.75" customHeight="1">
      <c r="G548" s="7"/>
    </row>
    <row r="549" ht="15.75" customHeight="1">
      <c r="G549" s="7"/>
    </row>
    <row r="550" ht="15.75" customHeight="1">
      <c r="G550" s="7"/>
    </row>
    <row r="551" ht="15.75" customHeight="1">
      <c r="G551" s="7"/>
    </row>
    <row r="552" ht="15.75" customHeight="1">
      <c r="G552" s="7"/>
    </row>
    <row r="553" ht="15.75" customHeight="1">
      <c r="G553" s="7"/>
    </row>
    <row r="554" ht="15.75" customHeight="1">
      <c r="G554" s="7"/>
    </row>
    <row r="555" ht="15.75" customHeight="1">
      <c r="G555" s="7"/>
    </row>
    <row r="556" ht="15.75" customHeight="1">
      <c r="G556" s="7"/>
    </row>
    <row r="557" ht="15.75" customHeight="1">
      <c r="G557" s="7"/>
    </row>
    <row r="558" ht="15.75" customHeight="1">
      <c r="G558" s="7"/>
    </row>
    <row r="559" ht="15.75" customHeight="1">
      <c r="G559" s="7"/>
    </row>
    <row r="560" ht="15.75" customHeight="1">
      <c r="G560" s="7"/>
    </row>
    <row r="561" ht="15.75" customHeight="1">
      <c r="G561" s="7"/>
    </row>
    <row r="562" ht="15.75" customHeight="1">
      <c r="G562" s="7"/>
    </row>
    <row r="563" ht="15.75" customHeight="1">
      <c r="G563" s="7"/>
    </row>
    <row r="564" ht="15.75" customHeight="1">
      <c r="G564" s="7"/>
    </row>
    <row r="565" ht="15.75" customHeight="1">
      <c r="G565" s="7"/>
    </row>
    <row r="566" ht="15.75" customHeight="1">
      <c r="G566" s="7"/>
    </row>
    <row r="567" ht="15.75" customHeight="1">
      <c r="G567" s="7"/>
    </row>
    <row r="568" ht="15.75" customHeight="1">
      <c r="G568" s="7"/>
    </row>
    <row r="569" ht="15.75" customHeight="1">
      <c r="G569" s="7"/>
    </row>
    <row r="570" ht="15.75" customHeight="1">
      <c r="G570" s="7"/>
    </row>
    <row r="571" ht="15.75" customHeight="1">
      <c r="G571" s="7"/>
    </row>
    <row r="572" ht="15.75" customHeight="1">
      <c r="G572" s="7"/>
    </row>
    <row r="573" ht="15.75" customHeight="1">
      <c r="G573" s="7"/>
    </row>
    <row r="574" ht="15.75" customHeight="1">
      <c r="G574" s="7"/>
    </row>
    <row r="575" ht="15.75" customHeight="1">
      <c r="G575" s="7"/>
    </row>
    <row r="576" ht="15.75" customHeight="1">
      <c r="G576" s="7"/>
    </row>
    <row r="577" ht="15.75" customHeight="1">
      <c r="G577" s="7"/>
    </row>
    <row r="578" ht="15.75" customHeight="1">
      <c r="G578" s="7"/>
    </row>
    <row r="579" ht="15.75" customHeight="1">
      <c r="G579" s="7"/>
    </row>
    <row r="580" ht="15.75" customHeight="1">
      <c r="G580" s="7"/>
    </row>
    <row r="581" ht="15.75" customHeight="1">
      <c r="G581" s="7"/>
    </row>
    <row r="582" ht="15.75" customHeight="1">
      <c r="G582" s="7"/>
    </row>
    <row r="583" ht="15.75" customHeight="1">
      <c r="G583" s="7"/>
    </row>
    <row r="584" ht="15.75" customHeight="1">
      <c r="G584" s="7"/>
    </row>
    <row r="585" ht="15.75" customHeight="1">
      <c r="G585" s="7"/>
    </row>
    <row r="586" ht="15.75" customHeight="1">
      <c r="G586" s="7"/>
    </row>
    <row r="587" ht="15.75" customHeight="1">
      <c r="G587" s="7"/>
    </row>
    <row r="588" ht="15.75" customHeight="1">
      <c r="G588" s="7"/>
    </row>
    <row r="589" ht="15.75" customHeight="1">
      <c r="G589" s="7"/>
    </row>
    <row r="590" ht="15.75" customHeight="1">
      <c r="G590" s="7"/>
    </row>
    <row r="591" ht="15.75" customHeight="1">
      <c r="G591" s="7"/>
    </row>
    <row r="592" ht="15.75" customHeight="1">
      <c r="G592" s="7"/>
    </row>
    <row r="593" ht="15.75" customHeight="1">
      <c r="G593" s="7"/>
    </row>
    <row r="594" ht="15.75" customHeight="1">
      <c r="G594" s="7"/>
    </row>
    <row r="595" ht="15.75" customHeight="1">
      <c r="G595" s="7"/>
    </row>
    <row r="596" ht="15.75" customHeight="1">
      <c r="G596" s="7"/>
    </row>
    <row r="597" ht="15.75" customHeight="1">
      <c r="G597" s="7"/>
    </row>
    <row r="598" ht="15.75" customHeight="1">
      <c r="G598" s="7"/>
    </row>
    <row r="599" ht="15.75" customHeight="1">
      <c r="G599" s="7"/>
    </row>
    <row r="600" ht="15.75" customHeight="1">
      <c r="G600" s="7"/>
    </row>
    <row r="601" ht="15.75" customHeight="1">
      <c r="G601" s="7"/>
    </row>
    <row r="602" ht="15.75" customHeight="1">
      <c r="G602" s="7"/>
    </row>
    <row r="603" ht="15.75" customHeight="1">
      <c r="G603" s="7"/>
    </row>
    <row r="604" ht="15.75" customHeight="1">
      <c r="G604" s="7"/>
    </row>
    <row r="605" ht="15.75" customHeight="1">
      <c r="G605" s="7"/>
    </row>
    <row r="606" ht="15.75" customHeight="1">
      <c r="G606" s="7"/>
    </row>
    <row r="607" ht="15.75" customHeight="1">
      <c r="G607" s="7"/>
    </row>
    <row r="608" ht="15.75" customHeight="1">
      <c r="G608" s="7"/>
    </row>
    <row r="609" ht="15.75" customHeight="1">
      <c r="G609" s="7"/>
    </row>
    <row r="610" ht="15.75" customHeight="1">
      <c r="G610" s="7"/>
    </row>
    <row r="611" ht="15.75" customHeight="1">
      <c r="G611" s="7"/>
    </row>
    <row r="612" ht="15.75" customHeight="1">
      <c r="G612" s="7"/>
    </row>
    <row r="613" ht="15.75" customHeight="1">
      <c r="G613" s="7"/>
    </row>
    <row r="614" ht="15.75" customHeight="1">
      <c r="G614" s="7"/>
    </row>
    <row r="615" ht="15.75" customHeight="1">
      <c r="G615" s="7"/>
    </row>
    <row r="616" ht="15.75" customHeight="1">
      <c r="G616" s="7"/>
    </row>
    <row r="617" ht="15.75" customHeight="1">
      <c r="G617" s="7"/>
    </row>
    <row r="618" ht="15.75" customHeight="1">
      <c r="G618" s="7"/>
    </row>
    <row r="619" ht="15.75" customHeight="1">
      <c r="G619" s="7"/>
    </row>
    <row r="620" ht="15.75" customHeight="1">
      <c r="G620" s="7"/>
    </row>
    <row r="621" ht="15.75" customHeight="1">
      <c r="G621" s="7"/>
    </row>
    <row r="622" ht="15.75" customHeight="1">
      <c r="G622" s="7"/>
    </row>
    <row r="623" ht="15.75" customHeight="1">
      <c r="G623" s="7"/>
    </row>
    <row r="624" ht="15.75" customHeight="1">
      <c r="G624" s="7"/>
    </row>
    <row r="625" ht="15.75" customHeight="1">
      <c r="G625" s="7"/>
    </row>
    <row r="626" ht="15.75" customHeight="1">
      <c r="G626" s="7"/>
    </row>
    <row r="627" ht="15.75" customHeight="1">
      <c r="G627" s="7"/>
    </row>
    <row r="628" ht="15.75" customHeight="1">
      <c r="G628" s="7"/>
    </row>
    <row r="629" ht="15.75" customHeight="1">
      <c r="G629" s="7"/>
    </row>
    <row r="630" ht="15.75" customHeight="1">
      <c r="G630" s="7"/>
    </row>
    <row r="631" ht="15.75" customHeight="1">
      <c r="G631" s="7"/>
    </row>
    <row r="632" ht="15.75" customHeight="1">
      <c r="G632" s="7"/>
    </row>
    <row r="633" ht="15.75" customHeight="1">
      <c r="G633" s="7"/>
    </row>
    <row r="634" ht="15.75" customHeight="1">
      <c r="G634" s="7"/>
    </row>
    <row r="635" ht="15.75" customHeight="1">
      <c r="G635" s="7"/>
    </row>
    <row r="636" ht="15.75" customHeight="1">
      <c r="G636" s="7"/>
    </row>
    <row r="637" ht="15.75" customHeight="1">
      <c r="G637" s="7"/>
    </row>
    <row r="638" ht="15.75" customHeight="1">
      <c r="G638" s="7"/>
    </row>
    <row r="639" ht="15.75" customHeight="1">
      <c r="G639" s="7"/>
    </row>
    <row r="640" ht="15.75" customHeight="1">
      <c r="G640" s="7"/>
    </row>
    <row r="641" ht="15.75" customHeight="1">
      <c r="G641" s="7"/>
    </row>
    <row r="642" ht="15.75" customHeight="1">
      <c r="G642" s="7"/>
    </row>
    <row r="643" ht="15.75" customHeight="1">
      <c r="G643" s="7"/>
    </row>
    <row r="644" ht="15.75" customHeight="1">
      <c r="G644" s="7"/>
    </row>
    <row r="645" ht="15.75" customHeight="1">
      <c r="G645" s="7"/>
    </row>
    <row r="646" ht="15.75" customHeight="1">
      <c r="G646" s="7"/>
    </row>
    <row r="647" ht="15.75" customHeight="1">
      <c r="G647" s="7"/>
    </row>
    <row r="648" ht="15.75" customHeight="1">
      <c r="G648" s="7"/>
    </row>
    <row r="649" ht="15.75" customHeight="1">
      <c r="G649" s="7"/>
    </row>
    <row r="650" ht="15.75" customHeight="1">
      <c r="G650" s="7"/>
    </row>
    <row r="651" ht="15.75" customHeight="1">
      <c r="G651" s="7"/>
    </row>
    <row r="652" ht="15.75" customHeight="1">
      <c r="G652" s="7"/>
    </row>
    <row r="653" ht="15.75" customHeight="1">
      <c r="G653" s="7"/>
    </row>
    <row r="654" ht="15.75" customHeight="1">
      <c r="G654" s="7"/>
    </row>
    <row r="655" ht="15.75" customHeight="1">
      <c r="G655" s="7"/>
    </row>
    <row r="656" ht="15.75" customHeight="1">
      <c r="G656" s="7"/>
    </row>
    <row r="657" ht="15.75" customHeight="1">
      <c r="G657" s="7"/>
    </row>
    <row r="658" ht="15.75" customHeight="1">
      <c r="G658" s="7"/>
    </row>
    <row r="659" ht="15.75" customHeight="1">
      <c r="G659" s="7"/>
    </row>
    <row r="660" ht="15.75" customHeight="1">
      <c r="G660" s="7"/>
    </row>
    <row r="661" ht="15.75" customHeight="1">
      <c r="G661" s="7"/>
    </row>
    <row r="662" ht="15.75" customHeight="1">
      <c r="G662" s="7"/>
    </row>
    <row r="663" ht="15.75" customHeight="1">
      <c r="G663" s="7"/>
    </row>
    <row r="664" ht="15.75" customHeight="1">
      <c r="G664" s="7"/>
    </row>
    <row r="665" ht="15.75" customHeight="1">
      <c r="G665" s="7"/>
    </row>
    <row r="666" ht="15.75" customHeight="1">
      <c r="G666" s="7"/>
    </row>
    <row r="667" ht="15.75" customHeight="1">
      <c r="G667" s="7"/>
    </row>
    <row r="668" ht="15.75" customHeight="1">
      <c r="G668" s="7"/>
    </row>
    <row r="669" ht="15.75" customHeight="1">
      <c r="G669" s="7"/>
    </row>
    <row r="670" ht="15.75" customHeight="1">
      <c r="G670" s="7"/>
    </row>
    <row r="671" ht="15.75" customHeight="1">
      <c r="G671" s="7"/>
    </row>
    <row r="672" ht="15.75" customHeight="1">
      <c r="G672" s="7"/>
    </row>
    <row r="673" ht="15.75" customHeight="1">
      <c r="G673" s="7"/>
    </row>
    <row r="674" ht="15.75" customHeight="1">
      <c r="G674" s="7"/>
    </row>
    <row r="675" ht="15.75" customHeight="1">
      <c r="G675" s="7"/>
    </row>
    <row r="676" ht="15.75" customHeight="1">
      <c r="G676" s="7"/>
    </row>
    <row r="677" ht="15.75" customHeight="1">
      <c r="G677" s="7"/>
    </row>
    <row r="678" ht="15.75" customHeight="1">
      <c r="G678" s="7"/>
    </row>
    <row r="679" ht="15.75" customHeight="1">
      <c r="G679" s="7"/>
    </row>
    <row r="680" ht="15.75" customHeight="1">
      <c r="G680" s="7"/>
    </row>
    <row r="681" ht="15.75" customHeight="1">
      <c r="G681" s="7"/>
    </row>
    <row r="682" ht="15.75" customHeight="1">
      <c r="G682" s="7"/>
    </row>
    <row r="683" ht="15.75" customHeight="1">
      <c r="G683" s="7"/>
    </row>
    <row r="684" ht="15.75" customHeight="1">
      <c r="G684" s="7"/>
    </row>
    <row r="685" ht="15.75" customHeight="1">
      <c r="G685" s="7"/>
    </row>
    <row r="686" ht="15.75" customHeight="1">
      <c r="G686" s="7"/>
    </row>
    <row r="687" ht="15.75" customHeight="1">
      <c r="G687" s="7"/>
    </row>
    <row r="688" ht="15.75" customHeight="1">
      <c r="G688" s="7"/>
    </row>
    <row r="689" ht="15.75" customHeight="1">
      <c r="G689" s="7"/>
    </row>
    <row r="690" ht="15.75" customHeight="1">
      <c r="G690" s="7"/>
    </row>
    <row r="691" ht="15.75" customHeight="1">
      <c r="G691" s="7"/>
    </row>
    <row r="692" ht="15.75" customHeight="1">
      <c r="G692" s="7"/>
    </row>
    <row r="693" ht="15.75" customHeight="1">
      <c r="G693" s="7"/>
    </row>
    <row r="694" ht="15.75" customHeight="1">
      <c r="G694" s="7"/>
    </row>
    <row r="695" ht="15.75" customHeight="1">
      <c r="G695" s="7"/>
    </row>
    <row r="696" ht="15.75" customHeight="1">
      <c r="G696" s="7"/>
    </row>
    <row r="697" ht="15.75" customHeight="1">
      <c r="G697" s="7"/>
    </row>
    <row r="698" ht="15.75" customHeight="1">
      <c r="G698" s="7"/>
    </row>
    <row r="699" ht="15.75" customHeight="1">
      <c r="G699" s="7"/>
    </row>
    <row r="700" ht="15.75" customHeight="1">
      <c r="G700" s="7"/>
    </row>
    <row r="701" ht="15.75" customHeight="1">
      <c r="G701" s="7"/>
    </row>
    <row r="702" ht="15.75" customHeight="1">
      <c r="G702" s="7"/>
    </row>
    <row r="703" ht="15.75" customHeight="1">
      <c r="G703" s="7"/>
    </row>
    <row r="704" ht="15.75" customHeight="1">
      <c r="G704" s="7"/>
    </row>
    <row r="705" ht="15.75" customHeight="1">
      <c r="G705" s="7"/>
    </row>
    <row r="706" ht="15.75" customHeight="1">
      <c r="G706" s="7"/>
    </row>
    <row r="707" ht="15.75" customHeight="1">
      <c r="G707" s="7"/>
    </row>
    <row r="708" ht="15.75" customHeight="1">
      <c r="G708" s="7"/>
    </row>
    <row r="709" ht="15.75" customHeight="1">
      <c r="G709" s="7"/>
    </row>
    <row r="710" ht="15.75" customHeight="1">
      <c r="G710" s="7"/>
    </row>
    <row r="711" ht="15.75" customHeight="1">
      <c r="G711" s="7"/>
    </row>
    <row r="712" ht="15.75" customHeight="1">
      <c r="G712" s="7"/>
    </row>
    <row r="713" ht="15.75" customHeight="1">
      <c r="G713" s="7"/>
    </row>
    <row r="714" ht="15.75" customHeight="1">
      <c r="G714" s="7"/>
    </row>
    <row r="715" ht="15.75" customHeight="1">
      <c r="G715" s="7"/>
    </row>
    <row r="716" ht="15.75" customHeight="1">
      <c r="G716" s="7"/>
    </row>
    <row r="717" ht="15.75" customHeight="1">
      <c r="G717" s="7"/>
    </row>
    <row r="718" ht="15.75" customHeight="1">
      <c r="G718" s="7"/>
    </row>
    <row r="719" ht="15.75" customHeight="1">
      <c r="G719" s="7"/>
    </row>
    <row r="720" ht="15.75" customHeight="1">
      <c r="G720" s="7"/>
    </row>
    <row r="721" ht="15.75" customHeight="1">
      <c r="G721" s="7"/>
    </row>
    <row r="722" ht="15.75" customHeight="1">
      <c r="G722" s="7"/>
    </row>
    <row r="723" ht="15.75" customHeight="1">
      <c r="G723" s="7"/>
    </row>
    <row r="724" ht="15.75" customHeight="1">
      <c r="G724" s="7"/>
    </row>
    <row r="725" ht="15.75" customHeight="1">
      <c r="G725" s="7"/>
    </row>
    <row r="726" ht="15.75" customHeight="1">
      <c r="G726" s="7"/>
    </row>
    <row r="727" ht="15.75" customHeight="1">
      <c r="G727" s="7"/>
    </row>
    <row r="728" ht="15.75" customHeight="1">
      <c r="G728" s="7"/>
    </row>
    <row r="729" ht="15.75" customHeight="1">
      <c r="G729" s="7"/>
    </row>
    <row r="730" ht="15.75" customHeight="1">
      <c r="G730" s="7"/>
    </row>
    <row r="731" ht="15.75" customHeight="1">
      <c r="G731" s="7"/>
    </row>
    <row r="732" ht="15.75" customHeight="1">
      <c r="G732" s="7"/>
    </row>
    <row r="733" ht="15.75" customHeight="1">
      <c r="G733" s="7"/>
    </row>
    <row r="734" ht="15.75" customHeight="1">
      <c r="G734" s="7"/>
    </row>
    <row r="735" ht="15.75" customHeight="1">
      <c r="G735" s="7"/>
    </row>
    <row r="736" ht="15.75" customHeight="1">
      <c r="G736" s="7"/>
    </row>
    <row r="737" ht="15.75" customHeight="1">
      <c r="G737" s="7"/>
    </row>
    <row r="738" ht="15.75" customHeight="1">
      <c r="G738" s="7"/>
    </row>
    <row r="739" ht="15.75" customHeight="1">
      <c r="G739" s="7"/>
    </row>
    <row r="740" ht="15.75" customHeight="1">
      <c r="G740" s="7"/>
    </row>
    <row r="741" ht="15.75" customHeight="1">
      <c r="G741" s="7"/>
    </row>
    <row r="742" ht="15.75" customHeight="1">
      <c r="G742" s="7"/>
    </row>
    <row r="743" ht="15.75" customHeight="1">
      <c r="G743" s="7"/>
    </row>
    <row r="744" ht="15.75" customHeight="1">
      <c r="G744" s="7"/>
    </row>
    <row r="745" ht="15.75" customHeight="1">
      <c r="G745" s="7"/>
    </row>
    <row r="746" ht="15.75" customHeight="1">
      <c r="G746" s="7"/>
    </row>
    <row r="747" ht="15.75" customHeight="1">
      <c r="G747" s="7"/>
    </row>
    <row r="748" ht="15.75" customHeight="1">
      <c r="G748" s="7"/>
    </row>
    <row r="749" ht="15.75" customHeight="1">
      <c r="G749" s="7"/>
    </row>
    <row r="750" ht="15.75" customHeight="1">
      <c r="G750" s="7"/>
    </row>
    <row r="751" ht="15.75" customHeight="1">
      <c r="G751" s="7"/>
    </row>
    <row r="752" ht="15.75" customHeight="1">
      <c r="G752" s="7"/>
    </row>
    <row r="753" ht="15.75" customHeight="1">
      <c r="G753" s="7"/>
    </row>
    <row r="754" ht="15.75" customHeight="1">
      <c r="G754" s="7"/>
    </row>
    <row r="755" ht="15.75" customHeight="1">
      <c r="G755" s="7"/>
    </row>
    <row r="756" ht="15.75" customHeight="1">
      <c r="G756" s="7"/>
    </row>
    <row r="757" ht="15.75" customHeight="1">
      <c r="G757" s="7"/>
    </row>
    <row r="758" ht="15.75" customHeight="1">
      <c r="G758" s="7"/>
    </row>
    <row r="759" ht="15.75" customHeight="1">
      <c r="G759" s="7"/>
    </row>
    <row r="760" ht="15.75" customHeight="1">
      <c r="G760" s="7"/>
    </row>
    <row r="761" ht="15.75" customHeight="1">
      <c r="G761" s="7"/>
    </row>
    <row r="762" ht="15.75" customHeight="1">
      <c r="G762" s="7"/>
    </row>
    <row r="763" ht="15.75" customHeight="1">
      <c r="G763" s="7"/>
    </row>
    <row r="764" ht="15.75" customHeight="1">
      <c r="G764" s="7"/>
    </row>
    <row r="765" ht="15.75" customHeight="1">
      <c r="G765" s="7"/>
    </row>
    <row r="766" ht="15.75" customHeight="1">
      <c r="G766" s="7"/>
    </row>
    <row r="767" ht="15.75" customHeight="1">
      <c r="G767" s="7"/>
    </row>
    <row r="768" ht="15.75" customHeight="1">
      <c r="G768" s="7"/>
    </row>
    <row r="769" ht="15.75" customHeight="1">
      <c r="G769" s="7"/>
    </row>
    <row r="770" ht="15.75" customHeight="1">
      <c r="G770" s="7"/>
    </row>
    <row r="771" ht="15.75" customHeight="1">
      <c r="G771" s="7"/>
    </row>
    <row r="772" ht="15.75" customHeight="1">
      <c r="G772" s="7"/>
    </row>
    <row r="773" ht="15.75" customHeight="1">
      <c r="G773" s="7"/>
    </row>
    <row r="774" ht="15.75" customHeight="1">
      <c r="G774" s="7"/>
    </row>
    <row r="775" ht="15.75" customHeight="1">
      <c r="G775" s="7"/>
    </row>
    <row r="776" ht="15.75" customHeight="1">
      <c r="G776" s="7"/>
    </row>
    <row r="777" ht="15.75" customHeight="1">
      <c r="G777" s="7"/>
    </row>
    <row r="778" ht="15.75" customHeight="1">
      <c r="G778" s="7"/>
    </row>
    <row r="779" ht="15.75" customHeight="1">
      <c r="G779" s="7"/>
    </row>
    <row r="780" ht="15.75" customHeight="1">
      <c r="G780" s="7"/>
    </row>
    <row r="781" ht="15.75" customHeight="1">
      <c r="G781" s="7"/>
    </row>
    <row r="782" ht="15.75" customHeight="1">
      <c r="G782" s="7"/>
    </row>
    <row r="783" ht="15.75" customHeight="1">
      <c r="G783" s="7"/>
    </row>
    <row r="784" ht="15.75" customHeight="1">
      <c r="G784" s="7"/>
    </row>
    <row r="785" ht="15.75" customHeight="1">
      <c r="G785" s="7"/>
    </row>
    <row r="786" ht="15.75" customHeight="1">
      <c r="G786" s="7"/>
    </row>
    <row r="787" ht="15.75" customHeight="1">
      <c r="G787" s="7"/>
    </row>
    <row r="788" ht="15.75" customHeight="1">
      <c r="G788" s="7"/>
    </row>
    <row r="789" ht="15.75" customHeight="1">
      <c r="G789" s="7"/>
    </row>
    <row r="790" ht="15.75" customHeight="1">
      <c r="G790" s="7"/>
    </row>
    <row r="791" ht="15.75" customHeight="1">
      <c r="G791" s="7"/>
    </row>
    <row r="792" ht="15.75" customHeight="1">
      <c r="G792" s="7"/>
    </row>
    <row r="793" ht="15.75" customHeight="1">
      <c r="G793" s="7"/>
    </row>
    <row r="794" ht="15.75" customHeight="1">
      <c r="G794" s="7"/>
    </row>
    <row r="795" ht="15.75" customHeight="1">
      <c r="G795" s="7"/>
    </row>
    <row r="796" ht="15.75" customHeight="1">
      <c r="G796" s="7"/>
    </row>
    <row r="797" ht="15.75" customHeight="1">
      <c r="G797" s="7"/>
    </row>
    <row r="798" ht="15.75" customHeight="1">
      <c r="G798" s="7"/>
    </row>
    <row r="799" ht="15.75" customHeight="1">
      <c r="G799" s="7"/>
    </row>
    <row r="800" ht="15.75" customHeight="1">
      <c r="G800" s="7"/>
    </row>
    <row r="801" ht="15.75" customHeight="1">
      <c r="G801" s="7"/>
    </row>
    <row r="802" ht="15.75" customHeight="1">
      <c r="G802" s="7"/>
    </row>
    <row r="803" ht="15.75" customHeight="1">
      <c r="G803" s="7"/>
    </row>
    <row r="804" ht="15.75" customHeight="1">
      <c r="G804" s="7"/>
    </row>
    <row r="805" ht="15.75" customHeight="1">
      <c r="G805" s="7"/>
    </row>
    <row r="806" ht="15.75" customHeight="1">
      <c r="G806" s="7"/>
    </row>
    <row r="807" ht="15.75" customHeight="1">
      <c r="G807" s="7"/>
    </row>
    <row r="808" ht="15.75" customHeight="1">
      <c r="G808" s="7"/>
    </row>
    <row r="809" ht="15.75" customHeight="1">
      <c r="G809" s="7"/>
    </row>
    <row r="810" ht="15.75" customHeight="1">
      <c r="G810" s="7"/>
    </row>
    <row r="811" ht="15.75" customHeight="1">
      <c r="G811" s="7"/>
    </row>
    <row r="812" ht="15.75" customHeight="1">
      <c r="G812" s="7"/>
    </row>
    <row r="813" ht="15.75" customHeight="1">
      <c r="G813" s="7"/>
    </row>
    <row r="814" ht="15.75" customHeight="1">
      <c r="G814" s="7"/>
    </row>
    <row r="815" ht="15.75" customHeight="1">
      <c r="G815" s="7"/>
    </row>
    <row r="816" ht="15.75" customHeight="1">
      <c r="G816" s="7"/>
    </row>
    <row r="817" ht="15.75" customHeight="1">
      <c r="G817" s="7"/>
    </row>
    <row r="818" ht="15.75" customHeight="1">
      <c r="G818" s="7"/>
    </row>
    <row r="819" ht="15.75" customHeight="1">
      <c r="G819" s="7"/>
    </row>
    <row r="820" ht="15.75" customHeight="1">
      <c r="G820" s="7"/>
    </row>
    <row r="821" ht="15.75" customHeight="1">
      <c r="G821" s="7"/>
    </row>
    <row r="822" ht="15.75" customHeight="1">
      <c r="G822" s="7"/>
    </row>
    <row r="823" ht="15.75" customHeight="1">
      <c r="G823" s="7"/>
    </row>
    <row r="824" ht="15.75" customHeight="1">
      <c r="G824" s="7"/>
    </row>
    <row r="825" ht="15.75" customHeight="1">
      <c r="G825" s="7"/>
    </row>
    <row r="826" ht="15.75" customHeight="1">
      <c r="G826" s="7"/>
    </row>
    <row r="827" ht="15.75" customHeight="1">
      <c r="G827" s="7"/>
    </row>
    <row r="828" ht="15.75" customHeight="1">
      <c r="G828" s="7"/>
    </row>
    <row r="829" ht="15.75" customHeight="1">
      <c r="G829" s="7"/>
    </row>
    <row r="830" ht="15.75" customHeight="1">
      <c r="G830" s="7"/>
    </row>
    <row r="831" ht="15.75" customHeight="1">
      <c r="G831" s="7"/>
    </row>
    <row r="832" ht="15.75" customHeight="1">
      <c r="G832" s="7"/>
    </row>
    <row r="833" ht="15.75" customHeight="1">
      <c r="G833" s="7"/>
    </row>
    <row r="834" ht="15.75" customHeight="1">
      <c r="G834" s="7"/>
    </row>
    <row r="835" ht="15.75" customHeight="1">
      <c r="G835" s="7"/>
    </row>
    <row r="836" ht="15.75" customHeight="1">
      <c r="G836" s="7"/>
    </row>
    <row r="837" ht="15.75" customHeight="1">
      <c r="G837" s="7"/>
    </row>
    <row r="838" ht="15.75" customHeight="1">
      <c r="G838" s="7"/>
    </row>
    <row r="839" ht="15.75" customHeight="1">
      <c r="G839" s="7"/>
    </row>
    <row r="840" ht="15.75" customHeight="1">
      <c r="G840" s="7"/>
    </row>
    <row r="841" ht="15.75" customHeight="1">
      <c r="G841" s="7"/>
    </row>
    <row r="842" ht="15.75" customHeight="1">
      <c r="G842" s="7"/>
    </row>
    <row r="843" ht="15.75" customHeight="1">
      <c r="G843" s="7"/>
    </row>
    <row r="844" ht="15.75" customHeight="1">
      <c r="G844" s="7"/>
    </row>
    <row r="845" ht="15.75" customHeight="1">
      <c r="G845" s="7"/>
    </row>
    <row r="846" ht="15.75" customHeight="1">
      <c r="G846" s="7"/>
    </row>
    <row r="847" ht="15.75" customHeight="1">
      <c r="G847" s="7"/>
    </row>
    <row r="848" ht="15.75" customHeight="1">
      <c r="G848" s="7"/>
    </row>
    <row r="849" ht="15.75" customHeight="1">
      <c r="G849" s="7"/>
    </row>
    <row r="850" ht="15.75" customHeight="1">
      <c r="G850" s="7"/>
    </row>
    <row r="851" ht="15.75" customHeight="1">
      <c r="G851" s="7"/>
    </row>
    <row r="852" ht="15.75" customHeight="1">
      <c r="G852" s="7"/>
    </row>
    <row r="853" ht="15.75" customHeight="1">
      <c r="G853" s="7"/>
    </row>
    <row r="854" ht="15.75" customHeight="1">
      <c r="G854" s="7"/>
    </row>
    <row r="855" ht="15.75" customHeight="1">
      <c r="G855" s="7"/>
    </row>
    <row r="856" ht="15.75" customHeight="1">
      <c r="G856" s="7"/>
    </row>
    <row r="857" ht="15.75" customHeight="1">
      <c r="G857" s="7"/>
    </row>
    <row r="858" ht="15.75" customHeight="1">
      <c r="G858" s="7"/>
    </row>
    <row r="859" ht="15.75" customHeight="1">
      <c r="G859" s="7"/>
    </row>
    <row r="860" ht="15.75" customHeight="1">
      <c r="G860" s="7"/>
    </row>
    <row r="861" ht="15.75" customHeight="1">
      <c r="G861" s="7"/>
    </row>
    <row r="862" ht="15.75" customHeight="1">
      <c r="G862" s="7"/>
    </row>
    <row r="863" ht="15.75" customHeight="1">
      <c r="G863" s="7"/>
    </row>
    <row r="864" ht="15.75" customHeight="1">
      <c r="G864" s="7"/>
    </row>
    <row r="865" ht="15.75" customHeight="1">
      <c r="G865" s="7"/>
    </row>
    <row r="866" ht="15.75" customHeight="1">
      <c r="G866" s="7"/>
    </row>
    <row r="867" ht="15.75" customHeight="1">
      <c r="G867" s="7"/>
    </row>
    <row r="868" ht="15.75" customHeight="1">
      <c r="G868" s="7"/>
    </row>
    <row r="869" ht="15.75" customHeight="1">
      <c r="G869" s="7"/>
    </row>
    <row r="870" ht="15.75" customHeight="1">
      <c r="G870" s="7"/>
    </row>
    <row r="871" ht="15.75" customHeight="1">
      <c r="G871" s="7"/>
    </row>
    <row r="872" ht="15.75" customHeight="1">
      <c r="G872" s="7"/>
    </row>
    <row r="873" ht="15.75" customHeight="1">
      <c r="G873" s="7"/>
    </row>
    <row r="874" ht="15.75" customHeight="1">
      <c r="G874" s="7"/>
    </row>
    <row r="875" ht="15.75" customHeight="1">
      <c r="G875" s="7"/>
    </row>
    <row r="876" ht="15.75" customHeight="1">
      <c r="G876" s="7"/>
    </row>
    <row r="877" ht="15.75" customHeight="1">
      <c r="G877" s="7"/>
    </row>
    <row r="878" ht="15.75" customHeight="1">
      <c r="G878" s="7"/>
    </row>
    <row r="879" ht="15.75" customHeight="1">
      <c r="G879" s="7"/>
    </row>
    <row r="880" ht="15.75" customHeight="1">
      <c r="G880" s="7"/>
    </row>
    <row r="881" ht="15.75" customHeight="1">
      <c r="G881" s="7"/>
    </row>
    <row r="882" ht="15.75" customHeight="1">
      <c r="G882" s="7"/>
    </row>
    <row r="883" ht="15.75" customHeight="1">
      <c r="G883" s="7"/>
    </row>
    <row r="884" ht="15.75" customHeight="1">
      <c r="G884" s="7"/>
    </row>
    <row r="885" ht="15.75" customHeight="1">
      <c r="G885" s="7"/>
    </row>
    <row r="886" ht="15.75" customHeight="1">
      <c r="G886" s="7"/>
    </row>
    <row r="887" ht="15.75" customHeight="1">
      <c r="G887" s="7"/>
    </row>
    <row r="888" ht="15.75" customHeight="1">
      <c r="G888" s="7"/>
    </row>
    <row r="889" ht="15.75" customHeight="1">
      <c r="G889" s="7"/>
    </row>
    <row r="890" ht="15.75" customHeight="1">
      <c r="G890" s="7"/>
    </row>
    <row r="891" ht="15.75" customHeight="1">
      <c r="G891" s="7"/>
    </row>
    <row r="892" ht="15.75" customHeight="1">
      <c r="G892" s="7"/>
    </row>
    <row r="893" ht="15.75" customHeight="1">
      <c r="G893" s="7"/>
    </row>
    <row r="894" ht="15.75" customHeight="1">
      <c r="G894" s="7"/>
    </row>
    <row r="895" ht="15.75" customHeight="1">
      <c r="G895" s="7"/>
    </row>
    <row r="896" ht="15.75" customHeight="1">
      <c r="G896" s="7"/>
    </row>
    <row r="897" ht="15.75" customHeight="1">
      <c r="G897" s="7"/>
    </row>
    <row r="898" ht="15.75" customHeight="1">
      <c r="G898" s="7"/>
    </row>
    <row r="899" ht="15.75" customHeight="1">
      <c r="G899" s="7"/>
    </row>
    <row r="900" ht="15.75" customHeight="1">
      <c r="G900" s="7"/>
    </row>
    <row r="901" ht="15.75" customHeight="1">
      <c r="G901" s="7"/>
    </row>
    <row r="902" ht="15.75" customHeight="1">
      <c r="G902" s="7"/>
    </row>
    <row r="903" ht="15.75" customHeight="1">
      <c r="G903" s="7"/>
    </row>
    <row r="904" ht="15.75" customHeight="1">
      <c r="G904" s="7"/>
    </row>
    <row r="905" ht="15.75" customHeight="1">
      <c r="G905" s="7"/>
    </row>
    <row r="906" ht="15.75" customHeight="1">
      <c r="G906" s="7"/>
    </row>
    <row r="907" ht="15.75" customHeight="1">
      <c r="G907" s="7"/>
    </row>
    <row r="908" ht="15.75" customHeight="1">
      <c r="G908" s="7"/>
    </row>
    <row r="909" ht="15.75" customHeight="1">
      <c r="G909" s="7"/>
    </row>
    <row r="910" ht="15.75" customHeight="1">
      <c r="G910" s="7"/>
    </row>
    <row r="911" ht="15.75" customHeight="1">
      <c r="G911" s="7"/>
    </row>
    <row r="912" ht="15.75" customHeight="1">
      <c r="G912" s="7"/>
    </row>
    <row r="913" ht="15.75" customHeight="1">
      <c r="G913" s="7"/>
    </row>
    <row r="914" ht="15.75" customHeight="1">
      <c r="G914" s="7"/>
    </row>
    <row r="915" ht="15.75" customHeight="1">
      <c r="G915" s="7"/>
    </row>
    <row r="916" ht="15.75" customHeight="1">
      <c r="G916" s="7"/>
    </row>
    <row r="917" ht="15.75" customHeight="1">
      <c r="G917" s="7"/>
    </row>
    <row r="918" ht="15.75" customHeight="1">
      <c r="G918" s="7"/>
    </row>
    <row r="919" ht="15.75" customHeight="1">
      <c r="G919" s="7"/>
    </row>
    <row r="920" ht="15.75" customHeight="1">
      <c r="G920" s="7"/>
    </row>
    <row r="921" ht="15.75" customHeight="1">
      <c r="G921" s="7"/>
    </row>
    <row r="922" ht="15.75" customHeight="1">
      <c r="G922" s="7"/>
    </row>
    <row r="923" ht="15.75" customHeight="1">
      <c r="G923" s="7"/>
    </row>
    <row r="924" ht="15.75" customHeight="1">
      <c r="G924" s="7"/>
    </row>
    <row r="925" ht="15.75" customHeight="1">
      <c r="G925" s="7"/>
    </row>
    <row r="926" ht="15.75" customHeight="1">
      <c r="G926" s="7"/>
    </row>
    <row r="927" ht="15.75" customHeight="1">
      <c r="G927" s="7"/>
    </row>
    <row r="928" ht="15.75" customHeight="1">
      <c r="G928" s="7"/>
    </row>
    <row r="929" ht="15.75" customHeight="1">
      <c r="G929" s="7"/>
    </row>
    <row r="930" ht="15.75" customHeight="1">
      <c r="G930" s="7"/>
    </row>
    <row r="931" ht="15.75" customHeight="1">
      <c r="G931" s="7"/>
    </row>
    <row r="932" ht="15.75" customHeight="1">
      <c r="G932" s="7"/>
    </row>
    <row r="933" ht="15.75" customHeight="1">
      <c r="G933" s="7"/>
    </row>
    <row r="934" ht="15.75" customHeight="1">
      <c r="G934" s="7"/>
    </row>
    <row r="935" ht="15.75" customHeight="1">
      <c r="G935" s="7"/>
    </row>
    <row r="936" ht="15.75" customHeight="1">
      <c r="G936" s="7"/>
    </row>
    <row r="937" ht="15.75" customHeight="1">
      <c r="G937" s="7"/>
    </row>
    <row r="938" ht="15.75" customHeight="1">
      <c r="G938" s="7"/>
    </row>
    <row r="939" ht="15.75" customHeight="1">
      <c r="G939" s="7"/>
    </row>
    <row r="940" ht="15.75" customHeight="1">
      <c r="G940" s="7"/>
    </row>
    <row r="941" ht="15.75" customHeight="1">
      <c r="G941" s="7"/>
    </row>
    <row r="942" ht="15.75" customHeight="1">
      <c r="G942" s="7"/>
    </row>
    <row r="943" ht="15.75" customHeight="1">
      <c r="G943" s="7"/>
    </row>
    <row r="944" ht="15.75" customHeight="1">
      <c r="G944" s="7"/>
    </row>
    <row r="945" ht="15.75" customHeight="1">
      <c r="G945" s="7"/>
    </row>
    <row r="946" ht="15.75" customHeight="1">
      <c r="G946" s="7"/>
    </row>
    <row r="947" ht="15.75" customHeight="1">
      <c r="G947" s="7"/>
    </row>
    <row r="948" ht="15.75" customHeight="1">
      <c r="G948" s="7"/>
    </row>
    <row r="949" ht="15.75" customHeight="1">
      <c r="G949" s="7"/>
    </row>
    <row r="950" ht="15.75" customHeight="1">
      <c r="G950" s="7"/>
    </row>
    <row r="951" ht="15.75" customHeight="1">
      <c r="G951" s="7"/>
    </row>
    <row r="952" ht="15.75" customHeight="1">
      <c r="G952" s="7"/>
    </row>
    <row r="953" ht="15.75" customHeight="1">
      <c r="G953" s="7"/>
    </row>
    <row r="954" ht="15.75" customHeight="1">
      <c r="G954" s="7"/>
    </row>
    <row r="955" ht="15.75" customHeight="1">
      <c r="G955" s="7"/>
    </row>
    <row r="956" ht="15.75" customHeight="1">
      <c r="G956" s="7"/>
    </row>
    <row r="957" ht="15.75" customHeight="1">
      <c r="G957" s="7"/>
    </row>
    <row r="958" ht="15.75" customHeight="1">
      <c r="G958" s="7"/>
    </row>
    <row r="959" ht="15.75" customHeight="1">
      <c r="G959" s="7"/>
    </row>
    <row r="960" ht="15.75" customHeight="1">
      <c r="G960" s="7"/>
    </row>
    <row r="961" ht="15.75" customHeight="1">
      <c r="G961" s="7"/>
    </row>
    <row r="962" ht="15.75" customHeight="1">
      <c r="G962" s="7"/>
    </row>
    <row r="963" ht="15.75" customHeight="1">
      <c r="G963" s="7"/>
    </row>
    <row r="964" ht="15.75" customHeight="1">
      <c r="G964" s="7"/>
    </row>
    <row r="965" ht="15.75" customHeight="1">
      <c r="G965" s="7"/>
    </row>
    <row r="966" ht="15.75" customHeight="1">
      <c r="G966" s="7"/>
    </row>
    <row r="967" ht="15.75" customHeight="1">
      <c r="G967" s="7"/>
    </row>
    <row r="968" ht="15.75" customHeight="1">
      <c r="G968" s="7"/>
    </row>
    <row r="969" ht="15.75" customHeight="1">
      <c r="G969" s="7"/>
    </row>
    <row r="970" ht="15.75" customHeight="1">
      <c r="G970" s="7"/>
    </row>
    <row r="971" ht="15.75" customHeight="1">
      <c r="G971" s="7"/>
    </row>
    <row r="972" ht="15.75" customHeight="1">
      <c r="G972" s="7"/>
    </row>
    <row r="973" ht="15.75" customHeight="1">
      <c r="G973" s="7"/>
    </row>
    <row r="974" ht="15.75" customHeight="1">
      <c r="G974" s="7"/>
    </row>
    <row r="975" ht="15.75" customHeight="1">
      <c r="G975" s="7"/>
    </row>
    <row r="976" ht="15.75" customHeight="1">
      <c r="G976" s="7"/>
    </row>
    <row r="977" ht="15.75" customHeight="1">
      <c r="G977" s="7"/>
    </row>
    <row r="978" ht="15.75" customHeight="1">
      <c r="G978" s="7"/>
    </row>
    <row r="979" ht="15.75" customHeight="1">
      <c r="G979" s="7"/>
    </row>
    <row r="980" ht="15.75" customHeight="1">
      <c r="G980" s="7"/>
    </row>
    <row r="981" ht="15.75" customHeight="1">
      <c r="G981" s="7"/>
    </row>
    <row r="982" ht="15.75" customHeight="1">
      <c r="G982" s="7"/>
    </row>
    <row r="983" ht="15.75" customHeight="1">
      <c r="G983" s="7"/>
    </row>
    <row r="984" ht="15.75" customHeight="1">
      <c r="G984" s="7"/>
    </row>
    <row r="985" ht="15.75" customHeight="1">
      <c r="G985" s="7"/>
    </row>
    <row r="986" ht="15.75" customHeight="1">
      <c r="G986" s="7"/>
    </row>
    <row r="987" ht="15.75" customHeight="1">
      <c r="G987" s="7"/>
    </row>
    <row r="988" ht="15.75" customHeight="1">
      <c r="G988" s="7"/>
    </row>
    <row r="989" ht="15.75" customHeight="1">
      <c r="G989" s="7"/>
    </row>
    <row r="990" ht="15.75" customHeight="1">
      <c r="G990" s="7"/>
    </row>
    <row r="991" ht="15.75" customHeight="1">
      <c r="G991" s="7"/>
    </row>
    <row r="992" ht="15.75" customHeight="1">
      <c r="G992" s="7"/>
    </row>
    <row r="993" ht="15.75" customHeight="1">
      <c r="G993" s="7"/>
    </row>
    <row r="994" ht="15.75" customHeight="1">
      <c r="G994" s="7"/>
    </row>
    <row r="995" ht="15.75" customHeight="1">
      <c r="G995" s="7"/>
    </row>
    <row r="996" ht="15.75" customHeight="1">
      <c r="G996" s="7"/>
    </row>
    <row r="997" ht="15.75" customHeight="1">
      <c r="G997" s="7"/>
    </row>
    <row r="998" ht="15.75" customHeight="1">
      <c r="G998" s="7"/>
    </row>
    <row r="999" ht="15.75" customHeight="1">
      <c r="G999" s="7"/>
    </row>
    <row r="1000" ht="15.75" customHeight="1">
      <c r="G1000" s="7"/>
    </row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7.57"/>
    <col customWidth="1" min="3" max="3" width="19.71"/>
    <col customWidth="1" min="4" max="4" width="15.29"/>
    <col customWidth="1" min="5" max="5" width="14.43"/>
    <col customWidth="1" min="6" max="6" width="17.86"/>
    <col customWidth="1" min="7" max="7" width="17.14"/>
    <col customWidth="1" min="8" max="8" width="20.29"/>
    <col customWidth="1" min="9" max="9" width="26.0"/>
    <col customWidth="1" min="10" max="10" width="12.57"/>
  </cols>
  <sheetData>
    <row r="1" ht="14.25" customHeight="1">
      <c r="A1" s="1" t="s">
        <v>1890</v>
      </c>
      <c r="B1" s="1" t="s">
        <v>1891</v>
      </c>
      <c r="C1" s="1" t="s">
        <v>4</v>
      </c>
      <c r="D1" s="1" t="s">
        <v>1892</v>
      </c>
      <c r="E1" s="8" t="s">
        <v>1893</v>
      </c>
      <c r="F1" s="3" t="s">
        <v>1894</v>
      </c>
      <c r="G1" s="9" t="s">
        <v>1895</v>
      </c>
      <c r="H1" s="9" t="s">
        <v>1896</v>
      </c>
      <c r="I1" s="10" t="s">
        <v>1897</v>
      </c>
      <c r="J1" s="3" t="s">
        <v>1898</v>
      </c>
    </row>
    <row r="2" ht="14.25" customHeight="1">
      <c r="A2" s="4" t="s">
        <v>1899</v>
      </c>
      <c r="B2" s="4" t="s">
        <v>1900</v>
      </c>
      <c r="C2" s="4" t="s">
        <v>1901</v>
      </c>
      <c r="D2" s="4" t="s">
        <v>1902</v>
      </c>
      <c r="F2" s="7" t="str">
        <f t="shared" ref="F2:F21" si="1">UPPER(TRIM(A2))</f>
        <v>STORE0</v>
      </c>
      <c r="G2" s="7">
        <f t="shared" ref="G2:G21" si="2">LEN(A2)</f>
        <v>6</v>
      </c>
      <c r="H2" s="7">
        <f t="shared" ref="H2:H21" si="3">COUNTIF(B:B,B2)</f>
        <v>6</v>
      </c>
      <c r="I2" s="4" t="str">
        <f t="shared" ref="I2:I21" si="4">A2&amp;"-"&amp;C2</f>
        <v>STORE0-Washingtonfurt</v>
      </c>
      <c r="J2" s="4" t="str">
        <f t="shared" ref="J2:J21" si="5">IF(A2="","Missing ID","OK")</f>
        <v>OK</v>
      </c>
    </row>
    <row r="3" ht="14.25" customHeight="1">
      <c r="A3" s="4" t="s">
        <v>1903</v>
      </c>
      <c r="B3" s="4" t="s">
        <v>1904</v>
      </c>
      <c r="C3" s="4" t="s">
        <v>1905</v>
      </c>
      <c r="D3" s="4" t="s">
        <v>1902</v>
      </c>
      <c r="F3" s="7" t="str">
        <f t="shared" si="1"/>
        <v>STORE1</v>
      </c>
      <c r="G3" s="7">
        <f t="shared" si="2"/>
        <v>6</v>
      </c>
      <c r="H3" s="7">
        <f t="shared" si="3"/>
        <v>6</v>
      </c>
      <c r="I3" s="4" t="str">
        <f t="shared" si="4"/>
        <v>STORE1-Danielmouth</v>
      </c>
      <c r="J3" s="4" t="str">
        <f t="shared" si="5"/>
        <v>OK</v>
      </c>
    </row>
    <row r="4" ht="14.25" customHeight="1">
      <c r="A4" s="4" t="s">
        <v>1906</v>
      </c>
      <c r="B4" s="4" t="s">
        <v>1907</v>
      </c>
      <c r="C4" s="4" t="s">
        <v>1908</v>
      </c>
      <c r="D4" s="4" t="s">
        <v>1909</v>
      </c>
      <c r="F4" s="7" t="str">
        <f t="shared" si="1"/>
        <v>STORE2</v>
      </c>
      <c r="G4" s="7">
        <f t="shared" si="2"/>
        <v>6</v>
      </c>
      <c r="H4" s="7">
        <f t="shared" si="3"/>
        <v>6</v>
      </c>
      <c r="I4" s="4" t="str">
        <f t="shared" si="4"/>
        <v>STORE2-North Nancyview</v>
      </c>
      <c r="J4" s="4" t="str">
        <f t="shared" si="5"/>
        <v>OK</v>
      </c>
    </row>
    <row r="5" ht="14.25" customHeight="1">
      <c r="A5" s="4" t="s">
        <v>1910</v>
      </c>
      <c r="B5" s="4" t="s">
        <v>1904</v>
      </c>
      <c r="C5" s="4" t="s">
        <v>1911</v>
      </c>
      <c r="D5" s="4" t="s">
        <v>1909</v>
      </c>
      <c r="F5" s="7" t="str">
        <f t="shared" si="1"/>
        <v>STORE3</v>
      </c>
      <c r="G5" s="7">
        <f t="shared" si="2"/>
        <v>6</v>
      </c>
      <c r="H5" s="7">
        <f t="shared" si="3"/>
        <v>6</v>
      </c>
      <c r="I5" s="4" t="str">
        <f t="shared" si="4"/>
        <v>STORE3-Hoodberg</v>
      </c>
      <c r="J5" s="4" t="str">
        <f t="shared" si="5"/>
        <v>OK</v>
      </c>
    </row>
    <row r="6" ht="14.25" customHeight="1">
      <c r="A6" s="4" t="s">
        <v>1912</v>
      </c>
      <c r="B6" s="4" t="s">
        <v>1907</v>
      </c>
      <c r="C6" s="4" t="s">
        <v>1913</v>
      </c>
      <c r="D6" s="4" t="s">
        <v>1914</v>
      </c>
      <c r="F6" s="7" t="str">
        <f t="shared" si="1"/>
        <v>STORE4</v>
      </c>
      <c r="G6" s="7">
        <f t="shared" si="2"/>
        <v>6</v>
      </c>
      <c r="H6" s="7">
        <f t="shared" si="3"/>
        <v>6</v>
      </c>
      <c r="I6" s="4" t="str">
        <f t="shared" si="4"/>
        <v>STORE4-Port Sharon</v>
      </c>
      <c r="J6" s="4" t="str">
        <f t="shared" si="5"/>
        <v>OK</v>
      </c>
    </row>
    <row r="7" ht="14.25" customHeight="1">
      <c r="A7" s="4" t="s">
        <v>1915</v>
      </c>
      <c r="B7" s="4" t="s">
        <v>1904</v>
      </c>
      <c r="C7" s="4" t="s">
        <v>1916</v>
      </c>
      <c r="D7" s="4" t="s">
        <v>1909</v>
      </c>
      <c r="F7" s="7" t="str">
        <f t="shared" si="1"/>
        <v>STORE5</v>
      </c>
      <c r="G7" s="7">
        <f t="shared" si="2"/>
        <v>6</v>
      </c>
      <c r="H7" s="7">
        <f t="shared" si="3"/>
        <v>6</v>
      </c>
      <c r="I7" s="4" t="str">
        <f t="shared" si="4"/>
        <v>STORE5-New Michaelchester</v>
      </c>
      <c r="J7" s="4" t="str">
        <f t="shared" si="5"/>
        <v>OK</v>
      </c>
    </row>
    <row r="8" ht="14.25" customHeight="1">
      <c r="A8" s="4" t="s">
        <v>1917</v>
      </c>
      <c r="B8" s="4" t="s">
        <v>1900</v>
      </c>
      <c r="C8" s="4" t="s">
        <v>1918</v>
      </c>
      <c r="D8" s="4" t="s">
        <v>1914</v>
      </c>
      <c r="F8" s="7" t="str">
        <f t="shared" si="1"/>
        <v>STORE6</v>
      </c>
      <c r="G8" s="7">
        <f t="shared" si="2"/>
        <v>6</v>
      </c>
      <c r="H8" s="7">
        <f t="shared" si="3"/>
        <v>6</v>
      </c>
      <c r="I8" s="4" t="str">
        <f t="shared" si="4"/>
        <v>STORE6-Port Josephberg</v>
      </c>
      <c r="J8" s="4" t="str">
        <f t="shared" si="5"/>
        <v>OK</v>
      </c>
    </row>
    <row r="9" ht="14.25" customHeight="1">
      <c r="A9" s="4" t="s">
        <v>1919</v>
      </c>
      <c r="B9" s="4" t="s">
        <v>1907</v>
      </c>
      <c r="C9" s="4" t="s">
        <v>1920</v>
      </c>
      <c r="D9" s="4" t="s">
        <v>1914</v>
      </c>
      <c r="F9" s="7" t="str">
        <f t="shared" si="1"/>
        <v>STORE7</v>
      </c>
      <c r="G9" s="7">
        <f t="shared" si="2"/>
        <v>6</v>
      </c>
      <c r="H9" s="7">
        <f t="shared" si="3"/>
        <v>6</v>
      </c>
      <c r="I9" s="4" t="str">
        <f t="shared" si="4"/>
        <v>STORE7-Williamsfurt</v>
      </c>
      <c r="J9" s="4" t="str">
        <f t="shared" si="5"/>
        <v>OK</v>
      </c>
    </row>
    <row r="10" ht="14.25" customHeight="1">
      <c r="A10" s="4" t="s">
        <v>1921</v>
      </c>
      <c r="B10" s="4" t="s">
        <v>1922</v>
      </c>
      <c r="C10" s="4" t="s">
        <v>1923</v>
      </c>
      <c r="D10" s="4" t="s">
        <v>1914</v>
      </c>
      <c r="F10" s="7" t="str">
        <f t="shared" si="1"/>
        <v>STORE8</v>
      </c>
      <c r="G10" s="7">
        <f t="shared" si="2"/>
        <v>6</v>
      </c>
      <c r="H10" s="7">
        <f t="shared" si="3"/>
        <v>2</v>
      </c>
      <c r="I10" s="4" t="str">
        <f t="shared" si="4"/>
        <v>STORE8-Thompsonborough</v>
      </c>
      <c r="J10" s="4" t="str">
        <f t="shared" si="5"/>
        <v>OK</v>
      </c>
    </row>
    <row r="11" ht="14.25" customHeight="1">
      <c r="A11" s="4" t="s">
        <v>1924</v>
      </c>
      <c r="B11" s="4" t="s">
        <v>1907</v>
      </c>
      <c r="C11" s="4" t="s">
        <v>1925</v>
      </c>
      <c r="D11" s="4" t="s">
        <v>1902</v>
      </c>
      <c r="F11" s="7" t="str">
        <f t="shared" si="1"/>
        <v>STORE9</v>
      </c>
      <c r="G11" s="7">
        <f t="shared" si="2"/>
        <v>6</v>
      </c>
      <c r="H11" s="7">
        <f t="shared" si="3"/>
        <v>6</v>
      </c>
      <c r="I11" s="4" t="str">
        <f t="shared" si="4"/>
        <v>STORE9-East Johnstad</v>
      </c>
      <c r="J11" s="4" t="str">
        <f t="shared" si="5"/>
        <v>OK</v>
      </c>
    </row>
    <row r="12" ht="14.25" customHeight="1">
      <c r="A12" s="4" t="s">
        <v>1926</v>
      </c>
      <c r="B12" s="4" t="s">
        <v>1900</v>
      </c>
      <c r="C12" s="4" t="s">
        <v>1927</v>
      </c>
      <c r="D12" s="4" t="s">
        <v>1914</v>
      </c>
      <c r="F12" s="7" t="str">
        <f t="shared" si="1"/>
        <v>STORE10</v>
      </c>
      <c r="G12" s="7">
        <f t="shared" si="2"/>
        <v>7</v>
      </c>
      <c r="H12" s="7">
        <f t="shared" si="3"/>
        <v>6</v>
      </c>
      <c r="I12" s="4" t="str">
        <f t="shared" si="4"/>
        <v>STORE10-East Davidville</v>
      </c>
      <c r="J12" s="4" t="str">
        <f t="shared" si="5"/>
        <v>OK</v>
      </c>
    </row>
    <row r="13" ht="14.25" customHeight="1">
      <c r="A13" s="4" t="s">
        <v>1928</v>
      </c>
      <c r="B13" s="4" t="s">
        <v>1907</v>
      </c>
      <c r="C13" s="4" t="s">
        <v>405</v>
      </c>
      <c r="D13" s="4" t="s">
        <v>1914</v>
      </c>
      <c r="F13" s="7" t="str">
        <f t="shared" si="1"/>
        <v>STORE11</v>
      </c>
      <c r="G13" s="7">
        <f t="shared" si="2"/>
        <v>7</v>
      </c>
      <c r="H13" s="7">
        <f t="shared" si="3"/>
        <v>6</v>
      </c>
      <c r="I13" s="4" t="str">
        <f t="shared" si="4"/>
        <v>STORE11-Lake Michael</v>
      </c>
      <c r="J13" s="4" t="str">
        <f t="shared" si="5"/>
        <v>OK</v>
      </c>
    </row>
    <row r="14" ht="14.25" customHeight="1">
      <c r="A14" s="4" t="s">
        <v>1929</v>
      </c>
      <c r="B14" s="4" t="s">
        <v>1904</v>
      </c>
      <c r="C14" s="4" t="s">
        <v>1930</v>
      </c>
      <c r="D14" s="4" t="s">
        <v>1914</v>
      </c>
      <c r="F14" s="7" t="str">
        <f t="shared" si="1"/>
        <v>STORE12</v>
      </c>
      <c r="G14" s="7">
        <f t="shared" si="2"/>
        <v>7</v>
      </c>
      <c r="H14" s="7">
        <f t="shared" si="3"/>
        <v>6</v>
      </c>
      <c r="I14" s="4" t="str">
        <f t="shared" si="4"/>
        <v>STORE12-Sabrinatown</v>
      </c>
      <c r="J14" s="4" t="str">
        <f t="shared" si="5"/>
        <v>OK</v>
      </c>
    </row>
    <row r="15" ht="14.25" customHeight="1">
      <c r="A15" s="4" t="s">
        <v>1931</v>
      </c>
      <c r="B15" s="4" t="s">
        <v>1900</v>
      </c>
      <c r="C15" s="4" t="s">
        <v>139</v>
      </c>
      <c r="D15" s="4" t="s">
        <v>1902</v>
      </c>
      <c r="F15" s="7" t="str">
        <f t="shared" si="1"/>
        <v>STORE13</v>
      </c>
      <c r="G15" s="7">
        <f t="shared" si="2"/>
        <v>7</v>
      </c>
      <c r="H15" s="7">
        <f t="shared" si="3"/>
        <v>6</v>
      </c>
      <c r="I15" s="4" t="str">
        <f t="shared" si="4"/>
        <v>STORE13-Johnsonville</v>
      </c>
      <c r="J15" s="4" t="str">
        <f t="shared" si="5"/>
        <v>OK</v>
      </c>
    </row>
    <row r="16" ht="14.25" customHeight="1">
      <c r="A16" s="4" t="s">
        <v>1932</v>
      </c>
      <c r="B16" s="4" t="s">
        <v>1907</v>
      </c>
      <c r="C16" s="4" t="s">
        <v>217</v>
      </c>
      <c r="D16" s="4" t="s">
        <v>1909</v>
      </c>
      <c r="F16" s="7" t="str">
        <f t="shared" si="1"/>
        <v>STORE14</v>
      </c>
      <c r="G16" s="7">
        <f t="shared" si="2"/>
        <v>7</v>
      </c>
      <c r="H16" s="7">
        <f t="shared" si="3"/>
        <v>6</v>
      </c>
      <c r="I16" s="4" t="str">
        <f t="shared" si="4"/>
        <v>STORE14-Christopherland</v>
      </c>
      <c r="J16" s="4" t="str">
        <f t="shared" si="5"/>
        <v>OK</v>
      </c>
    </row>
    <row r="17" ht="14.25" customHeight="1">
      <c r="A17" s="4" t="s">
        <v>1933</v>
      </c>
      <c r="B17" s="4" t="s">
        <v>1904</v>
      </c>
      <c r="C17" s="4" t="s">
        <v>1934</v>
      </c>
      <c r="D17" s="4" t="s">
        <v>1902</v>
      </c>
      <c r="F17" s="7" t="str">
        <f t="shared" si="1"/>
        <v>STORE15</v>
      </c>
      <c r="G17" s="7">
        <f t="shared" si="2"/>
        <v>7</v>
      </c>
      <c r="H17" s="7">
        <f t="shared" si="3"/>
        <v>6</v>
      </c>
      <c r="I17" s="4" t="str">
        <f t="shared" si="4"/>
        <v>STORE15-East Jenniferstad</v>
      </c>
      <c r="J17" s="4" t="str">
        <f t="shared" si="5"/>
        <v>OK</v>
      </c>
    </row>
    <row r="18" ht="14.25" customHeight="1">
      <c r="A18" s="4" t="s">
        <v>1935</v>
      </c>
      <c r="B18" s="4" t="s">
        <v>1922</v>
      </c>
      <c r="C18" s="4" t="s">
        <v>1936</v>
      </c>
      <c r="D18" s="4" t="s">
        <v>1902</v>
      </c>
      <c r="F18" s="7" t="str">
        <f t="shared" si="1"/>
        <v>STORE16</v>
      </c>
      <c r="G18" s="7">
        <f t="shared" si="2"/>
        <v>7</v>
      </c>
      <c r="H18" s="7">
        <f t="shared" si="3"/>
        <v>2</v>
      </c>
      <c r="I18" s="4" t="str">
        <f t="shared" si="4"/>
        <v>STORE16-New Jimmymouth</v>
      </c>
      <c r="J18" s="4" t="str">
        <f t="shared" si="5"/>
        <v>OK</v>
      </c>
    </row>
    <row r="19" ht="14.25" customHeight="1">
      <c r="A19" s="4" t="s">
        <v>1937</v>
      </c>
      <c r="B19" s="4" t="s">
        <v>1904</v>
      </c>
      <c r="C19" s="4" t="s">
        <v>1938</v>
      </c>
      <c r="D19" s="4" t="s">
        <v>1902</v>
      </c>
      <c r="F19" s="7" t="str">
        <f t="shared" si="1"/>
        <v>STORE17</v>
      </c>
      <c r="G19" s="7">
        <f t="shared" si="2"/>
        <v>7</v>
      </c>
      <c r="H19" s="7">
        <f t="shared" si="3"/>
        <v>6</v>
      </c>
      <c r="I19" s="4" t="str">
        <f t="shared" si="4"/>
        <v>STORE17-Bensonhaven</v>
      </c>
      <c r="J19" s="4" t="str">
        <f t="shared" si="5"/>
        <v>OK</v>
      </c>
    </row>
    <row r="20" ht="14.25" customHeight="1">
      <c r="A20" s="4" t="s">
        <v>1939</v>
      </c>
      <c r="B20" s="4" t="s">
        <v>1900</v>
      </c>
      <c r="C20" s="4" t="s">
        <v>1940</v>
      </c>
      <c r="D20" s="4" t="s">
        <v>1902</v>
      </c>
      <c r="F20" s="7" t="str">
        <f t="shared" si="1"/>
        <v>STORE18</v>
      </c>
      <c r="G20" s="7">
        <f t="shared" si="2"/>
        <v>7</v>
      </c>
      <c r="H20" s="7">
        <f t="shared" si="3"/>
        <v>6</v>
      </c>
      <c r="I20" s="4" t="str">
        <f t="shared" si="4"/>
        <v>STORE18-East Stevechester</v>
      </c>
      <c r="J20" s="4" t="str">
        <f t="shared" si="5"/>
        <v>OK</v>
      </c>
    </row>
    <row r="21" ht="14.25" customHeight="1">
      <c r="A21" s="4" t="s">
        <v>1941</v>
      </c>
      <c r="B21" s="4" t="s">
        <v>1900</v>
      </c>
      <c r="C21" s="4" t="s">
        <v>1942</v>
      </c>
      <c r="D21" s="4" t="s">
        <v>1914</v>
      </c>
      <c r="F21" s="7" t="str">
        <f t="shared" si="1"/>
        <v>STORE19</v>
      </c>
      <c r="G21" s="7">
        <f t="shared" si="2"/>
        <v>7</v>
      </c>
      <c r="H21" s="7">
        <f t="shared" si="3"/>
        <v>6</v>
      </c>
      <c r="I21" s="4" t="str">
        <f t="shared" si="4"/>
        <v>STORE19-Vasquezborough</v>
      </c>
      <c r="J21" s="4" t="str">
        <f t="shared" si="5"/>
        <v>OK</v>
      </c>
    </row>
    <row r="22" ht="14.25" customHeight="1">
      <c r="G22" s="7"/>
      <c r="H22" s="7"/>
    </row>
    <row r="23" ht="14.25" customHeight="1">
      <c r="G23" s="7"/>
      <c r="H23" s="7"/>
    </row>
    <row r="24" ht="14.25" customHeight="1">
      <c r="G24" s="7"/>
      <c r="H24" s="7"/>
    </row>
    <row r="25" ht="14.25" customHeight="1">
      <c r="G25" s="7"/>
      <c r="H25" s="7"/>
    </row>
    <row r="26" ht="14.25" customHeight="1">
      <c r="G26" s="7"/>
      <c r="H26" s="7"/>
    </row>
    <row r="27" ht="14.25" customHeight="1">
      <c r="G27" s="7"/>
      <c r="H27" s="7"/>
    </row>
    <row r="28" ht="14.25" customHeight="1">
      <c r="G28" s="7"/>
      <c r="H28" s="7"/>
    </row>
    <row r="29" ht="14.25" customHeight="1">
      <c r="G29" s="7"/>
      <c r="H29" s="7"/>
    </row>
    <row r="30" ht="14.25" customHeight="1">
      <c r="G30" s="7"/>
      <c r="H30" s="7"/>
    </row>
    <row r="31" ht="14.25" customHeight="1">
      <c r="G31" s="7"/>
      <c r="H31" s="7"/>
    </row>
    <row r="32" ht="14.25" customHeight="1">
      <c r="G32" s="7"/>
      <c r="H32" s="7"/>
    </row>
    <row r="33" ht="14.25" customHeight="1">
      <c r="G33" s="7"/>
      <c r="H33" s="7"/>
    </row>
    <row r="34" ht="14.25" customHeight="1">
      <c r="G34" s="7"/>
      <c r="H34" s="7"/>
    </row>
    <row r="35" ht="14.25" customHeight="1">
      <c r="G35" s="7"/>
      <c r="H35" s="7"/>
    </row>
    <row r="36" ht="14.25" customHeight="1">
      <c r="G36" s="7"/>
      <c r="H36" s="7"/>
    </row>
    <row r="37" ht="14.25" customHeight="1">
      <c r="G37" s="7"/>
      <c r="H37" s="7"/>
    </row>
    <row r="38" ht="14.25" customHeight="1">
      <c r="G38" s="7"/>
      <c r="H38" s="7"/>
    </row>
    <row r="39" ht="14.25" customHeight="1">
      <c r="G39" s="7"/>
      <c r="H39" s="7"/>
    </row>
    <row r="40" ht="14.25" customHeight="1">
      <c r="G40" s="7"/>
      <c r="H40" s="7"/>
    </row>
    <row r="41" ht="14.25" customHeight="1">
      <c r="G41" s="7"/>
      <c r="H41" s="7"/>
    </row>
    <row r="42" ht="14.25" customHeight="1">
      <c r="G42" s="7"/>
      <c r="H42" s="7"/>
    </row>
    <row r="43" ht="14.25" customHeight="1">
      <c r="G43" s="7"/>
      <c r="H43" s="7"/>
    </row>
    <row r="44" ht="14.25" customHeight="1">
      <c r="G44" s="7"/>
      <c r="H44" s="7"/>
    </row>
    <row r="45" ht="14.25" customHeight="1">
      <c r="G45" s="7"/>
      <c r="H45" s="7"/>
    </row>
    <row r="46" ht="14.25" customHeight="1">
      <c r="G46" s="7"/>
      <c r="H46" s="7"/>
    </row>
    <row r="47" ht="14.25" customHeight="1">
      <c r="G47" s="7"/>
      <c r="H47" s="7"/>
    </row>
    <row r="48" ht="14.25" customHeight="1">
      <c r="G48" s="7"/>
      <c r="H48" s="7"/>
    </row>
    <row r="49" ht="14.25" customHeight="1">
      <c r="G49" s="7"/>
      <c r="H49" s="7"/>
    </row>
    <row r="50" ht="14.25" customHeight="1">
      <c r="G50" s="7"/>
      <c r="H50" s="7"/>
    </row>
    <row r="51" ht="14.25" customHeight="1">
      <c r="G51" s="7"/>
      <c r="H51" s="7"/>
    </row>
    <row r="52" ht="14.25" customHeight="1">
      <c r="G52" s="7"/>
      <c r="H52" s="7"/>
    </row>
    <row r="53" ht="14.25" customHeight="1">
      <c r="G53" s="7"/>
      <c r="H53" s="7"/>
    </row>
    <row r="54" ht="14.25" customHeight="1">
      <c r="G54" s="7"/>
      <c r="H54" s="7"/>
    </row>
    <row r="55" ht="14.25" customHeight="1">
      <c r="G55" s="7"/>
      <c r="H55" s="7"/>
    </row>
    <row r="56" ht="14.25" customHeight="1">
      <c r="G56" s="7"/>
      <c r="H56" s="7"/>
    </row>
    <row r="57" ht="14.25" customHeight="1">
      <c r="G57" s="7"/>
      <c r="H57" s="7"/>
    </row>
    <row r="58" ht="14.25" customHeight="1">
      <c r="G58" s="7"/>
      <c r="H58" s="7"/>
    </row>
    <row r="59" ht="14.25" customHeight="1">
      <c r="G59" s="7"/>
      <c r="H59" s="7"/>
    </row>
    <row r="60" ht="14.25" customHeight="1">
      <c r="G60" s="7"/>
      <c r="H60" s="7"/>
    </row>
    <row r="61" ht="14.25" customHeight="1">
      <c r="G61" s="7"/>
      <c r="H61" s="7"/>
    </row>
    <row r="62" ht="14.25" customHeight="1">
      <c r="G62" s="7"/>
      <c r="H62" s="7"/>
    </row>
    <row r="63" ht="14.25" customHeight="1">
      <c r="G63" s="7"/>
      <c r="H63" s="7"/>
    </row>
    <row r="64" ht="14.25" customHeight="1">
      <c r="G64" s="7"/>
      <c r="H64" s="7"/>
    </row>
    <row r="65" ht="14.25" customHeight="1">
      <c r="G65" s="7"/>
      <c r="H65" s="7"/>
    </row>
    <row r="66" ht="14.25" customHeight="1">
      <c r="G66" s="7"/>
      <c r="H66" s="7"/>
    </row>
    <row r="67" ht="14.25" customHeight="1">
      <c r="G67" s="7"/>
      <c r="H67" s="7"/>
    </row>
    <row r="68" ht="14.25" customHeight="1">
      <c r="G68" s="7"/>
      <c r="H68" s="7"/>
    </row>
    <row r="69" ht="14.25" customHeight="1">
      <c r="G69" s="7"/>
      <c r="H69" s="7"/>
    </row>
    <row r="70" ht="14.25" customHeight="1">
      <c r="G70" s="7"/>
      <c r="H70" s="7"/>
    </row>
    <row r="71" ht="14.25" customHeight="1">
      <c r="G71" s="7"/>
      <c r="H71" s="7"/>
    </row>
    <row r="72" ht="14.25" customHeight="1">
      <c r="G72" s="7"/>
      <c r="H72" s="7"/>
    </row>
    <row r="73" ht="14.25" customHeight="1">
      <c r="G73" s="7"/>
      <c r="H73" s="7"/>
    </row>
    <row r="74" ht="14.25" customHeight="1">
      <c r="G74" s="7"/>
      <c r="H74" s="7"/>
    </row>
    <row r="75" ht="14.25" customHeight="1">
      <c r="G75" s="7"/>
      <c r="H75" s="7"/>
    </row>
    <row r="76" ht="14.25" customHeight="1">
      <c r="G76" s="7"/>
      <c r="H76" s="7"/>
    </row>
    <row r="77" ht="14.25" customHeight="1">
      <c r="G77" s="7"/>
      <c r="H77" s="7"/>
    </row>
    <row r="78" ht="14.25" customHeight="1">
      <c r="G78" s="7"/>
      <c r="H78" s="7"/>
    </row>
    <row r="79" ht="14.25" customHeight="1">
      <c r="G79" s="7"/>
      <c r="H79" s="7"/>
    </row>
    <row r="80" ht="14.25" customHeight="1">
      <c r="G80" s="7"/>
      <c r="H80" s="7"/>
    </row>
    <row r="81" ht="14.25" customHeight="1">
      <c r="G81" s="7"/>
      <c r="H81" s="7"/>
    </row>
    <row r="82" ht="14.25" customHeight="1">
      <c r="G82" s="7"/>
      <c r="H82" s="7"/>
    </row>
    <row r="83" ht="14.25" customHeight="1">
      <c r="G83" s="7"/>
      <c r="H83" s="7"/>
    </row>
    <row r="84" ht="14.25" customHeight="1">
      <c r="G84" s="7"/>
      <c r="H84" s="7"/>
    </row>
    <row r="85" ht="14.25" customHeight="1">
      <c r="G85" s="7"/>
      <c r="H85" s="7"/>
    </row>
    <row r="86" ht="14.25" customHeight="1">
      <c r="G86" s="7"/>
      <c r="H86" s="7"/>
    </row>
    <row r="87" ht="14.25" customHeight="1">
      <c r="G87" s="7"/>
      <c r="H87" s="7"/>
    </row>
    <row r="88" ht="14.25" customHeight="1">
      <c r="G88" s="7"/>
      <c r="H88" s="7"/>
    </row>
    <row r="89" ht="14.25" customHeight="1">
      <c r="G89" s="7"/>
      <c r="H89" s="7"/>
    </row>
    <row r="90" ht="14.25" customHeight="1">
      <c r="G90" s="7"/>
      <c r="H90" s="7"/>
    </row>
    <row r="91" ht="14.25" customHeight="1">
      <c r="G91" s="7"/>
      <c r="H91" s="7"/>
    </row>
    <row r="92" ht="14.25" customHeight="1">
      <c r="G92" s="7"/>
      <c r="H92" s="7"/>
    </row>
    <row r="93" ht="14.25" customHeight="1">
      <c r="G93" s="7"/>
      <c r="H93" s="7"/>
    </row>
    <row r="94" ht="14.25" customHeight="1">
      <c r="G94" s="7"/>
      <c r="H94" s="7"/>
    </row>
    <row r="95" ht="14.25" customHeight="1">
      <c r="G95" s="7"/>
      <c r="H95" s="7"/>
    </row>
    <row r="96" ht="14.25" customHeight="1">
      <c r="G96" s="7"/>
      <c r="H96" s="7"/>
    </row>
    <row r="97" ht="14.25" customHeight="1">
      <c r="G97" s="7"/>
      <c r="H97" s="7"/>
    </row>
    <row r="98" ht="14.25" customHeight="1">
      <c r="G98" s="7"/>
      <c r="H98" s="7"/>
    </row>
    <row r="99" ht="14.25" customHeight="1">
      <c r="G99" s="7"/>
      <c r="H99" s="7"/>
    </row>
    <row r="100" ht="14.25" customHeight="1">
      <c r="G100" s="7"/>
      <c r="H100" s="7"/>
    </row>
    <row r="101" ht="14.25" customHeight="1">
      <c r="G101" s="7"/>
      <c r="H101" s="7"/>
    </row>
    <row r="102" ht="14.25" customHeight="1">
      <c r="G102" s="7"/>
      <c r="H102" s="7"/>
    </row>
    <row r="103" ht="14.25" customHeight="1">
      <c r="G103" s="7"/>
      <c r="H103" s="7"/>
    </row>
    <row r="104" ht="14.25" customHeight="1">
      <c r="G104" s="7"/>
      <c r="H104" s="7"/>
    </row>
    <row r="105" ht="14.25" customHeight="1">
      <c r="G105" s="7"/>
      <c r="H105" s="7"/>
    </row>
    <row r="106" ht="14.25" customHeight="1">
      <c r="G106" s="7"/>
      <c r="H106" s="7"/>
    </row>
    <row r="107" ht="14.25" customHeight="1">
      <c r="G107" s="7"/>
      <c r="H107" s="7"/>
    </row>
    <row r="108" ht="14.25" customHeight="1">
      <c r="G108" s="7"/>
      <c r="H108" s="7"/>
    </row>
    <row r="109" ht="14.25" customHeight="1">
      <c r="G109" s="7"/>
      <c r="H109" s="7"/>
    </row>
    <row r="110" ht="14.25" customHeight="1">
      <c r="G110" s="7"/>
      <c r="H110" s="7"/>
    </row>
    <row r="111" ht="14.25" customHeight="1">
      <c r="G111" s="7"/>
      <c r="H111" s="7"/>
    </row>
    <row r="112" ht="14.25" customHeight="1">
      <c r="G112" s="7"/>
      <c r="H112" s="7"/>
    </row>
    <row r="113" ht="14.25" customHeight="1">
      <c r="G113" s="7"/>
      <c r="H113" s="7"/>
    </row>
    <row r="114" ht="14.25" customHeight="1">
      <c r="G114" s="7"/>
      <c r="H114" s="7"/>
    </row>
    <row r="115" ht="14.25" customHeight="1">
      <c r="G115" s="7"/>
      <c r="H115" s="7"/>
    </row>
    <row r="116" ht="14.25" customHeight="1">
      <c r="G116" s="7"/>
      <c r="H116" s="7"/>
    </row>
    <row r="117" ht="14.25" customHeight="1">
      <c r="G117" s="7"/>
      <c r="H117" s="7"/>
    </row>
    <row r="118" ht="14.25" customHeight="1">
      <c r="G118" s="7"/>
      <c r="H118" s="7"/>
    </row>
    <row r="119" ht="14.25" customHeight="1">
      <c r="G119" s="7"/>
      <c r="H119" s="7"/>
    </row>
    <row r="120" ht="14.25" customHeight="1">
      <c r="G120" s="7"/>
      <c r="H120" s="7"/>
    </row>
    <row r="121" ht="14.25" customHeight="1">
      <c r="G121" s="7"/>
      <c r="H121" s="7"/>
    </row>
    <row r="122" ht="14.25" customHeight="1">
      <c r="G122" s="7"/>
      <c r="H122" s="7"/>
    </row>
    <row r="123" ht="14.25" customHeight="1">
      <c r="G123" s="7"/>
      <c r="H123" s="7"/>
    </row>
    <row r="124" ht="14.25" customHeight="1">
      <c r="G124" s="7"/>
      <c r="H124" s="7"/>
    </row>
    <row r="125" ht="14.25" customHeight="1">
      <c r="G125" s="7"/>
      <c r="H125" s="7"/>
    </row>
    <row r="126" ht="14.25" customHeight="1">
      <c r="G126" s="7"/>
      <c r="H126" s="7"/>
    </row>
    <row r="127" ht="14.25" customHeight="1">
      <c r="G127" s="7"/>
      <c r="H127" s="7"/>
    </row>
    <row r="128" ht="14.25" customHeight="1">
      <c r="G128" s="7"/>
      <c r="H128" s="7"/>
    </row>
    <row r="129" ht="14.25" customHeight="1">
      <c r="G129" s="7"/>
      <c r="H129" s="7"/>
    </row>
    <row r="130" ht="14.25" customHeight="1">
      <c r="G130" s="7"/>
      <c r="H130" s="7"/>
    </row>
    <row r="131" ht="14.25" customHeight="1">
      <c r="G131" s="7"/>
      <c r="H131" s="7"/>
    </row>
    <row r="132" ht="14.25" customHeight="1">
      <c r="G132" s="7"/>
      <c r="H132" s="7"/>
    </row>
    <row r="133" ht="14.25" customHeight="1">
      <c r="G133" s="7"/>
      <c r="H133" s="7"/>
    </row>
    <row r="134" ht="14.25" customHeight="1">
      <c r="G134" s="7"/>
      <c r="H134" s="7"/>
    </row>
    <row r="135" ht="14.25" customHeight="1">
      <c r="G135" s="7"/>
      <c r="H135" s="7"/>
    </row>
    <row r="136" ht="14.25" customHeight="1">
      <c r="G136" s="7"/>
      <c r="H136" s="7"/>
    </row>
    <row r="137" ht="14.25" customHeight="1">
      <c r="G137" s="7"/>
      <c r="H137" s="7"/>
    </row>
    <row r="138" ht="14.25" customHeight="1">
      <c r="G138" s="7"/>
      <c r="H138" s="7"/>
    </row>
    <row r="139" ht="14.25" customHeight="1">
      <c r="G139" s="7"/>
      <c r="H139" s="7"/>
    </row>
    <row r="140" ht="14.25" customHeight="1">
      <c r="G140" s="7"/>
      <c r="H140" s="7"/>
    </row>
    <row r="141" ht="14.25" customHeight="1">
      <c r="G141" s="7"/>
      <c r="H141" s="7"/>
    </row>
    <row r="142" ht="14.25" customHeight="1">
      <c r="G142" s="7"/>
      <c r="H142" s="7"/>
    </row>
    <row r="143" ht="14.25" customHeight="1">
      <c r="G143" s="7"/>
      <c r="H143" s="7"/>
    </row>
    <row r="144" ht="14.25" customHeight="1">
      <c r="G144" s="7"/>
      <c r="H144" s="7"/>
    </row>
    <row r="145" ht="14.25" customHeight="1">
      <c r="G145" s="7"/>
      <c r="H145" s="7"/>
    </row>
    <row r="146" ht="14.25" customHeight="1">
      <c r="G146" s="7"/>
      <c r="H146" s="7"/>
    </row>
    <row r="147" ht="14.25" customHeight="1">
      <c r="G147" s="7"/>
      <c r="H147" s="7"/>
    </row>
    <row r="148" ht="14.25" customHeight="1">
      <c r="G148" s="7"/>
      <c r="H148" s="7"/>
    </row>
    <row r="149" ht="14.25" customHeight="1">
      <c r="G149" s="7"/>
      <c r="H149" s="7"/>
    </row>
    <row r="150" ht="14.25" customHeight="1">
      <c r="G150" s="7"/>
      <c r="H150" s="7"/>
    </row>
    <row r="151" ht="14.25" customHeight="1">
      <c r="G151" s="7"/>
      <c r="H151" s="7"/>
    </row>
    <row r="152" ht="14.25" customHeight="1">
      <c r="G152" s="7"/>
      <c r="H152" s="7"/>
    </row>
    <row r="153" ht="14.25" customHeight="1">
      <c r="G153" s="7"/>
      <c r="H153" s="7"/>
    </row>
    <row r="154" ht="14.25" customHeight="1">
      <c r="G154" s="7"/>
      <c r="H154" s="7"/>
    </row>
    <row r="155" ht="14.25" customHeight="1">
      <c r="G155" s="7"/>
      <c r="H155" s="7"/>
    </row>
    <row r="156" ht="14.25" customHeight="1">
      <c r="G156" s="7"/>
      <c r="H156" s="7"/>
    </row>
    <row r="157" ht="14.25" customHeight="1">
      <c r="G157" s="7"/>
      <c r="H157" s="7"/>
    </row>
    <row r="158" ht="14.25" customHeight="1">
      <c r="G158" s="7"/>
      <c r="H158" s="7"/>
    </row>
    <row r="159" ht="14.25" customHeight="1">
      <c r="G159" s="7"/>
      <c r="H159" s="7"/>
    </row>
    <row r="160" ht="14.25" customHeight="1">
      <c r="G160" s="7"/>
      <c r="H160" s="7"/>
    </row>
    <row r="161" ht="14.25" customHeight="1">
      <c r="G161" s="7"/>
      <c r="H161" s="7"/>
    </row>
    <row r="162" ht="14.25" customHeight="1">
      <c r="G162" s="7"/>
      <c r="H162" s="7"/>
    </row>
    <row r="163" ht="14.25" customHeight="1">
      <c r="G163" s="7"/>
      <c r="H163" s="7"/>
    </row>
    <row r="164" ht="14.25" customHeight="1">
      <c r="G164" s="7"/>
      <c r="H164" s="7"/>
    </row>
    <row r="165" ht="14.25" customHeight="1">
      <c r="G165" s="7"/>
      <c r="H165" s="7"/>
    </row>
    <row r="166" ht="14.25" customHeight="1">
      <c r="G166" s="7"/>
      <c r="H166" s="7"/>
    </row>
    <row r="167" ht="14.25" customHeight="1">
      <c r="G167" s="7"/>
      <c r="H167" s="7"/>
    </row>
    <row r="168" ht="14.25" customHeight="1">
      <c r="G168" s="7"/>
      <c r="H168" s="7"/>
    </row>
    <row r="169" ht="14.25" customHeight="1">
      <c r="G169" s="7"/>
      <c r="H169" s="7"/>
    </row>
    <row r="170" ht="14.25" customHeight="1">
      <c r="G170" s="7"/>
      <c r="H170" s="7"/>
    </row>
    <row r="171" ht="14.25" customHeight="1">
      <c r="G171" s="7"/>
      <c r="H171" s="7"/>
    </row>
    <row r="172" ht="14.25" customHeight="1">
      <c r="G172" s="7"/>
      <c r="H172" s="7"/>
    </row>
    <row r="173" ht="14.25" customHeight="1">
      <c r="G173" s="7"/>
      <c r="H173" s="7"/>
    </row>
    <row r="174" ht="14.25" customHeight="1">
      <c r="G174" s="7"/>
      <c r="H174" s="7"/>
    </row>
    <row r="175" ht="14.25" customHeight="1">
      <c r="G175" s="7"/>
      <c r="H175" s="7"/>
    </row>
    <row r="176" ht="14.25" customHeight="1">
      <c r="G176" s="7"/>
      <c r="H176" s="7"/>
    </row>
    <row r="177" ht="14.25" customHeight="1">
      <c r="G177" s="7"/>
      <c r="H177" s="7"/>
    </row>
    <row r="178" ht="14.25" customHeight="1">
      <c r="G178" s="7"/>
      <c r="H178" s="7"/>
    </row>
    <row r="179" ht="14.25" customHeight="1">
      <c r="G179" s="7"/>
      <c r="H179" s="7"/>
    </row>
    <row r="180" ht="14.25" customHeight="1">
      <c r="G180" s="7"/>
      <c r="H180" s="7"/>
    </row>
    <row r="181" ht="14.25" customHeight="1">
      <c r="G181" s="7"/>
      <c r="H181" s="7"/>
    </row>
    <row r="182" ht="14.25" customHeight="1">
      <c r="G182" s="7"/>
      <c r="H182" s="7"/>
    </row>
    <row r="183" ht="14.25" customHeight="1">
      <c r="G183" s="7"/>
      <c r="H183" s="7"/>
    </row>
    <row r="184" ht="14.25" customHeight="1">
      <c r="G184" s="7"/>
      <c r="H184" s="7"/>
    </row>
    <row r="185" ht="14.25" customHeight="1">
      <c r="G185" s="7"/>
      <c r="H185" s="7"/>
    </row>
    <row r="186" ht="14.25" customHeight="1">
      <c r="G186" s="7"/>
      <c r="H186" s="7"/>
    </row>
    <row r="187" ht="14.25" customHeight="1">
      <c r="G187" s="7"/>
      <c r="H187" s="7"/>
    </row>
    <row r="188" ht="14.25" customHeight="1">
      <c r="G188" s="7"/>
      <c r="H188" s="7"/>
    </row>
    <row r="189" ht="14.25" customHeight="1">
      <c r="G189" s="7"/>
      <c r="H189" s="7"/>
    </row>
    <row r="190" ht="14.25" customHeight="1">
      <c r="G190" s="7"/>
      <c r="H190" s="7"/>
    </row>
    <row r="191" ht="14.25" customHeight="1">
      <c r="G191" s="7"/>
      <c r="H191" s="7"/>
    </row>
    <row r="192" ht="14.25" customHeight="1">
      <c r="G192" s="7"/>
      <c r="H192" s="7"/>
    </row>
    <row r="193" ht="14.25" customHeight="1">
      <c r="G193" s="7"/>
      <c r="H193" s="7"/>
    </row>
    <row r="194" ht="14.25" customHeight="1">
      <c r="G194" s="7"/>
      <c r="H194" s="7"/>
    </row>
    <row r="195" ht="14.25" customHeight="1">
      <c r="G195" s="7"/>
      <c r="H195" s="7"/>
    </row>
    <row r="196" ht="14.25" customHeight="1">
      <c r="G196" s="7"/>
      <c r="H196" s="7"/>
    </row>
    <row r="197" ht="14.25" customHeight="1">
      <c r="G197" s="7"/>
      <c r="H197" s="7"/>
    </row>
    <row r="198" ht="14.25" customHeight="1">
      <c r="G198" s="7"/>
      <c r="H198" s="7"/>
    </row>
    <row r="199" ht="14.25" customHeight="1">
      <c r="G199" s="7"/>
      <c r="H199" s="7"/>
    </row>
    <row r="200" ht="14.25" customHeight="1">
      <c r="G200" s="7"/>
      <c r="H200" s="7"/>
    </row>
    <row r="201" ht="14.25" customHeight="1">
      <c r="G201" s="7"/>
      <c r="H201" s="7"/>
    </row>
    <row r="202" ht="14.25" customHeight="1">
      <c r="G202" s="7"/>
      <c r="H202" s="7"/>
    </row>
    <row r="203" ht="14.25" customHeight="1">
      <c r="G203" s="7"/>
      <c r="H203" s="7"/>
    </row>
    <row r="204" ht="14.25" customHeight="1">
      <c r="G204" s="7"/>
      <c r="H204" s="7"/>
    </row>
    <row r="205" ht="14.25" customHeight="1">
      <c r="G205" s="7"/>
      <c r="H205" s="7"/>
    </row>
    <row r="206" ht="14.25" customHeight="1">
      <c r="G206" s="7"/>
      <c r="H206" s="7"/>
    </row>
    <row r="207" ht="14.25" customHeight="1">
      <c r="G207" s="7"/>
      <c r="H207" s="7"/>
    </row>
    <row r="208" ht="14.25" customHeight="1">
      <c r="G208" s="7"/>
      <c r="H208" s="7"/>
    </row>
    <row r="209" ht="14.25" customHeight="1">
      <c r="G209" s="7"/>
      <c r="H209" s="7"/>
    </row>
    <row r="210" ht="14.25" customHeight="1">
      <c r="G210" s="7"/>
      <c r="H210" s="7"/>
    </row>
    <row r="211" ht="14.25" customHeight="1">
      <c r="G211" s="7"/>
      <c r="H211" s="7"/>
    </row>
    <row r="212" ht="14.25" customHeight="1">
      <c r="G212" s="7"/>
      <c r="H212" s="7"/>
    </row>
    <row r="213" ht="14.25" customHeight="1">
      <c r="G213" s="7"/>
      <c r="H213" s="7"/>
    </row>
    <row r="214" ht="14.25" customHeight="1">
      <c r="G214" s="7"/>
      <c r="H214" s="7"/>
    </row>
    <row r="215" ht="14.25" customHeight="1">
      <c r="G215" s="7"/>
      <c r="H215" s="7"/>
    </row>
    <row r="216" ht="14.25" customHeight="1">
      <c r="G216" s="7"/>
      <c r="H216" s="7"/>
    </row>
    <row r="217" ht="14.25" customHeight="1">
      <c r="G217" s="7"/>
      <c r="H217" s="7"/>
    </row>
    <row r="218" ht="14.25" customHeight="1">
      <c r="G218" s="7"/>
      <c r="H218" s="7"/>
    </row>
    <row r="219" ht="14.25" customHeight="1">
      <c r="G219" s="7"/>
      <c r="H219" s="7"/>
    </row>
    <row r="220" ht="14.25" customHeight="1">
      <c r="G220" s="7"/>
      <c r="H220" s="7"/>
    </row>
    <row r="221" ht="14.25" customHeight="1">
      <c r="G221" s="7"/>
      <c r="H221" s="7"/>
    </row>
    <row r="222" ht="15.75" customHeight="1">
      <c r="G222" s="7"/>
      <c r="H222" s="7"/>
    </row>
    <row r="223" ht="15.75" customHeight="1">
      <c r="G223" s="7"/>
      <c r="H223" s="7"/>
    </row>
    <row r="224" ht="15.75" customHeight="1">
      <c r="G224" s="7"/>
      <c r="H224" s="7"/>
    </row>
    <row r="225" ht="15.75" customHeight="1">
      <c r="G225" s="7"/>
      <c r="H225" s="7"/>
    </row>
    <row r="226" ht="15.75" customHeight="1">
      <c r="G226" s="7"/>
      <c r="H226" s="7"/>
    </row>
    <row r="227" ht="15.75" customHeight="1">
      <c r="G227" s="7"/>
      <c r="H227" s="7"/>
    </row>
    <row r="228" ht="15.75" customHeight="1">
      <c r="G228" s="7"/>
      <c r="H228" s="7"/>
    </row>
    <row r="229" ht="15.75" customHeight="1">
      <c r="G229" s="7"/>
      <c r="H229" s="7"/>
    </row>
    <row r="230" ht="15.75" customHeight="1">
      <c r="G230" s="7"/>
      <c r="H230" s="7"/>
    </row>
    <row r="231" ht="15.75" customHeight="1">
      <c r="G231" s="7"/>
      <c r="H231" s="7"/>
    </row>
    <row r="232" ht="15.75" customHeight="1">
      <c r="G232" s="7"/>
      <c r="H232" s="7"/>
    </row>
    <row r="233" ht="15.75" customHeight="1">
      <c r="G233" s="7"/>
      <c r="H233" s="7"/>
    </row>
    <row r="234" ht="15.75" customHeight="1">
      <c r="G234" s="7"/>
      <c r="H234" s="7"/>
    </row>
    <row r="235" ht="15.75" customHeight="1">
      <c r="G235" s="7"/>
      <c r="H235" s="7"/>
    </row>
    <row r="236" ht="15.75" customHeight="1">
      <c r="G236" s="7"/>
      <c r="H236" s="7"/>
    </row>
    <row r="237" ht="15.75" customHeight="1">
      <c r="G237" s="7"/>
      <c r="H237" s="7"/>
    </row>
    <row r="238" ht="15.75" customHeight="1">
      <c r="G238" s="7"/>
      <c r="H238" s="7"/>
    </row>
    <row r="239" ht="15.75" customHeight="1">
      <c r="G239" s="7"/>
      <c r="H239" s="7"/>
    </row>
    <row r="240" ht="15.75" customHeight="1">
      <c r="G240" s="7"/>
      <c r="H240" s="7"/>
    </row>
    <row r="241" ht="15.75" customHeight="1">
      <c r="G241" s="7"/>
      <c r="H241" s="7"/>
    </row>
    <row r="242" ht="15.75" customHeight="1">
      <c r="G242" s="7"/>
      <c r="H242" s="7"/>
    </row>
    <row r="243" ht="15.75" customHeight="1">
      <c r="G243" s="7"/>
      <c r="H243" s="7"/>
    </row>
    <row r="244" ht="15.75" customHeight="1">
      <c r="G244" s="7"/>
      <c r="H244" s="7"/>
    </row>
    <row r="245" ht="15.75" customHeight="1">
      <c r="G245" s="7"/>
      <c r="H245" s="7"/>
    </row>
    <row r="246" ht="15.75" customHeight="1">
      <c r="G246" s="7"/>
      <c r="H246" s="7"/>
    </row>
    <row r="247" ht="15.75" customHeight="1">
      <c r="G247" s="7"/>
      <c r="H247" s="7"/>
    </row>
    <row r="248" ht="15.75" customHeight="1">
      <c r="G248" s="7"/>
      <c r="H248" s="7"/>
    </row>
    <row r="249" ht="15.75" customHeight="1">
      <c r="G249" s="7"/>
      <c r="H249" s="7"/>
    </row>
    <row r="250" ht="15.75" customHeight="1">
      <c r="G250" s="7"/>
      <c r="H250" s="7"/>
    </row>
    <row r="251" ht="15.75" customHeight="1">
      <c r="G251" s="7"/>
      <c r="H251" s="7"/>
    </row>
    <row r="252" ht="15.75" customHeight="1">
      <c r="G252" s="7"/>
      <c r="H252" s="7"/>
    </row>
    <row r="253" ht="15.75" customHeight="1">
      <c r="G253" s="7"/>
      <c r="H253" s="7"/>
    </row>
    <row r="254" ht="15.75" customHeight="1">
      <c r="G254" s="7"/>
      <c r="H254" s="7"/>
    </row>
    <row r="255" ht="15.75" customHeight="1">
      <c r="G255" s="7"/>
      <c r="H255" s="7"/>
    </row>
    <row r="256" ht="15.75" customHeight="1">
      <c r="G256" s="7"/>
      <c r="H256" s="7"/>
    </row>
    <row r="257" ht="15.75" customHeight="1">
      <c r="G257" s="7"/>
      <c r="H257" s="7"/>
    </row>
    <row r="258" ht="15.75" customHeight="1">
      <c r="G258" s="7"/>
      <c r="H258" s="7"/>
    </row>
    <row r="259" ht="15.75" customHeight="1">
      <c r="G259" s="7"/>
      <c r="H259" s="7"/>
    </row>
    <row r="260" ht="15.75" customHeight="1">
      <c r="G260" s="7"/>
      <c r="H260" s="7"/>
    </row>
    <row r="261" ht="15.75" customHeight="1">
      <c r="G261" s="7"/>
      <c r="H261" s="7"/>
    </row>
    <row r="262" ht="15.75" customHeight="1">
      <c r="G262" s="7"/>
      <c r="H262" s="7"/>
    </row>
    <row r="263" ht="15.75" customHeight="1">
      <c r="G263" s="7"/>
      <c r="H263" s="7"/>
    </row>
    <row r="264" ht="15.75" customHeight="1">
      <c r="G264" s="7"/>
      <c r="H264" s="7"/>
    </row>
    <row r="265" ht="15.75" customHeight="1">
      <c r="G265" s="7"/>
      <c r="H265" s="7"/>
    </row>
    <row r="266" ht="15.75" customHeight="1">
      <c r="G266" s="7"/>
      <c r="H266" s="7"/>
    </row>
    <row r="267" ht="15.75" customHeight="1">
      <c r="G267" s="7"/>
      <c r="H267" s="7"/>
    </row>
    <row r="268" ht="15.75" customHeight="1">
      <c r="G268" s="7"/>
      <c r="H268" s="7"/>
    </row>
    <row r="269" ht="15.75" customHeight="1">
      <c r="G269" s="7"/>
      <c r="H269" s="7"/>
    </row>
    <row r="270" ht="15.75" customHeight="1">
      <c r="G270" s="7"/>
      <c r="H270" s="7"/>
    </row>
    <row r="271" ht="15.75" customHeight="1">
      <c r="G271" s="7"/>
      <c r="H271" s="7"/>
    </row>
    <row r="272" ht="15.75" customHeight="1">
      <c r="G272" s="7"/>
      <c r="H272" s="7"/>
    </row>
    <row r="273" ht="15.75" customHeight="1">
      <c r="G273" s="7"/>
      <c r="H273" s="7"/>
    </row>
    <row r="274" ht="15.75" customHeight="1">
      <c r="G274" s="7"/>
      <c r="H274" s="7"/>
    </row>
    <row r="275" ht="15.75" customHeight="1">
      <c r="G275" s="7"/>
      <c r="H275" s="7"/>
    </row>
    <row r="276" ht="15.75" customHeight="1">
      <c r="G276" s="7"/>
      <c r="H276" s="7"/>
    </row>
    <row r="277" ht="15.75" customHeight="1">
      <c r="G277" s="7"/>
      <c r="H277" s="7"/>
    </row>
    <row r="278" ht="15.75" customHeight="1">
      <c r="G278" s="7"/>
      <c r="H278" s="7"/>
    </row>
    <row r="279" ht="15.75" customHeight="1">
      <c r="G279" s="7"/>
      <c r="H279" s="7"/>
    </row>
    <row r="280" ht="15.75" customHeight="1">
      <c r="G280" s="7"/>
      <c r="H280" s="7"/>
    </row>
    <row r="281" ht="15.75" customHeight="1">
      <c r="G281" s="7"/>
      <c r="H281" s="7"/>
    </row>
    <row r="282" ht="15.75" customHeight="1">
      <c r="G282" s="7"/>
      <c r="H282" s="7"/>
    </row>
    <row r="283" ht="15.75" customHeight="1">
      <c r="G283" s="7"/>
      <c r="H283" s="7"/>
    </row>
    <row r="284" ht="15.75" customHeight="1">
      <c r="G284" s="7"/>
      <c r="H284" s="7"/>
    </row>
    <row r="285" ht="15.75" customHeight="1">
      <c r="G285" s="7"/>
      <c r="H285" s="7"/>
    </row>
    <row r="286" ht="15.75" customHeight="1">
      <c r="G286" s="7"/>
      <c r="H286" s="7"/>
    </row>
    <row r="287" ht="15.75" customHeight="1">
      <c r="G287" s="7"/>
      <c r="H287" s="7"/>
    </row>
    <row r="288" ht="15.75" customHeight="1">
      <c r="G288" s="7"/>
      <c r="H288" s="7"/>
    </row>
    <row r="289" ht="15.75" customHeight="1">
      <c r="G289" s="7"/>
      <c r="H289" s="7"/>
    </row>
    <row r="290" ht="15.75" customHeight="1">
      <c r="G290" s="7"/>
      <c r="H290" s="7"/>
    </row>
    <row r="291" ht="15.75" customHeight="1">
      <c r="G291" s="7"/>
      <c r="H291" s="7"/>
    </row>
    <row r="292" ht="15.75" customHeight="1">
      <c r="G292" s="7"/>
      <c r="H292" s="7"/>
    </row>
    <row r="293" ht="15.75" customHeight="1">
      <c r="G293" s="7"/>
      <c r="H293" s="7"/>
    </row>
    <row r="294" ht="15.75" customHeight="1">
      <c r="G294" s="7"/>
      <c r="H294" s="7"/>
    </row>
    <row r="295" ht="15.75" customHeight="1">
      <c r="G295" s="7"/>
      <c r="H295" s="7"/>
    </row>
    <row r="296" ht="15.75" customHeight="1">
      <c r="G296" s="7"/>
      <c r="H296" s="7"/>
    </row>
    <row r="297" ht="15.75" customHeight="1">
      <c r="G297" s="7"/>
      <c r="H297" s="7"/>
    </row>
    <row r="298" ht="15.75" customHeight="1">
      <c r="G298" s="7"/>
      <c r="H298" s="7"/>
    </row>
    <row r="299" ht="15.75" customHeight="1">
      <c r="G299" s="7"/>
      <c r="H299" s="7"/>
    </row>
    <row r="300" ht="15.75" customHeight="1">
      <c r="G300" s="7"/>
      <c r="H300" s="7"/>
    </row>
    <row r="301" ht="15.75" customHeight="1">
      <c r="G301" s="7"/>
      <c r="H301" s="7"/>
    </row>
    <row r="302" ht="15.75" customHeight="1">
      <c r="G302" s="7"/>
      <c r="H302" s="7"/>
    </row>
    <row r="303" ht="15.75" customHeight="1">
      <c r="G303" s="7"/>
      <c r="H303" s="7"/>
    </row>
    <row r="304" ht="15.75" customHeight="1">
      <c r="G304" s="7"/>
      <c r="H304" s="7"/>
    </row>
    <row r="305" ht="15.75" customHeight="1">
      <c r="G305" s="7"/>
      <c r="H305" s="7"/>
    </row>
    <row r="306" ht="15.75" customHeight="1">
      <c r="G306" s="7"/>
      <c r="H306" s="7"/>
    </row>
    <row r="307" ht="15.75" customHeight="1">
      <c r="G307" s="7"/>
      <c r="H307" s="7"/>
    </row>
    <row r="308" ht="15.75" customHeight="1">
      <c r="G308" s="7"/>
      <c r="H308" s="7"/>
    </row>
    <row r="309" ht="15.75" customHeight="1">
      <c r="G309" s="7"/>
      <c r="H309" s="7"/>
    </row>
    <row r="310" ht="15.75" customHeight="1">
      <c r="G310" s="7"/>
      <c r="H310" s="7"/>
    </row>
    <row r="311" ht="15.75" customHeight="1">
      <c r="G311" s="7"/>
      <c r="H311" s="7"/>
    </row>
    <row r="312" ht="15.75" customHeight="1">
      <c r="G312" s="7"/>
      <c r="H312" s="7"/>
    </row>
    <row r="313" ht="15.75" customHeight="1">
      <c r="G313" s="7"/>
      <c r="H313" s="7"/>
    </row>
    <row r="314" ht="15.75" customHeight="1">
      <c r="G314" s="7"/>
      <c r="H314" s="7"/>
    </row>
    <row r="315" ht="15.75" customHeight="1">
      <c r="G315" s="7"/>
      <c r="H315" s="7"/>
    </row>
    <row r="316" ht="15.75" customHeight="1">
      <c r="G316" s="7"/>
      <c r="H316" s="7"/>
    </row>
    <row r="317" ht="15.75" customHeight="1">
      <c r="G317" s="7"/>
      <c r="H317" s="7"/>
    </row>
    <row r="318" ht="15.75" customHeight="1">
      <c r="G318" s="7"/>
      <c r="H318" s="7"/>
    </row>
    <row r="319" ht="15.75" customHeight="1">
      <c r="G319" s="7"/>
      <c r="H319" s="7"/>
    </row>
    <row r="320" ht="15.75" customHeight="1">
      <c r="G320" s="7"/>
      <c r="H320" s="7"/>
    </row>
    <row r="321" ht="15.75" customHeight="1">
      <c r="G321" s="7"/>
      <c r="H321" s="7"/>
    </row>
    <row r="322" ht="15.75" customHeight="1">
      <c r="G322" s="7"/>
      <c r="H322" s="7"/>
    </row>
    <row r="323" ht="15.75" customHeight="1">
      <c r="G323" s="7"/>
      <c r="H323" s="7"/>
    </row>
    <row r="324" ht="15.75" customHeight="1">
      <c r="G324" s="7"/>
      <c r="H324" s="7"/>
    </row>
    <row r="325" ht="15.75" customHeight="1">
      <c r="G325" s="7"/>
      <c r="H325" s="7"/>
    </row>
    <row r="326" ht="15.75" customHeight="1">
      <c r="G326" s="7"/>
      <c r="H326" s="7"/>
    </row>
    <row r="327" ht="15.75" customHeight="1">
      <c r="G327" s="7"/>
      <c r="H327" s="7"/>
    </row>
    <row r="328" ht="15.75" customHeight="1">
      <c r="G328" s="7"/>
      <c r="H328" s="7"/>
    </row>
    <row r="329" ht="15.75" customHeight="1">
      <c r="G329" s="7"/>
      <c r="H329" s="7"/>
    </row>
    <row r="330" ht="15.75" customHeight="1">
      <c r="G330" s="7"/>
      <c r="H330" s="7"/>
    </row>
    <row r="331" ht="15.75" customHeight="1">
      <c r="G331" s="7"/>
      <c r="H331" s="7"/>
    </row>
    <row r="332" ht="15.75" customHeight="1">
      <c r="G332" s="7"/>
      <c r="H332" s="7"/>
    </row>
    <row r="333" ht="15.75" customHeight="1">
      <c r="G333" s="7"/>
      <c r="H333" s="7"/>
    </row>
    <row r="334" ht="15.75" customHeight="1">
      <c r="G334" s="7"/>
      <c r="H334" s="7"/>
    </row>
    <row r="335" ht="15.75" customHeight="1">
      <c r="G335" s="7"/>
      <c r="H335" s="7"/>
    </row>
    <row r="336" ht="15.75" customHeight="1">
      <c r="G336" s="7"/>
      <c r="H336" s="7"/>
    </row>
    <row r="337" ht="15.75" customHeight="1">
      <c r="G337" s="7"/>
      <c r="H337" s="7"/>
    </row>
    <row r="338" ht="15.75" customHeight="1">
      <c r="G338" s="7"/>
      <c r="H338" s="7"/>
    </row>
    <row r="339" ht="15.75" customHeight="1">
      <c r="G339" s="7"/>
      <c r="H339" s="7"/>
    </row>
    <row r="340" ht="15.75" customHeight="1">
      <c r="G340" s="7"/>
      <c r="H340" s="7"/>
    </row>
    <row r="341" ht="15.75" customHeight="1">
      <c r="G341" s="7"/>
      <c r="H341" s="7"/>
    </row>
    <row r="342" ht="15.75" customHeight="1">
      <c r="G342" s="7"/>
      <c r="H342" s="7"/>
    </row>
    <row r="343" ht="15.75" customHeight="1">
      <c r="G343" s="7"/>
      <c r="H343" s="7"/>
    </row>
    <row r="344" ht="15.75" customHeight="1">
      <c r="G344" s="7"/>
      <c r="H344" s="7"/>
    </row>
    <row r="345" ht="15.75" customHeight="1">
      <c r="G345" s="7"/>
      <c r="H345" s="7"/>
    </row>
    <row r="346" ht="15.75" customHeight="1">
      <c r="G346" s="7"/>
      <c r="H346" s="7"/>
    </row>
    <row r="347" ht="15.75" customHeight="1">
      <c r="G347" s="7"/>
      <c r="H347" s="7"/>
    </row>
    <row r="348" ht="15.75" customHeight="1">
      <c r="G348" s="7"/>
      <c r="H348" s="7"/>
    </row>
    <row r="349" ht="15.75" customHeight="1">
      <c r="G349" s="7"/>
      <c r="H349" s="7"/>
    </row>
    <row r="350" ht="15.75" customHeight="1">
      <c r="G350" s="7"/>
      <c r="H350" s="7"/>
    </row>
    <row r="351" ht="15.75" customHeight="1">
      <c r="G351" s="7"/>
      <c r="H351" s="7"/>
    </row>
    <row r="352" ht="15.75" customHeight="1">
      <c r="G352" s="7"/>
      <c r="H352" s="7"/>
    </row>
    <row r="353" ht="15.75" customHeight="1">
      <c r="G353" s="7"/>
      <c r="H353" s="7"/>
    </row>
    <row r="354" ht="15.75" customHeight="1">
      <c r="G354" s="7"/>
      <c r="H354" s="7"/>
    </row>
    <row r="355" ht="15.75" customHeight="1">
      <c r="G355" s="7"/>
      <c r="H355" s="7"/>
    </row>
    <row r="356" ht="15.75" customHeight="1">
      <c r="G356" s="7"/>
      <c r="H356" s="7"/>
    </row>
    <row r="357" ht="15.75" customHeight="1">
      <c r="G357" s="7"/>
      <c r="H357" s="7"/>
    </row>
    <row r="358" ht="15.75" customHeight="1">
      <c r="G358" s="7"/>
      <c r="H358" s="7"/>
    </row>
    <row r="359" ht="15.75" customHeight="1">
      <c r="G359" s="7"/>
      <c r="H359" s="7"/>
    </row>
    <row r="360" ht="15.75" customHeight="1">
      <c r="G360" s="7"/>
      <c r="H360" s="7"/>
    </row>
    <row r="361" ht="15.75" customHeight="1">
      <c r="G361" s="7"/>
      <c r="H361" s="7"/>
    </row>
    <row r="362" ht="15.75" customHeight="1">
      <c r="G362" s="7"/>
      <c r="H362" s="7"/>
    </row>
    <row r="363" ht="15.75" customHeight="1">
      <c r="G363" s="7"/>
      <c r="H363" s="7"/>
    </row>
    <row r="364" ht="15.75" customHeight="1">
      <c r="G364" s="7"/>
      <c r="H364" s="7"/>
    </row>
    <row r="365" ht="15.75" customHeight="1">
      <c r="G365" s="7"/>
      <c r="H365" s="7"/>
    </row>
    <row r="366" ht="15.75" customHeight="1">
      <c r="G366" s="7"/>
      <c r="H366" s="7"/>
    </row>
    <row r="367" ht="15.75" customHeight="1">
      <c r="G367" s="7"/>
      <c r="H367" s="7"/>
    </row>
    <row r="368" ht="15.75" customHeight="1">
      <c r="G368" s="7"/>
      <c r="H368" s="7"/>
    </row>
    <row r="369" ht="15.75" customHeight="1">
      <c r="G369" s="7"/>
      <c r="H369" s="7"/>
    </row>
    <row r="370" ht="15.75" customHeight="1">
      <c r="G370" s="7"/>
      <c r="H370" s="7"/>
    </row>
    <row r="371" ht="15.75" customHeight="1">
      <c r="G371" s="7"/>
      <c r="H371" s="7"/>
    </row>
    <row r="372" ht="15.75" customHeight="1">
      <c r="G372" s="7"/>
      <c r="H372" s="7"/>
    </row>
    <row r="373" ht="15.75" customHeight="1">
      <c r="G373" s="7"/>
      <c r="H373" s="7"/>
    </row>
    <row r="374" ht="15.75" customHeight="1">
      <c r="G374" s="7"/>
      <c r="H374" s="7"/>
    </row>
    <row r="375" ht="15.75" customHeight="1">
      <c r="G375" s="7"/>
      <c r="H375" s="7"/>
    </row>
    <row r="376" ht="15.75" customHeight="1">
      <c r="G376" s="7"/>
      <c r="H376" s="7"/>
    </row>
    <row r="377" ht="15.75" customHeight="1">
      <c r="G377" s="7"/>
      <c r="H377" s="7"/>
    </row>
    <row r="378" ht="15.75" customHeight="1">
      <c r="G378" s="7"/>
      <c r="H378" s="7"/>
    </row>
    <row r="379" ht="15.75" customHeight="1">
      <c r="G379" s="7"/>
      <c r="H379" s="7"/>
    </row>
    <row r="380" ht="15.75" customHeight="1">
      <c r="G380" s="7"/>
      <c r="H380" s="7"/>
    </row>
    <row r="381" ht="15.75" customHeight="1">
      <c r="G381" s="7"/>
      <c r="H381" s="7"/>
    </row>
    <row r="382" ht="15.75" customHeight="1">
      <c r="G382" s="7"/>
      <c r="H382" s="7"/>
    </row>
    <row r="383" ht="15.75" customHeight="1">
      <c r="G383" s="7"/>
      <c r="H383" s="7"/>
    </row>
    <row r="384" ht="15.75" customHeight="1">
      <c r="G384" s="7"/>
      <c r="H384" s="7"/>
    </row>
    <row r="385" ht="15.75" customHeight="1">
      <c r="G385" s="7"/>
      <c r="H385" s="7"/>
    </row>
    <row r="386" ht="15.75" customHeight="1">
      <c r="G386" s="7"/>
      <c r="H386" s="7"/>
    </row>
    <row r="387" ht="15.75" customHeight="1">
      <c r="G387" s="7"/>
      <c r="H387" s="7"/>
    </row>
    <row r="388" ht="15.75" customHeight="1">
      <c r="G388" s="7"/>
      <c r="H388" s="7"/>
    </row>
    <row r="389" ht="15.75" customHeight="1">
      <c r="G389" s="7"/>
      <c r="H389" s="7"/>
    </row>
    <row r="390" ht="15.75" customHeight="1">
      <c r="G390" s="7"/>
      <c r="H390" s="7"/>
    </row>
    <row r="391" ht="15.75" customHeight="1">
      <c r="G391" s="7"/>
      <c r="H391" s="7"/>
    </row>
    <row r="392" ht="15.75" customHeight="1">
      <c r="G392" s="7"/>
      <c r="H392" s="7"/>
    </row>
    <row r="393" ht="15.75" customHeight="1">
      <c r="G393" s="7"/>
      <c r="H393" s="7"/>
    </row>
    <row r="394" ht="15.75" customHeight="1">
      <c r="G394" s="7"/>
      <c r="H394" s="7"/>
    </row>
    <row r="395" ht="15.75" customHeight="1">
      <c r="G395" s="7"/>
      <c r="H395" s="7"/>
    </row>
    <row r="396" ht="15.75" customHeight="1">
      <c r="G396" s="7"/>
      <c r="H396" s="7"/>
    </row>
    <row r="397" ht="15.75" customHeight="1">
      <c r="G397" s="7"/>
      <c r="H397" s="7"/>
    </row>
    <row r="398" ht="15.75" customHeight="1">
      <c r="G398" s="7"/>
      <c r="H398" s="7"/>
    </row>
    <row r="399" ht="15.75" customHeight="1">
      <c r="G399" s="7"/>
      <c r="H399" s="7"/>
    </row>
    <row r="400" ht="15.75" customHeight="1">
      <c r="G400" s="7"/>
      <c r="H400" s="7"/>
    </row>
    <row r="401" ht="15.75" customHeight="1">
      <c r="G401" s="7"/>
      <c r="H401" s="7"/>
    </row>
    <row r="402" ht="15.75" customHeight="1">
      <c r="G402" s="7"/>
      <c r="H402" s="7"/>
    </row>
    <row r="403" ht="15.75" customHeight="1">
      <c r="G403" s="7"/>
      <c r="H403" s="7"/>
    </row>
    <row r="404" ht="15.75" customHeight="1">
      <c r="G404" s="7"/>
      <c r="H404" s="7"/>
    </row>
    <row r="405" ht="15.75" customHeight="1">
      <c r="G405" s="7"/>
      <c r="H405" s="7"/>
    </row>
    <row r="406" ht="15.75" customHeight="1">
      <c r="G406" s="7"/>
      <c r="H406" s="7"/>
    </row>
    <row r="407" ht="15.75" customHeight="1">
      <c r="G407" s="7"/>
      <c r="H407" s="7"/>
    </row>
    <row r="408" ht="15.75" customHeight="1">
      <c r="G408" s="7"/>
      <c r="H408" s="7"/>
    </row>
    <row r="409" ht="15.75" customHeight="1">
      <c r="G409" s="7"/>
      <c r="H409" s="7"/>
    </row>
    <row r="410" ht="15.75" customHeight="1">
      <c r="G410" s="7"/>
      <c r="H410" s="7"/>
    </row>
    <row r="411" ht="15.75" customHeight="1">
      <c r="G411" s="7"/>
      <c r="H411" s="7"/>
    </row>
    <row r="412" ht="15.75" customHeight="1">
      <c r="G412" s="7"/>
      <c r="H412" s="7"/>
    </row>
    <row r="413" ht="15.75" customHeight="1">
      <c r="G413" s="7"/>
      <c r="H413" s="7"/>
    </row>
    <row r="414" ht="15.75" customHeight="1">
      <c r="G414" s="7"/>
      <c r="H414" s="7"/>
    </row>
    <row r="415" ht="15.75" customHeight="1">
      <c r="G415" s="7"/>
      <c r="H415" s="7"/>
    </row>
    <row r="416" ht="15.75" customHeight="1">
      <c r="G416" s="7"/>
      <c r="H416" s="7"/>
    </row>
    <row r="417" ht="15.75" customHeight="1">
      <c r="G417" s="7"/>
      <c r="H417" s="7"/>
    </row>
    <row r="418" ht="15.75" customHeight="1">
      <c r="G418" s="7"/>
      <c r="H418" s="7"/>
    </row>
    <row r="419" ht="15.75" customHeight="1">
      <c r="G419" s="7"/>
      <c r="H419" s="7"/>
    </row>
    <row r="420" ht="15.75" customHeight="1">
      <c r="G420" s="7"/>
      <c r="H420" s="7"/>
    </row>
    <row r="421" ht="15.75" customHeight="1">
      <c r="G421" s="7"/>
      <c r="H421" s="7"/>
    </row>
    <row r="422" ht="15.75" customHeight="1">
      <c r="G422" s="7"/>
      <c r="H422" s="7"/>
    </row>
    <row r="423" ht="15.75" customHeight="1">
      <c r="G423" s="7"/>
      <c r="H423" s="7"/>
    </row>
    <row r="424" ht="15.75" customHeight="1">
      <c r="G424" s="7"/>
      <c r="H424" s="7"/>
    </row>
    <row r="425" ht="15.75" customHeight="1">
      <c r="G425" s="7"/>
      <c r="H425" s="7"/>
    </row>
    <row r="426" ht="15.75" customHeight="1">
      <c r="G426" s="7"/>
      <c r="H426" s="7"/>
    </row>
    <row r="427" ht="15.75" customHeight="1">
      <c r="G427" s="7"/>
      <c r="H427" s="7"/>
    </row>
    <row r="428" ht="15.75" customHeight="1">
      <c r="G428" s="7"/>
      <c r="H428" s="7"/>
    </row>
    <row r="429" ht="15.75" customHeight="1">
      <c r="G429" s="7"/>
      <c r="H429" s="7"/>
    </row>
    <row r="430" ht="15.75" customHeight="1">
      <c r="G430" s="7"/>
      <c r="H430" s="7"/>
    </row>
    <row r="431" ht="15.75" customHeight="1">
      <c r="G431" s="7"/>
      <c r="H431" s="7"/>
    </row>
    <row r="432" ht="15.75" customHeight="1">
      <c r="G432" s="7"/>
      <c r="H432" s="7"/>
    </row>
    <row r="433" ht="15.75" customHeight="1">
      <c r="G433" s="7"/>
      <c r="H433" s="7"/>
    </row>
    <row r="434" ht="15.75" customHeight="1">
      <c r="G434" s="7"/>
      <c r="H434" s="7"/>
    </row>
    <row r="435" ht="15.75" customHeight="1">
      <c r="G435" s="7"/>
      <c r="H435" s="7"/>
    </row>
    <row r="436" ht="15.75" customHeight="1">
      <c r="G436" s="7"/>
      <c r="H436" s="7"/>
    </row>
    <row r="437" ht="15.75" customHeight="1">
      <c r="G437" s="7"/>
      <c r="H437" s="7"/>
    </row>
    <row r="438" ht="15.75" customHeight="1">
      <c r="G438" s="7"/>
      <c r="H438" s="7"/>
    </row>
    <row r="439" ht="15.75" customHeight="1">
      <c r="G439" s="7"/>
      <c r="H439" s="7"/>
    </row>
    <row r="440" ht="15.75" customHeight="1">
      <c r="G440" s="7"/>
      <c r="H440" s="7"/>
    </row>
    <row r="441" ht="15.75" customHeight="1">
      <c r="G441" s="7"/>
      <c r="H441" s="7"/>
    </row>
    <row r="442" ht="15.75" customHeight="1">
      <c r="G442" s="7"/>
      <c r="H442" s="7"/>
    </row>
    <row r="443" ht="15.75" customHeight="1">
      <c r="G443" s="7"/>
      <c r="H443" s="7"/>
    </row>
    <row r="444" ht="15.75" customHeight="1">
      <c r="G444" s="7"/>
      <c r="H444" s="7"/>
    </row>
    <row r="445" ht="15.75" customHeight="1">
      <c r="G445" s="7"/>
      <c r="H445" s="7"/>
    </row>
    <row r="446" ht="15.75" customHeight="1">
      <c r="G446" s="7"/>
      <c r="H446" s="7"/>
    </row>
    <row r="447" ht="15.75" customHeight="1">
      <c r="G447" s="7"/>
      <c r="H447" s="7"/>
    </row>
    <row r="448" ht="15.75" customHeight="1">
      <c r="G448" s="7"/>
      <c r="H448" s="7"/>
    </row>
    <row r="449" ht="15.75" customHeight="1">
      <c r="G449" s="7"/>
      <c r="H449" s="7"/>
    </row>
    <row r="450" ht="15.75" customHeight="1">
      <c r="G450" s="7"/>
      <c r="H450" s="7"/>
    </row>
    <row r="451" ht="15.75" customHeight="1">
      <c r="G451" s="7"/>
      <c r="H451" s="7"/>
    </row>
    <row r="452" ht="15.75" customHeight="1">
      <c r="G452" s="7"/>
      <c r="H452" s="7"/>
    </row>
    <row r="453" ht="15.75" customHeight="1">
      <c r="G453" s="7"/>
      <c r="H453" s="7"/>
    </row>
    <row r="454" ht="15.75" customHeight="1">
      <c r="G454" s="7"/>
      <c r="H454" s="7"/>
    </row>
    <row r="455" ht="15.75" customHeight="1">
      <c r="G455" s="7"/>
      <c r="H455" s="7"/>
    </row>
    <row r="456" ht="15.75" customHeight="1">
      <c r="G456" s="7"/>
      <c r="H456" s="7"/>
    </row>
    <row r="457" ht="15.75" customHeight="1">
      <c r="G457" s="7"/>
      <c r="H457" s="7"/>
    </row>
    <row r="458" ht="15.75" customHeight="1">
      <c r="G458" s="7"/>
      <c r="H458" s="7"/>
    </row>
    <row r="459" ht="15.75" customHeight="1">
      <c r="G459" s="7"/>
      <c r="H459" s="7"/>
    </row>
    <row r="460" ht="15.75" customHeight="1">
      <c r="G460" s="7"/>
      <c r="H460" s="7"/>
    </row>
    <row r="461" ht="15.75" customHeight="1">
      <c r="G461" s="7"/>
      <c r="H461" s="7"/>
    </row>
    <row r="462" ht="15.75" customHeight="1">
      <c r="G462" s="7"/>
      <c r="H462" s="7"/>
    </row>
    <row r="463" ht="15.75" customHeight="1">
      <c r="G463" s="7"/>
      <c r="H463" s="7"/>
    </row>
    <row r="464" ht="15.75" customHeight="1">
      <c r="G464" s="7"/>
      <c r="H464" s="7"/>
    </row>
    <row r="465" ht="15.75" customHeight="1">
      <c r="G465" s="7"/>
      <c r="H465" s="7"/>
    </row>
    <row r="466" ht="15.75" customHeight="1">
      <c r="G466" s="7"/>
      <c r="H466" s="7"/>
    </row>
    <row r="467" ht="15.75" customHeight="1">
      <c r="G467" s="7"/>
      <c r="H467" s="7"/>
    </row>
    <row r="468" ht="15.75" customHeight="1">
      <c r="G468" s="7"/>
      <c r="H468" s="7"/>
    </row>
    <row r="469" ht="15.75" customHeight="1">
      <c r="G469" s="7"/>
      <c r="H469" s="7"/>
    </row>
    <row r="470" ht="15.75" customHeight="1">
      <c r="G470" s="7"/>
      <c r="H470" s="7"/>
    </row>
    <row r="471" ht="15.75" customHeight="1">
      <c r="G471" s="7"/>
      <c r="H471" s="7"/>
    </row>
    <row r="472" ht="15.75" customHeight="1">
      <c r="G472" s="7"/>
      <c r="H472" s="7"/>
    </row>
    <row r="473" ht="15.75" customHeight="1">
      <c r="G473" s="7"/>
      <c r="H473" s="7"/>
    </row>
    <row r="474" ht="15.75" customHeight="1">
      <c r="G474" s="7"/>
      <c r="H474" s="7"/>
    </row>
    <row r="475" ht="15.75" customHeight="1">
      <c r="G475" s="7"/>
      <c r="H475" s="7"/>
    </row>
    <row r="476" ht="15.75" customHeight="1">
      <c r="G476" s="7"/>
      <c r="H476" s="7"/>
    </row>
    <row r="477" ht="15.75" customHeight="1">
      <c r="G477" s="7"/>
      <c r="H477" s="7"/>
    </row>
    <row r="478" ht="15.75" customHeight="1">
      <c r="G478" s="7"/>
      <c r="H478" s="7"/>
    </row>
    <row r="479" ht="15.75" customHeight="1">
      <c r="G479" s="7"/>
      <c r="H479" s="7"/>
    </row>
    <row r="480" ht="15.75" customHeight="1">
      <c r="G480" s="7"/>
      <c r="H480" s="7"/>
    </row>
    <row r="481" ht="15.75" customHeight="1">
      <c r="G481" s="7"/>
      <c r="H481" s="7"/>
    </row>
    <row r="482" ht="15.75" customHeight="1">
      <c r="G482" s="7"/>
      <c r="H482" s="7"/>
    </row>
    <row r="483" ht="15.75" customHeight="1">
      <c r="G483" s="7"/>
      <c r="H483" s="7"/>
    </row>
    <row r="484" ht="15.75" customHeight="1">
      <c r="G484" s="7"/>
      <c r="H484" s="7"/>
    </row>
    <row r="485" ht="15.75" customHeight="1">
      <c r="G485" s="7"/>
      <c r="H485" s="7"/>
    </row>
    <row r="486" ht="15.75" customHeight="1">
      <c r="G486" s="7"/>
      <c r="H486" s="7"/>
    </row>
    <row r="487" ht="15.75" customHeight="1">
      <c r="G487" s="7"/>
      <c r="H487" s="7"/>
    </row>
    <row r="488" ht="15.75" customHeight="1">
      <c r="G488" s="7"/>
      <c r="H488" s="7"/>
    </row>
    <row r="489" ht="15.75" customHeight="1">
      <c r="G489" s="7"/>
      <c r="H489" s="7"/>
    </row>
    <row r="490" ht="15.75" customHeight="1">
      <c r="G490" s="7"/>
      <c r="H490" s="7"/>
    </row>
    <row r="491" ht="15.75" customHeight="1">
      <c r="G491" s="7"/>
      <c r="H491" s="7"/>
    </row>
    <row r="492" ht="15.75" customHeight="1">
      <c r="G492" s="7"/>
      <c r="H492" s="7"/>
    </row>
    <row r="493" ht="15.75" customHeight="1">
      <c r="G493" s="7"/>
      <c r="H493" s="7"/>
    </row>
    <row r="494" ht="15.75" customHeight="1">
      <c r="G494" s="7"/>
      <c r="H494" s="7"/>
    </row>
    <row r="495" ht="15.75" customHeight="1">
      <c r="G495" s="7"/>
      <c r="H495" s="7"/>
    </row>
    <row r="496" ht="15.75" customHeight="1">
      <c r="G496" s="7"/>
      <c r="H496" s="7"/>
    </row>
    <row r="497" ht="15.75" customHeight="1">
      <c r="G497" s="7"/>
      <c r="H497" s="7"/>
    </row>
    <row r="498" ht="15.75" customHeight="1">
      <c r="G498" s="7"/>
      <c r="H498" s="7"/>
    </row>
    <row r="499" ht="15.75" customHeight="1">
      <c r="G499" s="7"/>
      <c r="H499" s="7"/>
    </row>
    <row r="500" ht="15.75" customHeight="1">
      <c r="G500" s="7"/>
      <c r="H500" s="7"/>
    </row>
    <row r="501" ht="15.75" customHeight="1">
      <c r="G501" s="7"/>
      <c r="H501" s="7"/>
    </row>
    <row r="502" ht="15.75" customHeight="1">
      <c r="G502" s="7"/>
      <c r="H502" s="7"/>
    </row>
    <row r="503" ht="15.75" customHeight="1">
      <c r="G503" s="7"/>
      <c r="H503" s="7"/>
    </row>
    <row r="504" ht="15.75" customHeight="1">
      <c r="G504" s="7"/>
      <c r="H504" s="7"/>
    </row>
    <row r="505" ht="15.75" customHeight="1">
      <c r="G505" s="7"/>
      <c r="H505" s="7"/>
    </row>
    <row r="506" ht="15.75" customHeight="1">
      <c r="G506" s="7"/>
      <c r="H506" s="7"/>
    </row>
    <row r="507" ht="15.75" customHeight="1">
      <c r="G507" s="7"/>
      <c r="H507" s="7"/>
    </row>
    <row r="508" ht="15.75" customHeight="1">
      <c r="G508" s="7"/>
      <c r="H508" s="7"/>
    </row>
    <row r="509" ht="15.75" customHeight="1">
      <c r="G509" s="7"/>
      <c r="H509" s="7"/>
    </row>
    <row r="510" ht="15.75" customHeight="1">
      <c r="G510" s="7"/>
      <c r="H510" s="7"/>
    </row>
    <row r="511" ht="15.75" customHeight="1">
      <c r="G511" s="7"/>
      <c r="H511" s="7"/>
    </row>
    <row r="512" ht="15.75" customHeight="1">
      <c r="G512" s="7"/>
      <c r="H512" s="7"/>
    </row>
    <row r="513" ht="15.75" customHeight="1">
      <c r="G513" s="7"/>
      <c r="H513" s="7"/>
    </row>
    <row r="514" ht="15.75" customHeight="1">
      <c r="G514" s="7"/>
      <c r="H514" s="7"/>
    </row>
    <row r="515" ht="15.75" customHeight="1">
      <c r="G515" s="7"/>
      <c r="H515" s="7"/>
    </row>
    <row r="516" ht="15.75" customHeight="1">
      <c r="G516" s="7"/>
      <c r="H516" s="7"/>
    </row>
    <row r="517" ht="15.75" customHeight="1">
      <c r="G517" s="7"/>
      <c r="H517" s="7"/>
    </row>
    <row r="518" ht="15.75" customHeight="1">
      <c r="G518" s="7"/>
      <c r="H518" s="7"/>
    </row>
    <row r="519" ht="15.75" customHeight="1">
      <c r="G519" s="7"/>
      <c r="H519" s="7"/>
    </row>
    <row r="520" ht="15.75" customHeight="1">
      <c r="G520" s="7"/>
      <c r="H520" s="7"/>
    </row>
    <row r="521" ht="15.75" customHeight="1">
      <c r="G521" s="7"/>
      <c r="H521" s="7"/>
    </row>
    <row r="522" ht="15.75" customHeight="1">
      <c r="G522" s="7"/>
      <c r="H522" s="7"/>
    </row>
    <row r="523" ht="15.75" customHeight="1">
      <c r="G523" s="7"/>
      <c r="H523" s="7"/>
    </row>
    <row r="524" ht="15.75" customHeight="1">
      <c r="G524" s="7"/>
      <c r="H524" s="7"/>
    </row>
    <row r="525" ht="15.75" customHeight="1">
      <c r="G525" s="7"/>
      <c r="H525" s="7"/>
    </row>
    <row r="526" ht="15.75" customHeight="1">
      <c r="G526" s="7"/>
      <c r="H526" s="7"/>
    </row>
    <row r="527" ht="15.75" customHeight="1">
      <c r="G527" s="7"/>
      <c r="H527" s="7"/>
    </row>
    <row r="528" ht="15.75" customHeight="1">
      <c r="G528" s="7"/>
      <c r="H528" s="7"/>
    </row>
    <row r="529" ht="15.75" customHeight="1">
      <c r="G529" s="7"/>
      <c r="H529" s="7"/>
    </row>
    <row r="530" ht="15.75" customHeight="1">
      <c r="G530" s="7"/>
      <c r="H530" s="7"/>
    </row>
    <row r="531" ht="15.75" customHeight="1">
      <c r="G531" s="7"/>
      <c r="H531" s="7"/>
    </row>
    <row r="532" ht="15.75" customHeight="1">
      <c r="G532" s="7"/>
      <c r="H532" s="7"/>
    </row>
    <row r="533" ht="15.75" customHeight="1">
      <c r="G533" s="7"/>
      <c r="H533" s="7"/>
    </row>
    <row r="534" ht="15.75" customHeight="1">
      <c r="G534" s="7"/>
      <c r="H534" s="7"/>
    </row>
    <row r="535" ht="15.75" customHeight="1">
      <c r="G535" s="7"/>
      <c r="H535" s="7"/>
    </row>
    <row r="536" ht="15.75" customHeight="1">
      <c r="G536" s="7"/>
      <c r="H536" s="7"/>
    </row>
    <row r="537" ht="15.75" customHeight="1">
      <c r="G537" s="7"/>
      <c r="H537" s="7"/>
    </row>
    <row r="538" ht="15.75" customHeight="1">
      <c r="G538" s="7"/>
      <c r="H538" s="7"/>
    </row>
    <row r="539" ht="15.75" customHeight="1">
      <c r="G539" s="7"/>
      <c r="H539" s="7"/>
    </row>
    <row r="540" ht="15.75" customHeight="1">
      <c r="G540" s="7"/>
      <c r="H540" s="7"/>
    </row>
    <row r="541" ht="15.75" customHeight="1">
      <c r="G541" s="7"/>
      <c r="H541" s="7"/>
    </row>
    <row r="542" ht="15.75" customHeight="1">
      <c r="G542" s="7"/>
      <c r="H542" s="7"/>
    </row>
    <row r="543" ht="15.75" customHeight="1">
      <c r="G543" s="7"/>
      <c r="H543" s="7"/>
    </row>
    <row r="544" ht="15.75" customHeight="1">
      <c r="G544" s="7"/>
      <c r="H544" s="7"/>
    </row>
    <row r="545" ht="15.75" customHeight="1">
      <c r="G545" s="7"/>
      <c r="H545" s="7"/>
    </row>
    <row r="546" ht="15.75" customHeight="1">
      <c r="G546" s="7"/>
      <c r="H546" s="7"/>
    </row>
    <row r="547" ht="15.75" customHeight="1">
      <c r="G547" s="7"/>
      <c r="H547" s="7"/>
    </row>
    <row r="548" ht="15.75" customHeight="1">
      <c r="G548" s="7"/>
      <c r="H548" s="7"/>
    </row>
    <row r="549" ht="15.75" customHeight="1">
      <c r="G549" s="7"/>
      <c r="H549" s="7"/>
    </row>
    <row r="550" ht="15.75" customHeight="1">
      <c r="G550" s="7"/>
      <c r="H550" s="7"/>
    </row>
    <row r="551" ht="15.75" customHeight="1">
      <c r="G551" s="7"/>
      <c r="H551" s="7"/>
    </row>
    <row r="552" ht="15.75" customHeight="1">
      <c r="G552" s="7"/>
      <c r="H552" s="7"/>
    </row>
    <row r="553" ht="15.75" customHeight="1">
      <c r="G553" s="7"/>
      <c r="H553" s="7"/>
    </row>
    <row r="554" ht="15.75" customHeight="1">
      <c r="G554" s="7"/>
      <c r="H554" s="7"/>
    </row>
    <row r="555" ht="15.75" customHeight="1">
      <c r="G555" s="7"/>
      <c r="H555" s="7"/>
    </row>
    <row r="556" ht="15.75" customHeight="1">
      <c r="G556" s="7"/>
      <c r="H556" s="7"/>
    </row>
    <row r="557" ht="15.75" customHeight="1">
      <c r="G557" s="7"/>
      <c r="H557" s="7"/>
    </row>
    <row r="558" ht="15.75" customHeight="1">
      <c r="G558" s="7"/>
      <c r="H558" s="7"/>
    </row>
    <row r="559" ht="15.75" customHeight="1">
      <c r="G559" s="7"/>
      <c r="H559" s="7"/>
    </row>
    <row r="560" ht="15.75" customHeight="1">
      <c r="G560" s="7"/>
      <c r="H560" s="7"/>
    </row>
    <row r="561" ht="15.75" customHeight="1">
      <c r="G561" s="7"/>
      <c r="H561" s="7"/>
    </row>
    <row r="562" ht="15.75" customHeight="1">
      <c r="G562" s="7"/>
      <c r="H562" s="7"/>
    </row>
    <row r="563" ht="15.75" customHeight="1">
      <c r="G563" s="7"/>
      <c r="H563" s="7"/>
    </row>
    <row r="564" ht="15.75" customHeight="1">
      <c r="G564" s="7"/>
      <c r="H564" s="7"/>
    </row>
    <row r="565" ht="15.75" customHeight="1">
      <c r="G565" s="7"/>
      <c r="H565" s="7"/>
    </row>
    <row r="566" ht="15.75" customHeight="1">
      <c r="G566" s="7"/>
      <c r="H566" s="7"/>
    </row>
    <row r="567" ht="15.75" customHeight="1">
      <c r="G567" s="7"/>
      <c r="H567" s="7"/>
    </row>
    <row r="568" ht="15.75" customHeight="1">
      <c r="G568" s="7"/>
      <c r="H568" s="7"/>
    </row>
    <row r="569" ht="15.75" customHeight="1">
      <c r="G569" s="7"/>
      <c r="H569" s="7"/>
    </row>
    <row r="570" ht="15.75" customHeight="1">
      <c r="G570" s="7"/>
      <c r="H570" s="7"/>
    </row>
    <row r="571" ht="15.75" customHeight="1">
      <c r="G571" s="7"/>
      <c r="H571" s="7"/>
    </row>
    <row r="572" ht="15.75" customHeight="1">
      <c r="G572" s="7"/>
      <c r="H572" s="7"/>
    </row>
    <row r="573" ht="15.75" customHeight="1">
      <c r="G573" s="7"/>
      <c r="H573" s="7"/>
    </row>
    <row r="574" ht="15.75" customHeight="1">
      <c r="G574" s="7"/>
      <c r="H574" s="7"/>
    </row>
    <row r="575" ht="15.75" customHeight="1">
      <c r="G575" s="7"/>
      <c r="H575" s="7"/>
    </row>
    <row r="576" ht="15.75" customHeight="1">
      <c r="G576" s="7"/>
      <c r="H576" s="7"/>
    </row>
    <row r="577" ht="15.75" customHeight="1">
      <c r="G577" s="7"/>
      <c r="H577" s="7"/>
    </row>
    <row r="578" ht="15.75" customHeight="1">
      <c r="G578" s="7"/>
      <c r="H578" s="7"/>
    </row>
    <row r="579" ht="15.75" customHeight="1">
      <c r="G579" s="7"/>
      <c r="H579" s="7"/>
    </row>
    <row r="580" ht="15.75" customHeight="1">
      <c r="G580" s="7"/>
      <c r="H580" s="7"/>
    </row>
    <row r="581" ht="15.75" customHeight="1">
      <c r="G581" s="7"/>
      <c r="H581" s="7"/>
    </row>
    <row r="582" ht="15.75" customHeight="1">
      <c r="G582" s="7"/>
      <c r="H582" s="7"/>
    </row>
    <row r="583" ht="15.75" customHeight="1">
      <c r="G583" s="7"/>
      <c r="H583" s="7"/>
    </row>
    <row r="584" ht="15.75" customHeight="1">
      <c r="G584" s="7"/>
      <c r="H584" s="7"/>
    </row>
    <row r="585" ht="15.75" customHeight="1">
      <c r="G585" s="7"/>
      <c r="H585" s="7"/>
    </row>
    <row r="586" ht="15.75" customHeight="1">
      <c r="G586" s="7"/>
      <c r="H586" s="7"/>
    </row>
    <row r="587" ht="15.75" customHeight="1">
      <c r="G587" s="7"/>
      <c r="H587" s="7"/>
    </row>
    <row r="588" ht="15.75" customHeight="1">
      <c r="G588" s="7"/>
      <c r="H588" s="7"/>
    </row>
    <row r="589" ht="15.75" customHeight="1">
      <c r="G589" s="7"/>
      <c r="H589" s="7"/>
    </row>
    <row r="590" ht="15.75" customHeight="1">
      <c r="G590" s="7"/>
      <c r="H590" s="7"/>
    </row>
    <row r="591" ht="15.75" customHeight="1">
      <c r="G591" s="7"/>
      <c r="H591" s="7"/>
    </row>
    <row r="592" ht="15.75" customHeight="1">
      <c r="G592" s="7"/>
      <c r="H592" s="7"/>
    </row>
    <row r="593" ht="15.75" customHeight="1">
      <c r="G593" s="7"/>
      <c r="H593" s="7"/>
    </row>
    <row r="594" ht="15.75" customHeight="1">
      <c r="G594" s="7"/>
      <c r="H594" s="7"/>
    </row>
    <row r="595" ht="15.75" customHeight="1">
      <c r="G595" s="7"/>
      <c r="H595" s="7"/>
    </row>
    <row r="596" ht="15.75" customHeight="1">
      <c r="G596" s="7"/>
      <c r="H596" s="7"/>
    </row>
    <row r="597" ht="15.75" customHeight="1">
      <c r="G597" s="7"/>
      <c r="H597" s="7"/>
    </row>
    <row r="598" ht="15.75" customHeight="1">
      <c r="G598" s="7"/>
      <c r="H598" s="7"/>
    </row>
    <row r="599" ht="15.75" customHeight="1">
      <c r="G599" s="7"/>
      <c r="H599" s="7"/>
    </row>
    <row r="600" ht="15.75" customHeight="1">
      <c r="G600" s="7"/>
      <c r="H600" s="7"/>
    </row>
    <row r="601" ht="15.75" customHeight="1">
      <c r="G601" s="7"/>
      <c r="H601" s="7"/>
    </row>
    <row r="602" ht="15.75" customHeight="1">
      <c r="G602" s="7"/>
      <c r="H602" s="7"/>
    </row>
    <row r="603" ht="15.75" customHeight="1">
      <c r="G603" s="7"/>
      <c r="H603" s="7"/>
    </row>
    <row r="604" ht="15.75" customHeight="1">
      <c r="G604" s="7"/>
      <c r="H604" s="7"/>
    </row>
    <row r="605" ht="15.75" customHeight="1">
      <c r="G605" s="7"/>
      <c r="H605" s="7"/>
    </row>
    <row r="606" ht="15.75" customHeight="1">
      <c r="G606" s="7"/>
      <c r="H606" s="7"/>
    </row>
    <row r="607" ht="15.75" customHeight="1">
      <c r="G607" s="7"/>
      <c r="H607" s="7"/>
    </row>
    <row r="608" ht="15.75" customHeight="1">
      <c r="G608" s="7"/>
      <c r="H608" s="7"/>
    </row>
    <row r="609" ht="15.75" customHeight="1">
      <c r="G609" s="7"/>
      <c r="H609" s="7"/>
    </row>
    <row r="610" ht="15.75" customHeight="1">
      <c r="G610" s="7"/>
      <c r="H610" s="7"/>
    </row>
    <row r="611" ht="15.75" customHeight="1">
      <c r="G611" s="7"/>
      <c r="H611" s="7"/>
    </row>
    <row r="612" ht="15.75" customHeight="1">
      <c r="G612" s="7"/>
      <c r="H612" s="7"/>
    </row>
    <row r="613" ht="15.75" customHeight="1">
      <c r="G613" s="7"/>
      <c r="H613" s="7"/>
    </row>
    <row r="614" ht="15.75" customHeight="1">
      <c r="G614" s="7"/>
      <c r="H614" s="7"/>
    </row>
    <row r="615" ht="15.75" customHeight="1">
      <c r="G615" s="7"/>
      <c r="H615" s="7"/>
    </row>
    <row r="616" ht="15.75" customHeight="1">
      <c r="G616" s="7"/>
      <c r="H616" s="7"/>
    </row>
    <row r="617" ht="15.75" customHeight="1">
      <c r="G617" s="7"/>
      <c r="H617" s="7"/>
    </row>
    <row r="618" ht="15.75" customHeight="1">
      <c r="G618" s="7"/>
      <c r="H618" s="7"/>
    </row>
    <row r="619" ht="15.75" customHeight="1">
      <c r="G619" s="7"/>
      <c r="H619" s="7"/>
    </row>
    <row r="620" ht="15.75" customHeight="1">
      <c r="G620" s="7"/>
      <c r="H620" s="7"/>
    </row>
    <row r="621" ht="15.75" customHeight="1">
      <c r="G621" s="7"/>
      <c r="H621" s="7"/>
    </row>
    <row r="622" ht="15.75" customHeight="1">
      <c r="G622" s="7"/>
      <c r="H622" s="7"/>
    </row>
    <row r="623" ht="15.75" customHeight="1">
      <c r="G623" s="7"/>
      <c r="H623" s="7"/>
    </row>
    <row r="624" ht="15.75" customHeight="1">
      <c r="G624" s="7"/>
      <c r="H624" s="7"/>
    </row>
    <row r="625" ht="15.75" customHeight="1">
      <c r="G625" s="7"/>
      <c r="H625" s="7"/>
    </row>
    <row r="626" ht="15.75" customHeight="1">
      <c r="G626" s="7"/>
      <c r="H626" s="7"/>
    </row>
    <row r="627" ht="15.75" customHeight="1">
      <c r="G627" s="7"/>
      <c r="H627" s="7"/>
    </row>
    <row r="628" ht="15.75" customHeight="1">
      <c r="G628" s="7"/>
      <c r="H628" s="7"/>
    </row>
    <row r="629" ht="15.75" customHeight="1">
      <c r="G629" s="7"/>
      <c r="H629" s="7"/>
    </row>
    <row r="630" ht="15.75" customHeight="1">
      <c r="G630" s="7"/>
      <c r="H630" s="7"/>
    </row>
    <row r="631" ht="15.75" customHeight="1">
      <c r="G631" s="7"/>
      <c r="H631" s="7"/>
    </row>
    <row r="632" ht="15.75" customHeight="1">
      <c r="G632" s="7"/>
      <c r="H632" s="7"/>
    </row>
    <row r="633" ht="15.75" customHeight="1">
      <c r="G633" s="7"/>
      <c r="H633" s="7"/>
    </row>
    <row r="634" ht="15.75" customHeight="1">
      <c r="G634" s="7"/>
      <c r="H634" s="7"/>
    </row>
    <row r="635" ht="15.75" customHeight="1">
      <c r="G635" s="7"/>
      <c r="H635" s="7"/>
    </row>
    <row r="636" ht="15.75" customHeight="1">
      <c r="G636" s="7"/>
      <c r="H636" s="7"/>
    </row>
    <row r="637" ht="15.75" customHeight="1">
      <c r="G637" s="7"/>
      <c r="H637" s="7"/>
    </row>
    <row r="638" ht="15.75" customHeight="1">
      <c r="G638" s="7"/>
      <c r="H638" s="7"/>
    </row>
    <row r="639" ht="15.75" customHeight="1">
      <c r="G639" s="7"/>
      <c r="H639" s="7"/>
    </row>
    <row r="640" ht="15.75" customHeight="1">
      <c r="G640" s="7"/>
      <c r="H640" s="7"/>
    </row>
    <row r="641" ht="15.75" customHeight="1">
      <c r="G641" s="7"/>
      <c r="H641" s="7"/>
    </row>
    <row r="642" ht="15.75" customHeight="1">
      <c r="G642" s="7"/>
      <c r="H642" s="7"/>
    </row>
    <row r="643" ht="15.75" customHeight="1">
      <c r="G643" s="7"/>
      <c r="H643" s="7"/>
    </row>
    <row r="644" ht="15.75" customHeight="1">
      <c r="G644" s="7"/>
      <c r="H644" s="7"/>
    </row>
    <row r="645" ht="15.75" customHeight="1">
      <c r="G645" s="7"/>
      <c r="H645" s="7"/>
    </row>
    <row r="646" ht="15.75" customHeight="1">
      <c r="G646" s="7"/>
      <c r="H646" s="7"/>
    </row>
    <row r="647" ht="15.75" customHeight="1">
      <c r="G647" s="7"/>
      <c r="H647" s="7"/>
    </row>
    <row r="648" ht="15.75" customHeight="1">
      <c r="G648" s="7"/>
      <c r="H648" s="7"/>
    </row>
    <row r="649" ht="15.75" customHeight="1">
      <c r="G649" s="7"/>
      <c r="H649" s="7"/>
    </row>
    <row r="650" ht="15.75" customHeight="1">
      <c r="G650" s="7"/>
      <c r="H650" s="7"/>
    </row>
    <row r="651" ht="15.75" customHeight="1">
      <c r="G651" s="7"/>
      <c r="H651" s="7"/>
    </row>
    <row r="652" ht="15.75" customHeight="1">
      <c r="G652" s="7"/>
      <c r="H652" s="7"/>
    </row>
    <row r="653" ht="15.75" customHeight="1">
      <c r="G653" s="7"/>
      <c r="H653" s="7"/>
    </row>
    <row r="654" ht="15.75" customHeight="1">
      <c r="G654" s="7"/>
      <c r="H654" s="7"/>
    </row>
    <row r="655" ht="15.75" customHeight="1">
      <c r="G655" s="7"/>
      <c r="H655" s="7"/>
    </row>
    <row r="656" ht="15.75" customHeight="1">
      <c r="G656" s="7"/>
      <c r="H656" s="7"/>
    </row>
    <row r="657" ht="15.75" customHeight="1">
      <c r="G657" s="7"/>
      <c r="H657" s="7"/>
    </row>
    <row r="658" ht="15.75" customHeight="1">
      <c r="G658" s="7"/>
      <c r="H658" s="7"/>
    </row>
    <row r="659" ht="15.75" customHeight="1">
      <c r="G659" s="7"/>
      <c r="H659" s="7"/>
    </row>
    <row r="660" ht="15.75" customHeight="1">
      <c r="G660" s="7"/>
      <c r="H660" s="7"/>
    </row>
    <row r="661" ht="15.75" customHeight="1">
      <c r="G661" s="7"/>
      <c r="H661" s="7"/>
    </row>
    <row r="662" ht="15.75" customHeight="1">
      <c r="G662" s="7"/>
      <c r="H662" s="7"/>
    </row>
    <row r="663" ht="15.75" customHeight="1">
      <c r="G663" s="7"/>
      <c r="H663" s="7"/>
    </row>
    <row r="664" ht="15.75" customHeight="1">
      <c r="G664" s="7"/>
      <c r="H664" s="7"/>
    </row>
    <row r="665" ht="15.75" customHeight="1">
      <c r="G665" s="7"/>
      <c r="H665" s="7"/>
    </row>
    <row r="666" ht="15.75" customHeight="1">
      <c r="G666" s="7"/>
      <c r="H666" s="7"/>
    </row>
    <row r="667" ht="15.75" customHeight="1">
      <c r="G667" s="7"/>
      <c r="H667" s="7"/>
    </row>
    <row r="668" ht="15.75" customHeight="1">
      <c r="G668" s="7"/>
      <c r="H668" s="7"/>
    </row>
    <row r="669" ht="15.75" customHeight="1">
      <c r="G669" s="7"/>
      <c r="H669" s="7"/>
    </row>
    <row r="670" ht="15.75" customHeight="1">
      <c r="G670" s="7"/>
      <c r="H670" s="7"/>
    </row>
    <row r="671" ht="15.75" customHeight="1">
      <c r="G671" s="7"/>
      <c r="H671" s="7"/>
    </row>
    <row r="672" ht="15.75" customHeight="1">
      <c r="G672" s="7"/>
      <c r="H672" s="7"/>
    </row>
    <row r="673" ht="15.75" customHeight="1">
      <c r="G673" s="7"/>
      <c r="H673" s="7"/>
    </row>
    <row r="674" ht="15.75" customHeight="1">
      <c r="G674" s="7"/>
      <c r="H674" s="7"/>
    </row>
    <row r="675" ht="15.75" customHeight="1">
      <c r="G675" s="7"/>
      <c r="H675" s="7"/>
    </row>
    <row r="676" ht="15.75" customHeight="1">
      <c r="G676" s="7"/>
      <c r="H676" s="7"/>
    </row>
    <row r="677" ht="15.75" customHeight="1">
      <c r="G677" s="7"/>
      <c r="H677" s="7"/>
    </row>
    <row r="678" ht="15.75" customHeight="1">
      <c r="G678" s="7"/>
      <c r="H678" s="7"/>
    </row>
    <row r="679" ht="15.75" customHeight="1">
      <c r="G679" s="7"/>
      <c r="H679" s="7"/>
    </row>
    <row r="680" ht="15.75" customHeight="1">
      <c r="G680" s="7"/>
      <c r="H680" s="7"/>
    </row>
    <row r="681" ht="15.75" customHeight="1">
      <c r="G681" s="7"/>
      <c r="H681" s="7"/>
    </row>
    <row r="682" ht="15.75" customHeight="1">
      <c r="G682" s="7"/>
      <c r="H682" s="7"/>
    </row>
    <row r="683" ht="15.75" customHeight="1">
      <c r="G683" s="7"/>
      <c r="H683" s="7"/>
    </row>
    <row r="684" ht="15.75" customHeight="1">
      <c r="G684" s="7"/>
      <c r="H684" s="7"/>
    </row>
    <row r="685" ht="15.75" customHeight="1">
      <c r="G685" s="7"/>
      <c r="H685" s="7"/>
    </row>
    <row r="686" ht="15.75" customHeight="1">
      <c r="G686" s="7"/>
      <c r="H686" s="7"/>
    </row>
    <row r="687" ht="15.75" customHeight="1">
      <c r="G687" s="7"/>
      <c r="H687" s="7"/>
    </row>
    <row r="688" ht="15.75" customHeight="1">
      <c r="G688" s="7"/>
      <c r="H688" s="7"/>
    </row>
    <row r="689" ht="15.75" customHeight="1">
      <c r="G689" s="7"/>
      <c r="H689" s="7"/>
    </row>
    <row r="690" ht="15.75" customHeight="1">
      <c r="G690" s="7"/>
      <c r="H690" s="7"/>
    </row>
    <row r="691" ht="15.75" customHeight="1">
      <c r="G691" s="7"/>
      <c r="H691" s="7"/>
    </row>
    <row r="692" ht="15.75" customHeight="1">
      <c r="G692" s="7"/>
      <c r="H692" s="7"/>
    </row>
    <row r="693" ht="15.75" customHeight="1">
      <c r="G693" s="7"/>
      <c r="H693" s="7"/>
    </row>
    <row r="694" ht="15.75" customHeight="1">
      <c r="G694" s="7"/>
      <c r="H694" s="7"/>
    </row>
    <row r="695" ht="15.75" customHeight="1">
      <c r="G695" s="7"/>
      <c r="H695" s="7"/>
    </row>
    <row r="696" ht="15.75" customHeight="1">
      <c r="G696" s="7"/>
      <c r="H696" s="7"/>
    </row>
    <row r="697" ht="15.75" customHeight="1">
      <c r="G697" s="7"/>
      <c r="H697" s="7"/>
    </row>
    <row r="698" ht="15.75" customHeight="1">
      <c r="G698" s="7"/>
      <c r="H698" s="7"/>
    </row>
    <row r="699" ht="15.75" customHeight="1">
      <c r="G699" s="7"/>
      <c r="H699" s="7"/>
    </row>
    <row r="700" ht="15.75" customHeight="1">
      <c r="G700" s="7"/>
      <c r="H700" s="7"/>
    </row>
    <row r="701" ht="15.75" customHeight="1">
      <c r="G701" s="7"/>
      <c r="H701" s="7"/>
    </row>
    <row r="702" ht="15.75" customHeight="1">
      <c r="G702" s="7"/>
      <c r="H702" s="7"/>
    </row>
    <row r="703" ht="15.75" customHeight="1">
      <c r="G703" s="7"/>
      <c r="H703" s="7"/>
    </row>
    <row r="704" ht="15.75" customHeight="1">
      <c r="G704" s="7"/>
      <c r="H704" s="7"/>
    </row>
    <row r="705" ht="15.75" customHeight="1">
      <c r="G705" s="7"/>
      <c r="H705" s="7"/>
    </row>
    <row r="706" ht="15.75" customHeight="1">
      <c r="G706" s="7"/>
      <c r="H706" s="7"/>
    </row>
    <row r="707" ht="15.75" customHeight="1">
      <c r="G707" s="7"/>
      <c r="H707" s="7"/>
    </row>
    <row r="708" ht="15.75" customHeight="1">
      <c r="G708" s="7"/>
      <c r="H708" s="7"/>
    </row>
    <row r="709" ht="15.75" customHeight="1">
      <c r="G709" s="7"/>
      <c r="H709" s="7"/>
    </row>
    <row r="710" ht="15.75" customHeight="1">
      <c r="G710" s="7"/>
      <c r="H710" s="7"/>
    </row>
    <row r="711" ht="15.75" customHeight="1">
      <c r="G711" s="7"/>
      <c r="H711" s="7"/>
    </row>
    <row r="712" ht="15.75" customHeight="1">
      <c r="G712" s="7"/>
      <c r="H712" s="7"/>
    </row>
    <row r="713" ht="15.75" customHeight="1">
      <c r="G713" s="7"/>
      <c r="H713" s="7"/>
    </row>
    <row r="714" ht="15.75" customHeight="1">
      <c r="G714" s="7"/>
      <c r="H714" s="7"/>
    </row>
    <row r="715" ht="15.75" customHeight="1">
      <c r="G715" s="7"/>
      <c r="H715" s="7"/>
    </row>
    <row r="716" ht="15.75" customHeight="1">
      <c r="G716" s="7"/>
      <c r="H716" s="7"/>
    </row>
    <row r="717" ht="15.75" customHeight="1">
      <c r="G717" s="7"/>
      <c r="H717" s="7"/>
    </row>
    <row r="718" ht="15.75" customHeight="1">
      <c r="G718" s="7"/>
      <c r="H718" s="7"/>
    </row>
    <row r="719" ht="15.75" customHeight="1">
      <c r="G719" s="7"/>
      <c r="H719" s="7"/>
    </row>
    <row r="720" ht="15.75" customHeight="1">
      <c r="G720" s="7"/>
      <c r="H720" s="7"/>
    </row>
    <row r="721" ht="15.75" customHeight="1">
      <c r="G721" s="7"/>
      <c r="H721" s="7"/>
    </row>
    <row r="722" ht="15.75" customHeight="1">
      <c r="G722" s="7"/>
      <c r="H722" s="7"/>
    </row>
    <row r="723" ht="15.75" customHeight="1">
      <c r="G723" s="7"/>
      <c r="H723" s="7"/>
    </row>
    <row r="724" ht="15.75" customHeight="1">
      <c r="G724" s="7"/>
      <c r="H724" s="7"/>
    </row>
    <row r="725" ht="15.75" customHeight="1">
      <c r="G725" s="7"/>
      <c r="H725" s="7"/>
    </row>
    <row r="726" ht="15.75" customHeight="1">
      <c r="G726" s="7"/>
      <c r="H726" s="7"/>
    </row>
    <row r="727" ht="15.75" customHeight="1">
      <c r="G727" s="7"/>
      <c r="H727" s="7"/>
    </row>
    <row r="728" ht="15.75" customHeight="1">
      <c r="G728" s="7"/>
      <c r="H728" s="7"/>
    </row>
    <row r="729" ht="15.75" customHeight="1">
      <c r="G729" s="7"/>
      <c r="H729" s="7"/>
    </row>
    <row r="730" ht="15.75" customHeight="1">
      <c r="G730" s="7"/>
      <c r="H730" s="7"/>
    </row>
    <row r="731" ht="15.75" customHeight="1">
      <c r="G731" s="7"/>
      <c r="H731" s="7"/>
    </row>
    <row r="732" ht="15.75" customHeight="1">
      <c r="G732" s="7"/>
      <c r="H732" s="7"/>
    </row>
    <row r="733" ht="15.75" customHeight="1">
      <c r="G733" s="7"/>
      <c r="H733" s="7"/>
    </row>
    <row r="734" ht="15.75" customHeight="1">
      <c r="G734" s="7"/>
      <c r="H734" s="7"/>
    </row>
    <row r="735" ht="15.75" customHeight="1">
      <c r="G735" s="7"/>
      <c r="H735" s="7"/>
    </row>
    <row r="736" ht="15.75" customHeight="1">
      <c r="G736" s="7"/>
      <c r="H736" s="7"/>
    </row>
    <row r="737" ht="15.75" customHeight="1">
      <c r="G737" s="7"/>
      <c r="H737" s="7"/>
    </row>
    <row r="738" ht="15.75" customHeight="1">
      <c r="G738" s="7"/>
      <c r="H738" s="7"/>
    </row>
    <row r="739" ht="15.75" customHeight="1">
      <c r="G739" s="7"/>
      <c r="H739" s="7"/>
    </row>
    <row r="740" ht="15.75" customHeight="1">
      <c r="G740" s="7"/>
      <c r="H740" s="7"/>
    </row>
    <row r="741" ht="15.75" customHeight="1">
      <c r="G741" s="7"/>
      <c r="H741" s="7"/>
    </row>
    <row r="742" ht="15.75" customHeight="1">
      <c r="G742" s="7"/>
      <c r="H742" s="7"/>
    </row>
    <row r="743" ht="15.75" customHeight="1">
      <c r="G743" s="7"/>
      <c r="H743" s="7"/>
    </row>
    <row r="744" ht="15.75" customHeight="1">
      <c r="G744" s="7"/>
      <c r="H744" s="7"/>
    </row>
    <row r="745" ht="15.75" customHeight="1">
      <c r="G745" s="7"/>
      <c r="H745" s="7"/>
    </row>
    <row r="746" ht="15.75" customHeight="1">
      <c r="G746" s="7"/>
      <c r="H746" s="7"/>
    </row>
    <row r="747" ht="15.75" customHeight="1">
      <c r="G747" s="7"/>
      <c r="H747" s="7"/>
    </row>
    <row r="748" ht="15.75" customHeight="1">
      <c r="G748" s="7"/>
      <c r="H748" s="7"/>
    </row>
    <row r="749" ht="15.75" customHeight="1">
      <c r="G749" s="7"/>
      <c r="H749" s="7"/>
    </row>
    <row r="750" ht="15.75" customHeight="1">
      <c r="G750" s="7"/>
      <c r="H750" s="7"/>
    </row>
    <row r="751" ht="15.75" customHeight="1">
      <c r="G751" s="7"/>
      <c r="H751" s="7"/>
    </row>
    <row r="752" ht="15.75" customHeight="1">
      <c r="G752" s="7"/>
      <c r="H752" s="7"/>
    </row>
    <row r="753" ht="15.75" customHeight="1">
      <c r="G753" s="7"/>
      <c r="H753" s="7"/>
    </row>
    <row r="754" ht="15.75" customHeight="1">
      <c r="G754" s="7"/>
      <c r="H754" s="7"/>
    </row>
    <row r="755" ht="15.75" customHeight="1">
      <c r="G755" s="7"/>
      <c r="H755" s="7"/>
    </row>
    <row r="756" ht="15.75" customHeight="1">
      <c r="G756" s="7"/>
      <c r="H756" s="7"/>
    </row>
    <row r="757" ht="15.75" customHeight="1">
      <c r="G757" s="7"/>
      <c r="H757" s="7"/>
    </row>
    <row r="758" ht="15.75" customHeight="1">
      <c r="G758" s="7"/>
      <c r="H758" s="7"/>
    </row>
    <row r="759" ht="15.75" customHeight="1">
      <c r="G759" s="7"/>
      <c r="H759" s="7"/>
    </row>
    <row r="760" ht="15.75" customHeight="1">
      <c r="G760" s="7"/>
      <c r="H760" s="7"/>
    </row>
    <row r="761" ht="15.75" customHeight="1">
      <c r="G761" s="7"/>
      <c r="H761" s="7"/>
    </row>
    <row r="762" ht="15.75" customHeight="1">
      <c r="G762" s="7"/>
      <c r="H762" s="7"/>
    </row>
    <row r="763" ht="15.75" customHeight="1">
      <c r="G763" s="7"/>
      <c r="H763" s="7"/>
    </row>
    <row r="764" ht="15.75" customHeight="1">
      <c r="G764" s="7"/>
      <c r="H764" s="7"/>
    </row>
    <row r="765" ht="15.75" customHeight="1">
      <c r="G765" s="7"/>
      <c r="H765" s="7"/>
    </row>
    <row r="766" ht="15.75" customHeight="1">
      <c r="G766" s="7"/>
      <c r="H766" s="7"/>
    </row>
    <row r="767" ht="15.75" customHeight="1">
      <c r="G767" s="7"/>
      <c r="H767" s="7"/>
    </row>
    <row r="768" ht="15.75" customHeight="1">
      <c r="G768" s="7"/>
      <c r="H768" s="7"/>
    </row>
    <row r="769" ht="15.75" customHeight="1">
      <c r="G769" s="7"/>
      <c r="H769" s="7"/>
    </row>
    <row r="770" ht="15.75" customHeight="1">
      <c r="G770" s="7"/>
      <c r="H770" s="7"/>
    </row>
    <row r="771" ht="15.75" customHeight="1">
      <c r="G771" s="7"/>
      <c r="H771" s="7"/>
    </row>
    <row r="772" ht="15.75" customHeight="1">
      <c r="G772" s="7"/>
      <c r="H772" s="7"/>
    </row>
    <row r="773" ht="15.75" customHeight="1">
      <c r="G773" s="7"/>
      <c r="H773" s="7"/>
    </row>
    <row r="774" ht="15.75" customHeight="1">
      <c r="G774" s="7"/>
      <c r="H774" s="7"/>
    </row>
    <row r="775" ht="15.75" customHeight="1">
      <c r="G775" s="7"/>
      <c r="H775" s="7"/>
    </row>
    <row r="776" ht="15.75" customHeight="1">
      <c r="G776" s="7"/>
      <c r="H776" s="7"/>
    </row>
    <row r="777" ht="15.75" customHeight="1">
      <c r="G777" s="7"/>
      <c r="H777" s="7"/>
    </row>
    <row r="778" ht="15.75" customHeight="1">
      <c r="G778" s="7"/>
      <c r="H778" s="7"/>
    </row>
    <row r="779" ht="15.75" customHeight="1">
      <c r="G779" s="7"/>
      <c r="H779" s="7"/>
    </row>
    <row r="780" ht="15.75" customHeight="1">
      <c r="G780" s="7"/>
      <c r="H780" s="7"/>
    </row>
    <row r="781" ht="15.75" customHeight="1">
      <c r="G781" s="7"/>
      <c r="H781" s="7"/>
    </row>
    <row r="782" ht="15.75" customHeight="1">
      <c r="G782" s="7"/>
      <c r="H782" s="7"/>
    </row>
    <row r="783" ht="15.75" customHeight="1">
      <c r="G783" s="7"/>
      <c r="H783" s="7"/>
    </row>
    <row r="784" ht="15.75" customHeight="1">
      <c r="G784" s="7"/>
      <c r="H784" s="7"/>
    </row>
    <row r="785" ht="15.75" customHeight="1">
      <c r="G785" s="7"/>
      <c r="H785" s="7"/>
    </row>
    <row r="786" ht="15.75" customHeight="1">
      <c r="G786" s="7"/>
      <c r="H786" s="7"/>
    </row>
    <row r="787" ht="15.75" customHeight="1">
      <c r="G787" s="7"/>
      <c r="H787" s="7"/>
    </row>
    <row r="788" ht="15.75" customHeight="1">
      <c r="G788" s="7"/>
      <c r="H788" s="7"/>
    </row>
    <row r="789" ht="15.75" customHeight="1">
      <c r="G789" s="7"/>
      <c r="H789" s="7"/>
    </row>
    <row r="790" ht="15.75" customHeight="1">
      <c r="G790" s="7"/>
      <c r="H790" s="7"/>
    </row>
    <row r="791" ht="15.75" customHeight="1">
      <c r="G791" s="7"/>
      <c r="H791" s="7"/>
    </row>
    <row r="792" ht="15.75" customHeight="1">
      <c r="G792" s="7"/>
      <c r="H792" s="7"/>
    </row>
    <row r="793" ht="15.75" customHeight="1">
      <c r="G793" s="7"/>
      <c r="H793" s="7"/>
    </row>
    <row r="794" ht="15.75" customHeight="1">
      <c r="G794" s="7"/>
      <c r="H794" s="7"/>
    </row>
    <row r="795" ht="15.75" customHeight="1">
      <c r="G795" s="7"/>
      <c r="H795" s="7"/>
    </row>
    <row r="796" ht="15.75" customHeight="1">
      <c r="G796" s="7"/>
      <c r="H796" s="7"/>
    </row>
    <row r="797" ht="15.75" customHeight="1">
      <c r="G797" s="7"/>
      <c r="H797" s="7"/>
    </row>
    <row r="798" ht="15.75" customHeight="1">
      <c r="G798" s="7"/>
      <c r="H798" s="7"/>
    </row>
    <row r="799" ht="15.75" customHeight="1">
      <c r="G799" s="7"/>
      <c r="H799" s="7"/>
    </row>
    <row r="800" ht="15.75" customHeight="1">
      <c r="G800" s="7"/>
      <c r="H800" s="7"/>
    </row>
    <row r="801" ht="15.75" customHeight="1">
      <c r="G801" s="7"/>
      <c r="H801" s="7"/>
    </row>
    <row r="802" ht="15.75" customHeight="1">
      <c r="G802" s="7"/>
      <c r="H802" s="7"/>
    </row>
    <row r="803" ht="15.75" customHeight="1">
      <c r="G803" s="7"/>
      <c r="H803" s="7"/>
    </row>
    <row r="804" ht="15.75" customHeight="1">
      <c r="G804" s="7"/>
      <c r="H804" s="7"/>
    </row>
    <row r="805" ht="15.75" customHeight="1">
      <c r="G805" s="7"/>
      <c r="H805" s="7"/>
    </row>
    <row r="806" ht="15.75" customHeight="1">
      <c r="G806" s="7"/>
      <c r="H806" s="7"/>
    </row>
    <row r="807" ht="15.75" customHeight="1">
      <c r="G807" s="7"/>
      <c r="H807" s="7"/>
    </row>
    <row r="808" ht="15.75" customHeight="1">
      <c r="G808" s="7"/>
      <c r="H808" s="7"/>
    </row>
    <row r="809" ht="15.75" customHeight="1">
      <c r="G809" s="7"/>
      <c r="H809" s="7"/>
    </row>
    <row r="810" ht="15.75" customHeight="1">
      <c r="G810" s="7"/>
      <c r="H810" s="7"/>
    </row>
    <row r="811" ht="15.75" customHeight="1">
      <c r="G811" s="7"/>
      <c r="H811" s="7"/>
    </row>
    <row r="812" ht="15.75" customHeight="1">
      <c r="G812" s="7"/>
      <c r="H812" s="7"/>
    </row>
    <row r="813" ht="15.75" customHeight="1">
      <c r="G813" s="7"/>
      <c r="H813" s="7"/>
    </row>
    <row r="814" ht="15.75" customHeight="1">
      <c r="G814" s="7"/>
      <c r="H814" s="7"/>
    </row>
    <row r="815" ht="15.75" customHeight="1">
      <c r="G815" s="7"/>
      <c r="H815" s="7"/>
    </row>
    <row r="816" ht="15.75" customHeight="1">
      <c r="G816" s="7"/>
      <c r="H816" s="7"/>
    </row>
    <row r="817" ht="15.75" customHeight="1">
      <c r="G817" s="7"/>
      <c r="H817" s="7"/>
    </row>
    <row r="818" ht="15.75" customHeight="1">
      <c r="G818" s="7"/>
      <c r="H818" s="7"/>
    </row>
    <row r="819" ht="15.75" customHeight="1">
      <c r="G819" s="7"/>
      <c r="H819" s="7"/>
    </row>
    <row r="820" ht="15.75" customHeight="1">
      <c r="G820" s="7"/>
      <c r="H820" s="7"/>
    </row>
    <row r="821" ht="15.75" customHeight="1">
      <c r="G821" s="7"/>
      <c r="H821" s="7"/>
    </row>
    <row r="822" ht="15.75" customHeight="1">
      <c r="G822" s="7"/>
      <c r="H822" s="7"/>
    </row>
    <row r="823" ht="15.75" customHeight="1">
      <c r="G823" s="7"/>
      <c r="H823" s="7"/>
    </row>
    <row r="824" ht="15.75" customHeight="1">
      <c r="G824" s="7"/>
      <c r="H824" s="7"/>
    </row>
    <row r="825" ht="15.75" customHeight="1">
      <c r="G825" s="7"/>
      <c r="H825" s="7"/>
    </row>
    <row r="826" ht="15.75" customHeight="1">
      <c r="G826" s="7"/>
      <c r="H826" s="7"/>
    </row>
    <row r="827" ht="15.75" customHeight="1">
      <c r="G827" s="7"/>
      <c r="H827" s="7"/>
    </row>
    <row r="828" ht="15.75" customHeight="1">
      <c r="G828" s="7"/>
      <c r="H828" s="7"/>
    </row>
    <row r="829" ht="15.75" customHeight="1">
      <c r="G829" s="7"/>
      <c r="H829" s="7"/>
    </row>
    <row r="830" ht="15.75" customHeight="1">
      <c r="G830" s="7"/>
      <c r="H830" s="7"/>
    </row>
    <row r="831" ht="15.75" customHeight="1">
      <c r="G831" s="7"/>
      <c r="H831" s="7"/>
    </row>
    <row r="832" ht="15.75" customHeight="1">
      <c r="G832" s="7"/>
      <c r="H832" s="7"/>
    </row>
    <row r="833" ht="15.75" customHeight="1">
      <c r="G833" s="7"/>
      <c r="H833" s="7"/>
    </row>
    <row r="834" ht="15.75" customHeight="1">
      <c r="G834" s="7"/>
      <c r="H834" s="7"/>
    </row>
    <row r="835" ht="15.75" customHeight="1">
      <c r="G835" s="7"/>
      <c r="H835" s="7"/>
    </row>
    <row r="836" ht="15.75" customHeight="1">
      <c r="G836" s="7"/>
      <c r="H836" s="7"/>
    </row>
    <row r="837" ht="15.75" customHeight="1">
      <c r="G837" s="7"/>
      <c r="H837" s="7"/>
    </row>
    <row r="838" ht="15.75" customHeight="1">
      <c r="G838" s="7"/>
      <c r="H838" s="7"/>
    </row>
    <row r="839" ht="15.75" customHeight="1">
      <c r="G839" s="7"/>
      <c r="H839" s="7"/>
    </row>
    <row r="840" ht="15.75" customHeight="1">
      <c r="G840" s="7"/>
      <c r="H840" s="7"/>
    </row>
    <row r="841" ht="15.75" customHeight="1">
      <c r="G841" s="7"/>
      <c r="H841" s="7"/>
    </row>
    <row r="842" ht="15.75" customHeight="1">
      <c r="G842" s="7"/>
      <c r="H842" s="7"/>
    </row>
    <row r="843" ht="15.75" customHeight="1">
      <c r="G843" s="7"/>
      <c r="H843" s="7"/>
    </row>
    <row r="844" ht="15.75" customHeight="1">
      <c r="G844" s="7"/>
      <c r="H844" s="7"/>
    </row>
    <row r="845" ht="15.75" customHeight="1">
      <c r="G845" s="7"/>
      <c r="H845" s="7"/>
    </row>
    <row r="846" ht="15.75" customHeight="1">
      <c r="G846" s="7"/>
      <c r="H846" s="7"/>
    </row>
    <row r="847" ht="15.75" customHeight="1">
      <c r="G847" s="7"/>
      <c r="H847" s="7"/>
    </row>
    <row r="848" ht="15.75" customHeight="1">
      <c r="G848" s="7"/>
      <c r="H848" s="7"/>
    </row>
    <row r="849" ht="15.75" customHeight="1">
      <c r="G849" s="7"/>
      <c r="H849" s="7"/>
    </row>
    <row r="850" ht="15.75" customHeight="1">
      <c r="G850" s="7"/>
      <c r="H850" s="7"/>
    </row>
    <row r="851" ht="15.75" customHeight="1">
      <c r="G851" s="7"/>
      <c r="H851" s="7"/>
    </row>
    <row r="852" ht="15.75" customHeight="1">
      <c r="G852" s="7"/>
      <c r="H852" s="7"/>
    </row>
    <row r="853" ht="15.75" customHeight="1">
      <c r="G853" s="7"/>
      <c r="H853" s="7"/>
    </row>
    <row r="854" ht="15.75" customHeight="1">
      <c r="G854" s="7"/>
      <c r="H854" s="7"/>
    </row>
    <row r="855" ht="15.75" customHeight="1">
      <c r="G855" s="7"/>
      <c r="H855" s="7"/>
    </row>
    <row r="856" ht="15.75" customHeight="1">
      <c r="G856" s="7"/>
      <c r="H856" s="7"/>
    </row>
    <row r="857" ht="15.75" customHeight="1">
      <c r="G857" s="7"/>
      <c r="H857" s="7"/>
    </row>
    <row r="858" ht="15.75" customHeight="1">
      <c r="G858" s="7"/>
      <c r="H858" s="7"/>
    </row>
    <row r="859" ht="15.75" customHeight="1">
      <c r="G859" s="7"/>
      <c r="H859" s="7"/>
    </row>
    <row r="860" ht="15.75" customHeight="1">
      <c r="G860" s="7"/>
      <c r="H860" s="7"/>
    </row>
    <row r="861" ht="15.75" customHeight="1">
      <c r="G861" s="7"/>
      <c r="H861" s="7"/>
    </row>
    <row r="862" ht="15.75" customHeight="1">
      <c r="G862" s="7"/>
      <c r="H862" s="7"/>
    </row>
    <row r="863" ht="15.75" customHeight="1">
      <c r="G863" s="7"/>
      <c r="H863" s="7"/>
    </row>
    <row r="864" ht="15.75" customHeight="1">
      <c r="G864" s="7"/>
      <c r="H864" s="7"/>
    </row>
    <row r="865" ht="15.75" customHeight="1">
      <c r="G865" s="7"/>
      <c r="H865" s="7"/>
    </row>
    <row r="866" ht="15.75" customHeight="1">
      <c r="G866" s="7"/>
      <c r="H866" s="7"/>
    </row>
    <row r="867" ht="15.75" customHeight="1">
      <c r="G867" s="7"/>
      <c r="H867" s="7"/>
    </row>
    <row r="868" ht="15.75" customHeight="1">
      <c r="G868" s="7"/>
      <c r="H868" s="7"/>
    </row>
    <row r="869" ht="15.75" customHeight="1">
      <c r="G869" s="7"/>
      <c r="H869" s="7"/>
    </row>
    <row r="870" ht="15.75" customHeight="1">
      <c r="G870" s="7"/>
      <c r="H870" s="7"/>
    </row>
    <row r="871" ht="15.75" customHeight="1">
      <c r="G871" s="7"/>
      <c r="H871" s="7"/>
    </row>
    <row r="872" ht="15.75" customHeight="1">
      <c r="G872" s="7"/>
      <c r="H872" s="7"/>
    </row>
    <row r="873" ht="15.75" customHeight="1">
      <c r="G873" s="7"/>
      <c r="H873" s="7"/>
    </row>
    <row r="874" ht="15.75" customHeight="1">
      <c r="G874" s="7"/>
      <c r="H874" s="7"/>
    </row>
    <row r="875" ht="15.75" customHeight="1">
      <c r="G875" s="7"/>
      <c r="H875" s="7"/>
    </row>
    <row r="876" ht="15.75" customHeight="1">
      <c r="G876" s="7"/>
      <c r="H876" s="7"/>
    </row>
    <row r="877" ht="15.75" customHeight="1">
      <c r="G877" s="7"/>
      <c r="H877" s="7"/>
    </row>
    <row r="878" ht="15.75" customHeight="1">
      <c r="G878" s="7"/>
      <c r="H878" s="7"/>
    </row>
    <row r="879" ht="15.75" customHeight="1">
      <c r="G879" s="7"/>
      <c r="H879" s="7"/>
    </row>
    <row r="880" ht="15.75" customHeight="1">
      <c r="G880" s="7"/>
      <c r="H880" s="7"/>
    </row>
    <row r="881" ht="15.75" customHeight="1">
      <c r="G881" s="7"/>
      <c r="H881" s="7"/>
    </row>
    <row r="882" ht="15.75" customHeight="1">
      <c r="G882" s="7"/>
      <c r="H882" s="7"/>
    </row>
    <row r="883" ht="15.75" customHeight="1">
      <c r="G883" s="7"/>
      <c r="H883" s="7"/>
    </row>
    <row r="884" ht="15.75" customHeight="1">
      <c r="G884" s="7"/>
      <c r="H884" s="7"/>
    </row>
    <row r="885" ht="15.75" customHeight="1">
      <c r="G885" s="7"/>
      <c r="H885" s="7"/>
    </row>
    <row r="886" ht="15.75" customHeight="1">
      <c r="G886" s="7"/>
      <c r="H886" s="7"/>
    </row>
    <row r="887" ht="15.75" customHeight="1">
      <c r="G887" s="7"/>
      <c r="H887" s="7"/>
    </row>
    <row r="888" ht="15.75" customHeight="1">
      <c r="G888" s="7"/>
      <c r="H888" s="7"/>
    </row>
    <row r="889" ht="15.75" customHeight="1">
      <c r="G889" s="7"/>
      <c r="H889" s="7"/>
    </row>
    <row r="890" ht="15.75" customHeight="1">
      <c r="G890" s="7"/>
      <c r="H890" s="7"/>
    </row>
    <row r="891" ht="15.75" customHeight="1">
      <c r="G891" s="7"/>
      <c r="H891" s="7"/>
    </row>
    <row r="892" ht="15.75" customHeight="1">
      <c r="G892" s="7"/>
      <c r="H892" s="7"/>
    </row>
    <row r="893" ht="15.75" customHeight="1">
      <c r="G893" s="7"/>
      <c r="H893" s="7"/>
    </row>
    <row r="894" ht="15.75" customHeight="1">
      <c r="G894" s="7"/>
      <c r="H894" s="7"/>
    </row>
    <row r="895" ht="15.75" customHeight="1">
      <c r="G895" s="7"/>
      <c r="H895" s="7"/>
    </row>
    <row r="896" ht="15.75" customHeight="1">
      <c r="G896" s="7"/>
      <c r="H896" s="7"/>
    </row>
    <row r="897" ht="15.75" customHeight="1">
      <c r="G897" s="7"/>
      <c r="H897" s="7"/>
    </row>
    <row r="898" ht="15.75" customHeight="1">
      <c r="G898" s="7"/>
      <c r="H898" s="7"/>
    </row>
    <row r="899" ht="15.75" customHeight="1">
      <c r="G899" s="7"/>
      <c r="H899" s="7"/>
    </row>
    <row r="900" ht="15.75" customHeight="1">
      <c r="G900" s="7"/>
      <c r="H900" s="7"/>
    </row>
    <row r="901" ht="15.75" customHeight="1">
      <c r="G901" s="7"/>
      <c r="H901" s="7"/>
    </row>
    <row r="902" ht="15.75" customHeight="1">
      <c r="G902" s="7"/>
      <c r="H902" s="7"/>
    </row>
    <row r="903" ht="15.75" customHeight="1">
      <c r="G903" s="7"/>
      <c r="H903" s="7"/>
    </row>
    <row r="904" ht="15.75" customHeight="1">
      <c r="G904" s="7"/>
      <c r="H904" s="7"/>
    </row>
    <row r="905" ht="15.75" customHeight="1">
      <c r="G905" s="7"/>
      <c r="H905" s="7"/>
    </row>
    <row r="906" ht="15.75" customHeight="1">
      <c r="G906" s="7"/>
      <c r="H906" s="7"/>
    </row>
    <row r="907" ht="15.75" customHeight="1">
      <c r="G907" s="7"/>
      <c r="H907" s="7"/>
    </row>
    <row r="908" ht="15.75" customHeight="1">
      <c r="G908" s="7"/>
      <c r="H908" s="7"/>
    </row>
    <row r="909" ht="15.75" customHeight="1">
      <c r="G909" s="7"/>
      <c r="H909" s="7"/>
    </row>
    <row r="910" ht="15.75" customHeight="1">
      <c r="G910" s="7"/>
      <c r="H910" s="7"/>
    </row>
    <row r="911" ht="15.75" customHeight="1">
      <c r="G911" s="7"/>
      <c r="H911" s="7"/>
    </row>
    <row r="912" ht="15.75" customHeight="1">
      <c r="G912" s="7"/>
      <c r="H912" s="7"/>
    </row>
    <row r="913" ht="15.75" customHeight="1">
      <c r="G913" s="7"/>
      <c r="H913" s="7"/>
    </row>
    <row r="914" ht="15.75" customHeight="1">
      <c r="G914" s="7"/>
      <c r="H914" s="7"/>
    </row>
    <row r="915" ht="15.75" customHeight="1">
      <c r="G915" s="7"/>
      <c r="H915" s="7"/>
    </row>
    <row r="916" ht="15.75" customHeight="1">
      <c r="G916" s="7"/>
      <c r="H916" s="7"/>
    </row>
    <row r="917" ht="15.75" customHeight="1">
      <c r="G917" s="7"/>
      <c r="H917" s="7"/>
    </row>
    <row r="918" ht="15.75" customHeight="1">
      <c r="G918" s="7"/>
      <c r="H918" s="7"/>
    </row>
    <row r="919" ht="15.75" customHeight="1">
      <c r="G919" s="7"/>
      <c r="H919" s="7"/>
    </row>
    <row r="920" ht="15.75" customHeight="1">
      <c r="G920" s="7"/>
      <c r="H920" s="7"/>
    </row>
    <row r="921" ht="15.75" customHeight="1">
      <c r="G921" s="7"/>
      <c r="H921" s="7"/>
    </row>
    <row r="922" ht="15.75" customHeight="1">
      <c r="G922" s="7"/>
      <c r="H922" s="7"/>
    </row>
    <row r="923" ht="15.75" customHeight="1">
      <c r="G923" s="7"/>
      <c r="H923" s="7"/>
    </row>
    <row r="924" ht="15.75" customHeight="1">
      <c r="G924" s="7"/>
      <c r="H924" s="7"/>
    </row>
    <row r="925" ht="15.75" customHeight="1">
      <c r="G925" s="7"/>
      <c r="H925" s="7"/>
    </row>
    <row r="926" ht="15.75" customHeight="1">
      <c r="G926" s="7"/>
      <c r="H926" s="7"/>
    </row>
    <row r="927" ht="15.75" customHeight="1">
      <c r="G927" s="7"/>
      <c r="H927" s="7"/>
    </row>
    <row r="928" ht="15.75" customHeight="1">
      <c r="G928" s="7"/>
      <c r="H928" s="7"/>
    </row>
    <row r="929" ht="15.75" customHeight="1">
      <c r="G929" s="7"/>
      <c r="H929" s="7"/>
    </row>
    <row r="930" ht="15.75" customHeight="1">
      <c r="G930" s="7"/>
      <c r="H930" s="7"/>
    </row>
    <row r="931" ht="15.75" customHeight="1">
      <c r="G931" s="7"/>
      <c r="H931" s="7"/>
    </row>
    <row r="932" ht="15.75" customHeight="1">
      <c r="G932" s="7"/>
      <c r="H932" s="7"/>
    </row>
    <row r="933" ht="15.75" customHeight="1">
      <c r="G933" s="7"/>
      <c r="H933" s="7"/>
    </row>
    <row r="934" ht="15.75" customHeight="1">
      <c r="G934" s="7"/>
      <c r="H934" s="7"/>
    </row>
    <row r="935" ht="15.75" customHeight="1">
      <c r="G935" s="7"/>
      <c r="H935" s="7"/>
    </row>
    <row r="936" ht="15.75" customHeight="1">
      <c r="G936" s="7"/>
      <c r="H936" s="7"/>
    </row>
    <row r="937" ht="15.75" customHeight="1">
      <c r="G937" s="7"/>
      <c r="H937" s="7"/>
    </row>
    <row r="938" ht="15.75" customHeight="1">
      <c r="G938" s="7"/>
      <c r="H938" s="7"/>
    </row>
    <row r="939" ht="15.75" customHeight="1">
      <c r="G939" s="7"/>
      <c r="H939" s="7"/>
    </row>
    <row r="940" ht="15.75" customHeight="1">
      <c r="G940" s="7"/>
      <c r="H940" s="7"/>
    </row>
    <row r="941" ht="15.75" customHeight="1">
      <c r="G941" s="7"/>
      <c r="H941" s="7"/>
    </row>
    <row r="942" ht="15.75" customHeight="1">
      <c r="G942" s="7"/>
      <c r="H942" s="7"/>
    </row>
    <row r="943" ht="15.75" customHeight="1">
      <c r="G943" s="7"/>
      <c r="H943" s="7"/>
    </row>
    <row r="944" ht="15.75" customHeight="1">
      <c r="G944" s="7"/>
      <c r="H944" s="7"/>
    </row>
    <row r="945" ht="15.75" customHeight="1">
      <c r="G945" s="7"/>
      <c r="H945" s="7"/>
    </row>
    <row r="946" ht="15.75" customHeight="1">
      <c r="G946" s="7"/>
      <c r="H946" s="7"/>
    </row>
    <row r="947" ht="15.75" customHeight="1">
      <c r="G947" s="7"/>
      <c r="H947" s="7"/>
    </row>
    <row r="948" ht="15.75" customHeight="1">
      <c r="G948" s="7"/>
      <c r="H948" s="7"/>
    </row>
    <row r="949" ht="15.75" customHeight="1">
      <c r="G949" s="7"/>
      <c r="H949" s="7"/>
    </row>
    <row r="950" ht="15.75" customHeight="1">
      <c r="G950" s="7"/>
      <c r="H950" s="7"/>
    </row>
    <row r="951" ht="15.75" customHeight="1">
      <c r="G951" s="7"/>
      <c r="H951" s="7"/>
    </row>
    <row r="952" ht="15.75" customHeight="1">
      <c r="G952" s="7"/>
      <c r="H952" s="7"/>
    </row>
    <row r="953" ht="15.75" customHeight="1">
      <c r="G953" s="7"/>
      <c r="H953" s="7"/>
    </row>
    <row r="954" ht="15.75" customHeight="1">
      <c r="G954" s="7"/>
      <c r="H954" s="7"/>
    </row>
    <row r="955" ht="15.75" customHeight="1">
      <c r="G955" s="7"/>
      <c r="H955" s="7"/>
    </row>
    <row r="956" ht="15.75" customHeight="1">
      <c r="G956" s="7"/>
      <c r="H956" s="7"/>
    </row>
    <row r="957" ht="15.75" customHeight="1">
      <c r="G957" s="7"/>
      <c r="H957" s="7"/>
    </row>
    <row r="958" ht="15.75" customHeight="1">
      <c r="G958" s="7"/>
      <c r="H958" s="7"/>
    </row>
    <row r="959" ht="15.75" customHeight="1">
      <c r="G959" s="7"/>
      <c r="H959" s="7"/>
    </row>
    <row r="960" ht="15.75" customHeight="1">
      <c r="G960" s="7"/>
      <c r="H960" s="7"/>
    </row>
    <row r="961" ht="15.75" customHeight="1">
      <c r="G961" s="7"/>
      <c r="H961" s="7"/>
    </row>
    <row r="962" ht="15.75" customHeight="1">
      <c r="G962" s="7"/>
      <c r="H962" s="7"/>
    </row>
    <row r="963" ht="15.75" customHeight="1">
      <c r="G963" s="7"/>
      <c r="H963" s="7"/>
    </row>
    <row r="964" ht="15.75" customHeight="1">
      <c r="G964" s="7"/>
      <c r="H964" s="7"/>
    </row>
    <row r="965" ht="15.75" customHeight="1">
      <c r="G965" s="7"/>
      <c r="H965" s="7"/>
    </row>
    <row r="966" ht="15.75" customHeight="1">
      <c r="G966" s="7"/>
      <c r="H966" s="7"/>
    </row>
    <row r="967" ht="15.75" customHeight="1">
      <c r="G967" s="7"/>
      <c r="H967" s="7"/>
    </row>
    <row r="968" ht="15.75" customHeight="1">
      <c r="G968" s="7"/>
      <c r="H968" s="7"/>
    </row>
    <row r="969" ht="15.75" customHeight="1">
      <c r="G969" s="7"/>
      <c r="H969" s="7"/>
    </row>
    <row r="970" ht="15.75" customHeight="1">
      <c r="G970" s="7"/>
      <c r="H970" s="7"/>
    </row>
    <row r="971" ht="15.75" customHeight="1">
      <c r="G971" s="7"/>
      <c r="H971" s="7"/>
    </row>
    <row r="972" ht="15.75" customHeight="1">
      <c r="G972" s="7"/>
      <c r="H972" s="7"/>
    </row>
    <row r="973" ht="15.75" customHeight="1">
      <c r="G973" s="7"/>
      <c r="H973" s="7"/>
    </row>
    <row r="974" ht="15.75" customHeight="1">
      <c r="G974" s="7"/>
      <c r="H974" s="7"/>
    </row>
    <row r="975" ht="15.75" customHeight="1">
      <c r="G975" s="7"/>
      <c r="H975" s="7"/>
    </row>
    <row r="976" ht="15.75" customHeight="1">
      <c r="G976" s="7"/>
      <c r="H976" s="7"/>
    </row>
    <row r="977" ht="15.75" customHeight="1">
      <c r="G977" s="7"/>
      <c r="H977" s="7"/>
    </row>
    <row r="978" ht="15.75" customHeight="1">
      <c r="G978" s="7"/>
      <c r="H978" s="7"/>
    </row>
    <row r="979" ht="15.75" customHeight="1">
      <c r="G979" s="7"/>
      <c r="H979" s="7"/>
    </row>
    <row r="980" ht="15.75" customHeight="1">
      <c r="G980" s="7"/>
      <c r="H980" s="7"/>
    </row>
    <row r="981" ht="15.75" customHeight="1">
      <c r="G981" s="7"/>
      <c r="H981" s="7"/>
    </row>
    <row r="982" ht="15.75" customHeight="1">
      <c r="G982" s="7"/>
      <c r="H982" s="7"/>
    </row>
    <row r="983" ht="15.75" customHeight="1">
      <c r="G983" s="7"/>
      <c r="H983" s="7"/>
    </row>
    <row r="984" ht="15.75" customHeight="1">
      <c r="G984" s="7"/>
      <c r="H984" s="7"/>
    </row>
    <row r="985" ht="15.75" customHeight="1">
      <c r="G985" s="7"/>
      <c r="H985" s="7"/>
    </row>
    <row r="986" ht="15.75" customHeight="1">
      <c r="G986" s="7"/>
      <c r="H986" s="7"/>
    </row>
    <row r="987" ht="15.75" customHeight="1">
      <c r="G987" s="7"/>
      <c r="H987" s="7"/>
    </row>
    <row r="988" ht="15.75" customHeight="1">
      <c r="G988" s="7"/>
      <c r="H988" s="7"/>
    </row>
    <row r="989" ht="15.75" customHeight="1">
      <c r="G989" s="7"/>
      <c r="H989" s="7"/>
    </row>
    <row r="990" ht="15.75" customHeight="1">
      <c r="G990" s="7"/>
      <c r="H990" s="7"/>
    </row>
    <row r="991" ht="15.75" customHeight="1">
      <c r="G991" s="7"/>
      <c r="H991" s="7"/>
    </row>
    <row r="992" ht="15.75" customHeight="1">
      <c r="G992" s="7"/>
      <c r="H992" s="7"/>
    </row>
    <row r="993" ht="15.75" customHeight="1">
      <c r="G993" s="7"/>
      <c r="H993" s="7"/>
    </row>
    <row r="994" ht="15.75" customHeight="1">
      <c r="G994" s="7"/>
      <c r="H994" s="7"/>
    </row>
    <row r="995" ht="15.75" customHeight="1">
      <c r="G995" s="7"/>
      <c r="H995" s="7"/>
    </row>
    <row r="996" ht="15.75" customHeight="1">
      <c r="G996" s="7"/>
      <c r="H996" s="7"/>
    </row>
    <row r="997" ht="15.75" customHeight="1">
      <c r="G997" s="7"/>
      <c r="H997" s="7"/>
    </row>
    <row r="998" ht="15.75" customHeight="1">
      <c r="G998" s="7"/>
      <c r="H998" s="7"/>
    </row>
    <row r="999" ht="15.75" customHeight="1">
      <c r="G999" s="7"/>
      <c r="H999" s="7"/>
    </row>
    <row r="1000" ht="15.75" customHeight="1">
      <c r="G1000" s="7"/>
      <c r="H1000" s="7"/>
    </row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1.71"/>
    <col customWidth="1" min="3" max="3" width="14.43"/>
    <col customWidth="1" min="4" max="4" width="15.29"/>
    <col customWidth="1" min="5" max="5" width="12.71"/>
    <col customWidth="1" min="6" max="8" width="8.71"/>
    <col customWidth="1" min="9" max="9" width="15.57"/>
    <col customWidth="1" min="10" max="10" width="13.29"/>
    <col customWidth="1" min="11" max="11" width="13.71"/>
    <col customWidth="1" min="12" max="13" width="8.71"/>
    <col customWidth="1" min="14" max="14" width="23.71"/>
    <col customWidth="1" min="15" max="15" width="16.29"/>
    <col customWidth="1" min="16" max="16" width="26.86"/>
    <col customWidth="1" min="17" max="17" width="15.43"/>
    <col customWidth="1" min="18" max="18" width="13.57"/>
    <col customWidth="1" min="19" max="19" width="17.29"/>
  </cols>
  <sheetData>
    <row r="1" ht="14.25" customHeight="1">
      <c r="A1" s="11" t="s">
        <v>1943</v>
      </c>
      <c r="B1" s="11" t="s">
        <v>1944</v>
      </c>
      <c r="C1" s="11" t="s">
        <v>0</v>
      </c>
      <c r="D1" s="11" t="s">
        <v>1552</v>
      </c>
      <c r="E1" s="11" t="s">
        <v>1890</v>
      </c>
      <c r="F1" s="11" t="s">
        <v>1945</v>
      </c>
      <c r="G1" s="11" t="s">
        <v>1946</v>
      </c>
      <c r="H1" s="11" t="s">
        <v>1947</v>
      </c>
      <c r="I1" s="11" t="s">
        <v>1948</v>
      </c>
      <c r="J1" s="11" t="s">
        <v>1949</v>
      </c>
      <c r="K1" s="11" t="s">
        <v>1950</v>
      </c>
      <c r="L1" s="11" t="s">
        <v>1951</v>
      </c>
      <c r="N1" s="3" t="s">
        <v>1952</v>
      </c>
      <c r="O1" s="3" t="s">
        <v>4</v>
      </c>
      <c r="P1" s="3" t="s">
        <v>1553</v>
      </c>
      <c r="Q1" s="3" t="s">
        <v>1554</v>
      </c>
      <c r="R1" s="3" t="s">
        <v>1891</v>
      </c>
      <c r="S1" s="3" t="s">
        <v>1892</v>
      </c>
    </row>
    <row r="2" ht="14.25" customHeight="1">
      <c r="A2" s="8" t="s">
        <v>1953</v>
      </c>
      <c r="B2" s="12">
        <v>45480.0</v>
      </c>
      <c r="C2" s="8" t="s">
        <v>1288</v>
      </c>
      <c r="D2" s="8" t="s">
        <v>1881</v>
      </c>
      <c r="E2" s="8" t="s">
        <v>1910</v>
      </c>
      <c r="F2" s="8">
        <v>1.0</v>
      </c>
      <c r="G2" s="8">
        <v>218.04</v>
      </c>
      <c r="H2" s="8">
        <v>0.09</v>
      </c>
      <c r="I2" s="8">
        <f t="shared" ref="I2:I2001" si="1">F2*G2</f>
        <v>218.04</v>
      </c>
      <c r="J2" s="8">
        <f t="shared" ref="J2:J2001" si="2">H2*(1-I2)</f>
        <v>-19.5336</v>
      </c>
      <c r="K2" s="8" t="str">
        <f t="shared" ref="K2:K2001" si="3">TEXT(B2,"mmm")</f>
        <v>Jul</v>
      </c>
      <c r="L2" s="8">
        <f t="shared" ref="L2:L2001" si="4">YEAR(B2)</f>
        <v>2024</v>
      </c>
      <c r="N2" s="8" t="str">
        <f t="array" ref="N2">XLOOKUP(C2,Customer_Dim!A:A,Customer_Dim!B:B,"Not Found")</f>
        <v>Sarah Smith</v>
      </c>
      <c r="O2" s="8" t="str">
        <f t="array" ref="O2">XLOOKUP(C2,Customer_Dim!A:A,Customer_Dim!E:E,"Not Found")</f>
        <v>Kathleenport</v>
      </c>
      <c r="P2" s="8" t="str">
        <f t="array" ref="P2">XLOOKUP(D2,Product_Dim!A:A,Product_Dim!B:B,"Not Found")</f>
        <v>Cricket Bat</v>
      </c>
      <c r="Q2" s="8" t="str">
        <f t="array" ref="Q2">XLOOKUP(D2,Product_Dim!A:A,Product_Dim!C:C,"Not Found")</f>
        <v>Sports</v>
      </c>
      <c r="R2" s="8" t="str">
        <f t="array" ref="R2">XLOOKUP(E2,Store_Dim!A:A,Store_Dim!B:B,"Not Found")</f>
        <v>North</v>
      </c>
      <c r="S2" s="8" t="str">
        <f t="array" ref="S2">XLOOKUP(E2,Store_Dim!A:A,Store_Dim!D:D,"Not Found")</f>
        <v>Outlet</v>
      </c>
    </row>
    <row r="3" ht="14.25" customHeight="1">
      <c r="A3" s="8" t="s">
        <v>1954</v>
      </c>
      <c r="B3" s="12">
        <v>45481.0</v>
      </c>
      <c r="C3" s="8" t="s">
        <v>1456</v>
      </c>
      <c r="D3" s="8" t="s">
        <v>1812</v>
      </c>
      <c r="E3" s="8" t="s">
        <v>1937</v>
      </c>
      <c r="F3" s="8">
        <v>3.0</v>
      </c>
      <c r="G3" s="8">
        <v>104.47</v>
      </c>
      <c r="H3" s="8">
        <v>0.27</v>
      </c>
      <c r="I3" s="8">
        <f t="shared" si="1"/>
        <v>313.41</v>
      </c>
      <c r="J3" s="8">
        <f t="shared" si="2"/>
        <v>-84.3507</v>
      </c>
      <c r="K3" s="8" t="str">
        <f t="shared" si="3"/>
        <v>Jul</v>
      </c>
      <c r="L3" s="8">
        <f t="shared" si="4"/>
        <v>2024</v>
      </c>
      <c r="N3" s="8" t="str">
        <f t="array" ref="N3">XLOOKUP(C3,Customer_Dim!A:A,Customer_Dim!B:B,"Not Found")</f>
        <v>Michael Foley</v>
      </c>
      <c r="O3" s="8" t="str">
        <f t="array" ref="O3">XLOOKUP(C3,Customer_Dim!A:A,Customer_Dim!E:E,"Not Found")</f>
        <v>Oneillfurt</v>
      </c>
      <c r="P3" s="8" t="str">
        <f t="array" ref="P3">XLOOKUP(D3,Product_Dim!A:A,Product_Dim!B:B,"Not Found")</f>
        <v>Bluetooth Car Audio System</v>
      </c>
      <c r="Q3" s="8" t="str">
        <f t="array" ref="Q3">XLOOKUP(D3,Product_Dim!A:A,Product_Dim!C:C,"Not Found")</f>
        <v>Electronics</v>
      </c>
      <c r="R3" s="8" t="str">
        <f t="array" ref="R3">XLOOKUP(E3,Store_Dim!A:A,Store_Dim!B:B,"Not Found")</f>
        <v>North</v>
      </c>
      <c r="S3" s="8" t="str">
        <f t="array" ref="S3">XLOOKUP(E3,Store_Dim!A:A,Store_Dim!D:D,"Not Found")</f>
        <v>Flagship</v>
      </c>
    </row>
    <row r="4" ht="14.25" customHeight="1">
      <c r="A4" s="8" t="s">
        <v>1955</v>
      </c>
      <c r="B4" s="12">
        <v>45482.0</v>
      </c>
      <c r="C4" s="8" t="s">
        <v>221</v>
      </c>
      <c r="D4" s="8" t="s">
        <v>1735</v>
      </c>
      <c r="E4" s="8" t="s">
        <v>1921</v>
      </c>
      <c r="F4" s="8">
        <v>4.0</v>
      </c>
      <c r="G4" s="8">
        <v>914.05</v>
      </c>
      <c r="H4" s="8">
        <v>0.25</v>
      </c>
      <c r="I4" s="8">
        <f t="shared" si="1"/>
        <v>3656.2</v>
      </c>
      <c r="J4" s="8">
        <f t="shared" si="2"/>
        <v>-913.8</v>
      </c>
      <c r="K4" s="8" t="str">
        <f t="shared" si="3"/>
        <v>Jul</v>
      </c>
      <c r="L4" s="8">
        <f t="shared" si="4"/>
        <v>2024</v>
      </c>
      <c r="N4" s="8" t="str">
        <f t="array" ref="N4">XLOOKUP(C4,Customer_Dim!A:A,Customer_Dim!B:B,"Not Found")</f>
        <v>Christopher Sutton</v>
      </c>
      <c r="O4" s="8" t="str">
        <f t="array" ref="O4">XLOOKUP(C4,Customer_Dim!A:A,Customer_Dim!E:E,"Not Found")</f>
        <v>Deborahberg</v>
      </c>
      <c r="P4" s="8" t="str">
        <f t="array" ref="P4">XLOOKUP(D4,Product_Dim!A:A,Product_Dim!B:B,"Not Found")</f>
        <v>Men's Roll-On Perfume</v>
      </c>
      <c r="Q4" s="8" t="str">
        <f t="array" ref="Q4">XLOOKUP(D4,Product_Dim!A:A,Product_Dim!C:C,"Not Found")</f>
        <v>Beauty</v>
      </c>
      <c r="R4" s="8" t="str">
        <f t="array" ref="R4">XLOOKUP(E4,Store_Dim!A:A,Store_Dim!B:B,"Not Found")</f>
        <v>West</v>
      </c>
      <c r="S4" s="8" t="str">
        <f t="array" ref="S4">XLOOKUP(E4,Store_Dim!A:A,Store_Dim!D:D,"Not Found")</f>
        <v>Online</v>
      </c>
    </row>
    <row r="5" ht="14.25" customHeight="1">
      <c r="A5" s="8" t="s">
        <v>1956</v>
      </c>
      <c r="B5" s="12">
        <v>45483.0</v>
      </c>
      <c r="C5" s="8" t="s">
        <v>1101</v>
      </c>
      <c r="D5" s="8" t="s">
        <v>1818</v>
      </c>
      <c r="E5" s="8" t="s">
        <v>1921</v>
      </c>
      <c r="F5" s="8">
        <v>1.0</v>
      </c>
      <c r="G5" s="8">
        <v>921.51</v>
      </c>
      <c r="H5" s="8">
        <v>0.16</v>
      </c>
      <c r="I5" s="8">
        <f t="shared" si="1"/>
        <v>921.51</v>
      </c>
      <c r="J5" s="8">
        <f t="shared" si="2"/>
        <v>-147.2816</v>
      </c>
      <c r="K5" s="8" t="str">
        <f t="shared" si="3"/>
        <v>Jul</v>
      </c>
      <c r="L5" s="8">
        <f t="shared" si="4"/>
        <v>2024</v>
      </c>
      <c r="N5" s="8" t="str">
        <f t="array" ref="N5">XLOOKUP(C5,Customer_Dim!A:A,Customer_Dim!B:B,"Not Found")</f>
        <v>John Jordan</v>
      </c>
      <c r="O5" s="8" t="str">
        <f t="array" ref="O5">XLOOKUP(C5,Customer_Dim!A:A,Customer_Dim!E:E,"Not Found")</f>
        <v>Port Crystalberg</v>
      </c>
      <c r="P5" s="8" t="str">
        <f t="array" ref="P5">XLOOKUP(D5,Product_Dim!A:A,Product_Dim!B:B,"Not Found")</f>
        <v>Wireless Mouse</v>
      </c>
      <c r="Q5" s="8" t="str">
        <f t="array" ref="Q5">XLOOKUP(D5,Product_Dim!A:A,Product_Dim!C:C,"Not Found")</f>
        <v>Electronics</v>
      </c>
      <c r="R5" s="8" t="str">
        <f t="array" ref="R5">XLOOKUP(E5,Store_Dim!A:A,Store_Dim!B:B,"Not Found")</f>
        <v>West</v>
      </c>
      <c r="S5" s="8" t="str">
        <f t="array" ref="S5">XLOOKUP(E5,Store_Dim!A:A,Store_Dim!D:D,"Not Found")</f>
        <v>Online</v>
      </c>
    </row>
    <row r="6" ht="14.25" customHeight="1">
      <c r="A6" s="8" t="s">
        <v>1957</v>
      </c>
      <c r="B6" s="12">
        <v>45484.0</v>
      </c>
      <c r="C6" s="8" t="s">
        <v>1532</v>
      </c>
      <c r="D6" s="8" t="s">
        <v>1766</v>
      </c>
      <c r="E6" s="8" t="s">
        <v>1915</v>
      </c>
      <c r="F6" s="8">
        <v>3.0</v>
      </c>
      <c r="G6" s="8">
        <v>745.3</v>
      </c>
      <c r="H6" s="8">
        <v>0.18</v>
      </c>
      <c r="I6" s="8">
        <f t="shared" si="1"/>
        <v>2235.9</v>
      </c>
      <c r="J6" s="8">
        <f t="shared" si="2"/>
        <v>-402.282</v>
      </c>
      <c r="K6" s="8" t="str">
        <f t="shared" si="3"/>
        <v>Jul</v>
      </c>
      <c r="L6" s="8">
        <f t="shared" si="4"/>
        <v>2024</v>
      </c>
      <c r="N6" s="8" t="str">
        <f t="array" ref="N6">XLOOKUP(C6,Customer_Dim!A:A,Customer_Dim!B:B,"Not Found")</f>
        <v>Amanda Powell</v>
      </c>
      <c r="O6" s="8" t="str">
        <f t="array" ref="O6">XLOOKUP(C6,Customer_Dim!A:A,Customer_Dim!E:E,"Not Found")</f>
        <v>South William</v>
      </c>
      <c r="P6" s="8" t="str">
        <f t="array" ref="P6">XLOOKUP(D6,Product_Dim!A:A,Product_Dim!B:B,"Not Found")</f>
        <v>Men's Hair Styling Gel</v>
      </c>
      <c r="Q6" s="8" t="str">
        <f t="array" ref="Q6">XLOOKUP(D6,Product_Dim!A:A,Product_Dim!C:C,"Not Found")</f>
        <v>Beauty</v>
      </c>
      <c r="R6" s="8" t="str">
        <f t="array" ref="R6">XLOOKUP(E6,Store_Dim!A:A,Store_Dim!B:B,"Not Found")</f>
        <v>North</v>
      </c>
      <c r="S6" s="8" t="str">
        <f t="array" ref="S6">XLOOKUP(E6,Store_Dim!A:A,Store_Dim!D:D,"Not Found")</f>
        <v>Outlet</v>
      </c>
    </row>
    <row r="7" ht="14.25" customHeight="1">
      <c r="A7" s="8" t="s">
        <v>1958</v>
      </c>
      <c r="B7" s="12">
        <v>45485.0</v>
      </c>
      <c r="C7" s="8" t="s">
        <v>415</v>
      </c>
      <c r="D7" s="8" t="s">
        <v>1624</v>
      </c>
      <c r="E7" s="8" t="s">
        <v>1919</v>
      </c>
      <c r="F7" s="8">
        <v>3.0</v>
      </c>
      <c r="G7" s="8">
        <v>147.01</v>
      </c>
      <c r="H7" s="8">
        <v>0.19</v>
      </c>
      <c r="I7" s="8">
        <f t="shared" si="1"/>
        <v>441.03</v>
      </c>
      <c r="J7" s="8">
        <f t="shared" si="2"/>
        <v>-83.6057</v>
      </c>
      <c r="K7" s="8" t="str">
        <f t="shared" si="3"/>
        <v>Jul</v>
      </c>
      <c r="L7" s="8">
        <f t="shared" si="4"/>
        <v>2024</v>
      </c>
      <c r="N7" s="8" t="str">
        <f t="array" ref="N7">XLOOKUP(C7,Customer_Dim!A:A,Customer_Dim!B:B,"Not Found")</f>
        <v>Anthony Phillips</v>
      </c>
      <c r="O7" s="8" t="str">
        <f t="array" ref="O7">XLOOKUP(C7,Customer_Dim!A:A,Customer_Dim!E:E,"Not Found")</f>
        <v>North Davidport</v>
      </c>
      <c r="P7" s="8" t="str">
        <f t="array" ref="P7">XLOOKUP(D7,Product_Dim!A:A,Product_Dim!B:B,"Not Found")</f>
        <v>4K Home Projector</v>
      </c>
      <c r="Q7" s="8" t="str">
        <f t="array" ref="Q7">XLOOKUP(D7,Product_Dim!A:A,Product_Dim!C:C,"Not Found")</f>
        <v>Electronics</v>
      </c>
      <c r="R7" s="8" t="str">
        <f t="array" ref="R7">XLOOKUP(E7,Store_Dim!A:A,Store_Dim!B:B,"Not Found")</f>
        <v>South</v>
      </c>
      <c r="S7" s="8" t="str">
        <f t="array" ref="S7">XLOOKUP(E7,Store_Dim!A:A,Store_Dim!D:D,"Not Found")</f>
        <v>Online</v>
      </c>
    </row>
    <row r="8" ht="14.25" customHeight="1">
      <c r="A8" s="8" t="s">
        <v>1959</v>
      </c>
      <c r="B8" s="12">
        <v>45486.0</v>
      </c>
      <c r="C8" s="8" t="s">
        <v>84</v>
      </c>
      <c r="D8" s="8" t="s">
        <v>1757</v>
      </c>
      <c r="E8" s="8" t="s">
        <v>1912</v>
      </c>
      <c r="F8" s="8">
        <v>2.0</v>
      </c>
      <c r="G8" s="8">
        <v>785.31</v>
      </c>
      <c r="H8" s="8">
        <v>0.15</v>
      </c>
      <c r="I8" s="8">
        <f t="shared" si="1"/>
        <v>1570.62</v>
      </c>
      <c r="J8" s="8">
        <f t="shared" si="2"/>
        <v>-235.443</v>
      </c>
      <c r="K8" s="8" t="str">
        <f t="shared" si="3"/>
        <v>Jul</v>
      </c>
      <c r="L8" s="8">
        <f t="shared" si="4"/>
        <v>2024</v>
      </c>
      <c r="N8" s="8" t="str">
        <f t="array" ref="N8">XLOOKUP(C8,Customer_Dim!A:A,Customer_Dim!B:B,"Not Found")</f>
        <v>John Scott</v>
      </c>
      <c r="O8" s="8" t="str">
        <f t="array" ref="O8">XLOOKUP(C8,Customer_Dim!A:A,Customer_Dim!E:E,"Not Found")</f>
        <v>South Christopher</v>
      </c>
      <c r="P8" s="8" t="str">
        <f t="array" ref="P8">XLOOKUP(D8,Product_Dim!A:A,Product_Dim!B:B,"Not Found")</f>
        <v>Premium Blanket Throw</v>
      </c>
      <c r="Q8" s="8" t="str">
        <f t="array" ref="Q8">XLOOKUP(D8,Product_Dim!A:A,Product_Dim!C:C,"Not Found")</f>
        <v>Home</v>
      </c>
      <c r="R8" s="8" t="str">
        <f t="array" ref="R8">XLOOKUP(E8,Store_Dim!A:A,Store_Dim!B:B,"Not Found")</f>
        <v>South</v>
      </c>
      <c r="S8" s="8" t="str">
        <f t="array" ref="S8">XLOOKUP(E8,Store_Dim!A:A,Store_Dim!D:D,"Not Found")</f>
        <v>Online</v>
      </c>
    </row>
    <row r="9" ht="14.25" customHeight="1">
      <c r="A9" s="8" t="s">
        <v>1960</v>
      </c>
      <c r="B9" s="12">
        <v>45487.0</v>
      </c>
      <c r="C9" s="8" t="s">
        <v>523</v>
      </c>
      <c r="D9" s="8" t="s">
        <v>1800</v>
      </c>
      <c r="E9" s="8" t="s">
        <v>1921</v>
      </c>
      <c r="F9" s="8">
        <v>4.0</v>
      </c>
      <c r="G9" s="8">
        <v>342.39</v>
      </c>
      <c r="H9" s="8">
        <v>0.23</v>
      </c>
      <c r="I9" s="8">
        <f t="shared" si="1"/>
        <v>1369.56</v>
      </c>
      <c r="J9" s="8">
        <f t="shared" si="2"/>
        <v>-314.7688</v>
      </c>
      <c r="K9" s="8" t="str">
        <f t="shared" si="3"/>
        <v>Jul</v>
      </c>
      <c r="L9" s="8">
        <f t="shared" si="4"/>
        <v>2024</v>
      </c>
      <c r="N9" s="8" t="str">
        <f t="array" ref="N9">XLOOKUP(C9,Customer_Dim!A:A,Customer_Dim!B:B,"Not Found")</f>
        <v>Patrick Roberts</v>
      </c>
      <c r="O9" s="8" t="str">
        <f t="array" ref="O9">XLOOKUP(C9,Customer_Dim!A:A,Customer_Dim!E:E,"Not Found")</f>
        <v>Jaredville</v>
      </c>
      <c r="P9" s="8" t="str">
        <f t="array" ref="P9">XLOOKUP(D9,Product_Dim!A:A,Product_Dim!B:B,"Not Found")</f>
        <v>Kitchen Storage Rack</v>
      </c>
      <c r="Q9" s="8" t="str">
        <f t="array" ref="Q9">XLOOKUP(D9,Product_Dim!A:A,Product_Dim!C:C,"Not Found")</f>
        <v>Home</v>
      </c>
      <c r="R9" s="8" t="str">
        <f t="array" ref="R9">XLOOKUP(E9,Store_Dim!A:A,Store_Dim!B:B,"Not Found")</f>
        <v>West</v>
      </c>
      <c r="S9" s="8" t="str">
        <f t="array" ref="S9">XLOOKUP(E9,Store_Dim!A:A,Store_Dim!D:D,"Not Found")</f>
        <v>Online</v>
      </c>
    </row>
    <row r="10" ht="14.25" customHeight="1">
      <c r="A10" s="8" t="s">
        <v>1961</v>
      </c>
      <c r="B10" s="12">
        <v>45488.0</v>
      </c>
      <c r="C10" s="8" t="s">
        <v>628</v>
      </c>
      <c r="D10" s="8" t="s">
        <v>1887</v>
      </c>
      <c r="E10" s="8" t="s">
        <v>1915</v>
      </c>
      <c r="G10" s="8">
        <v>448.25</v>
      </c>
      <c r="H10" s="8">
        <v>0.07</v>
      </c>
      <c r="I10" s="8">
        <f t="shared" si="1"/>
        <v>0</v>
      </c>
      <c r="J10" s="8">
        <f t="shared" si="2"/>
        <v>0.07</v>
      </c>
      <c r="K10" s="8" t="str">
        <f t="shared" si="3"/>
        <v>Jul</v>
      </c>
      <c r="L10" s="8">
        <f t="shared" si="4"/>
        <v>2024</v>
      </c>
      <c r="N10" s="8" t="str">
        <f t="array" ref="N10">XLOOKUP(C10,Customer_Dim!A:A,Customer_Dim!B:B,"Not Found")</f>
        <v>Dr. Suzanne Bullock</v>
      </c>
      <c r="O10" s="8" t="str">
        <f t="array" ref="O10">XLOOKUP(C10,Customer_Dim!A:A,Customer_Dim!E:E,"Not Found")</f>
        <v>Lake Blaketon</v>
      </c>
      <c r="P10" s="8" t="str">
        <f t="array" ref="P10">XLOOKUP(D10,Product_Dim!A:A,Product_Dim!B:B,"Not Found")</f>
        <v>Stainless Steel Cookware Set</v>
      </c>
      <c r="Q10" s="8" t="str">
        <f t="array" ref="Q10">XLOOKUP(D10,Product_Dim!A:A,Product_Dim!C:C,"Not Found")</f>
        <v>Home</v>
      </c>
      <c r="R10" s="8" t="str">
        <f t="array" ref="R10">XLOOKUP(E10,Store_Dim!A:A,Store_Dim!B:B,"Not Found")</f>
        <v>North</v>
      </c>
      <c r="S10" s="8" t="str">
        <f t="array" ref="S10">XLOOKUP(E10,Store_Dim!A:A,Store_Dim!D:D,"Not Found")</f>
        <v>Outlet</v>
      </c>
    </row>
    <row r="11" ht="14.25" customHeight="1">
      <c r="A11" s="8" t="s">
        <v>1962</v>
      </c>
      <c r="B11" s="12">
        <v>45489.0</v>
      </c>
      <c r="C11" s="8" t="s">
        <v>1447</v>
      </c>
      <c r="D11" s="8" t="s">
        <v>1684</v>
      </c>
      <c r="E11" s="8" t="s">
        <v>1899</v>
      </c>
      <c r="F11" s="8">
        <v>2.0</v>
      </c>
      <c r="G11" s="8">
        <v>873.17</v>
      </c>
      <c r="H11" s="8">
        <v>0.23</v>
      </c>
      <c r="I11" s="8">
        <f t="shared" si="1"/>
        <v>1746.34</v>
      </c>
      <c r="J11" s="8">
        <f t="shared" si="2"/>
        <v>-401.4282</v>
      </c>
      <c r="K11" s="8" t="str">
        <f t="shared" si="3"/>
        <v>Jul</v>
      </c>
      <c r="L11" s="8">
        <f t="shared" si="4"/>
        <v>2024</v>
      </c>
      <c r="N11" s="8" t="str">
        <f t="array" ref="N11">XLOOKUP(C11,Customer_Dim!A:A,Customer_Dim!B:B,"Not Found")</f>
        <v>David Pierce</v>
      </c>
      <c r="O11" s="8" t="str">
        <f t="array" ref="O11">XLOOKUP(C11,Customer_Dim!A:A,Customer_Dim!E:E,"Not Found")</f>
        <v>Grayland</v>
      </c>
      <c r="P11" s="8" t="str">
        <f t="array" ref="P11">XLOOKUP(D11,Product_Dim!A:A,Product_Dim!B:B,"Not Found")</f>
        <v>Modern Wall Clock</v>
      </c>
      <c r="Q11" s="8" t="str">
        <f t="array" ref="Q11">XLOOKUP(D11,Product_Dim!A:A,Product_Dim!C:C,"Not Found")</f>
        <v>Home</v>
      </c>
      <c r="R11" s="8" t="str">
        <f t="array" ref="R11">XLOOKUP(E11,Store_Dim!A:A,Store_Dim!B:B,"Not Found")</f>
        <v>East</v>
      </c>
      <c r="S11" s="8" t="str">
        <f t="array" ref="S11">XLOOKUP(E11,Store_Dim!A:A,Store_Dim!D:D,"Not Found")</f>
        <v>Flagship</v>
      </c>
    </row>
    <row r="12" ht="14.25" customHeight="1">
      <c r="A12" s="8" t="s">
        <v>1963</v>
      </c>
      <c r="B12" s="12">
        <v>45490.0</v>
      </c>
      <c r="C12" s="8" t="s">
        <v>251</v>
      </c>
      <c r="D12" s="8" t="s">
        <v>1655</v>
      </c>
      <c r="E12" s="8" t="s">
        <v>1932</v>
      </c>
      <c r="F12" s="8">
        <v>1.0</v>
      </c>
      <c r="G12" s="8">
        <v>278.63</v>
      </c>
      <c r="H12" s="8">
        <v>0.07</v>
      </c>
      <c r="I12" s="8">
        <f t="shared" si="1"/>
        <v>278.63</v>
      </c>
      <c r="J12" s="8">
        <f t="shared" si="2"/>
        <v>-19.4341</v>
      </c>
      <c r="K12" s="8" t="str">
        <f t="shared" si="3"/>
        <v>Jul</v>
      </c>
      <c r="L12" s="8">
        <f t="shared" si="4"/>
        <v>2024</v>
      </c>
      <c r="N12" s="8" t="str">
        <f t="array" ref="N12">XLOOKUP(C12,Customer_Dim!A:A,Customer_Dim!B:B,"Not Found")</f>
        <v>Michael Thomas</v>
      </c>
      <c r="O12" s="8" t="str">
        <f t="array" ref="O12">XLOOKUP(C12,Customer_Dim!A:A,Customer_Dim!E:E,"Not Found")</f>
        <v>Woodmouth</v>
      </c>
      <c r="P12" s="8" t="str">
        <f t="array" ref="P12">XLOOKUP(D12,Product_Dim!A:A,Product_Dim!B:B,"Not Found")</f>
        <v>Foldable Camping Chair</v>
      </c>
      <c r="Q12" s="8" t="str">
        <f t="array" ref="Q12">XLOOKUP(D12,Product_Dim!A:A,Product_Dim!C:C,"Not Found")</f>
        <v>Sports</v>
      </c>
      <c r="R12" s="8" t="str">
        <f t="array" ref="R12">XLOOKUP(E12,Store_Dim!A:A,Store_Dim!B:B,"Not Found")</f>
        <v>South</v>
      </c>
      <c r="S12" s="8" t="str">
        <f t="array" ref="S12">XLOOKUP(E12,Store_Dim!A:A,Store_Dim!D:D,"Not Found")</f>
        <v>Outlet</v>
      </c>
    </row>
    <row r="13" ht="14.25" customHeight="1">
      <c r="A13" s="8" t="s">
        <v>1964</v>
      </c>
      <c r="B13" s="12">
        <v>45491.0</v>
      </c>
      <c r="C13" s="8" t="s">
        <v>1023</v>
      </c>
      <c r="D13" s="8" t="s">
        <v>1703</v>
      </c>
      <c r="E13" s="8" t="s">
        <v>1903</v>
      </c>
      <c r="F13" s="8">
        <v>4.0</v>
      </c>
      <c r="G13" s="8">
        <v>286.92</v>
      </c>
      <c r="H13" s="8">
        <v>0.17</v>
      </c>
      <c r="I13" s="8">
        <f t="shared" si="1"/>
        <v>1147.68</v>
      </c>
      <c r="J13" s="8">
        <f t="shared" si="2"/>
        <v>-194.9356</v>
      </c>
      <c r="K13" s="8" t="str">
        <f t="shared" si="3"/>
        <v>Jul</v>
      </c>
      <c r="L13" s="8">
        <f t="shared" si="4"/>
        <v>2024</v>
      </c>
      <c r="N13" s="8" t="str">
        <f t="array" ref="N13">XLOOKUP(C13,Customer_Dim!A:A,Customer_Dim!B:B,"Not Found")</f>
        <v>Jessica Gonzalez</v>
      </c>
      <c r="O13" s="8" t="str">
        <f t="array" ref="O13">XLOOKUP(C13,Customer_Dim!A:A,Customer_Dim!E:E,"Not Found")</f>
        <v>South Darrenland</v>
      </c>
      <c r="P13" s="8" t="str">
        <f t="array" ref="P13">XLOOKUP(D13,Product_Dim!A:A,Product_Dim!B:B,"Not Found")</f>
        <v>Portable Power Bank</v>
      </c>
      <c r="Q13" s="8" t="str">
        <f t="array" ref="Q13">XLOOKUP(D13,Product_Dim!A:A,Product_Dim!C:C,"Not Found")</f>
        <v>Electronics</v>
      </c>
      <c r="R13" s="8" t="str">
        <f t="array" ref="R13">XLOOKUP(E13,Store_Dim!A:A,Store_Dim!B:B,"Not Found")</f>
        <v>North</v>
      </c>
      <c r="S13" s="8" t="str">
        <f t="array" ref="S13">XLOOKUP(E13,Store_Dim!A:A,Store_Dim!D:D,"Not Found")</f>
        <v>Flagship</v>
      </c>
    </row>
    <row r="14" ht="14.25" customHeight="1">
      <c r="A14" s="8" t="s">
        <v>1965</v>
      </c>
      <c r="B14" s="12">
        <v>45492.0</v>
      </c>
      <c r="C14" s="8" t="s">
        <v>776</v>
      </c>
      <c r="D14" s="8" t="s">
        <v>1854</v>
      </c>
      <c r="E14" s="8" t="s">
        <v>1912</v>
      </c>
      <c r="F14" s="8">
        <v>4.0</v>
      </c>
      <c r="G14" s="8">
        <v>644.58</v>
      </c>
      <c r="H14" s="8">
        <v>0.01</v>
      </c>
      <c r="I14" s="8">
        <f t="shared" si="1"/>
        <v>2578.32</v>
      </c>
      <c r="J14" s="8">
        <f t="shared" si="2"/>
        <v>-25.7732</v>
      </c>
      <c r="K14" s="8" t="str">
        <f t="shared" si="3"/>
        <v>Jul</v>
      </c>
      <c r="L14" s="8">
        <f t="shared" si="4"/>
        <v>2024</v>
      </c>
      <c r="N14" s="8" t="str">
        <f t="array" ref="N14">XLOOKUP(C14,Customer_Dim!A:A,Customer_Dim!B:B,"Not Found")</f>
        <v>Wesley Short</v>
      </c>
      <c r="O14" s="8" t="str">
        <f t="array" ref="O14">XLOOKUP(C14,Customer_Dim!A:A,Customer_Dim!E:E,"Not Found")</f>
        <v>Susanstad</v>
      </c>
      <c r="P14" s="8" t="str">
        <f t="array" ref="P14">XLOOKUP(D14,Product_Dim!A:A,Product_Dim!B:B,"Not Found")</f>
        <v>Sports Wrist Sweatbands</v>
      </c>
      <c r="Q14" s="8" t="str">
        <f t="array" ref="Q14">XLOOKUP(D14,Product_Dim!A:A,Product_Dim!C:C,"Not Found")</f>
        <v>Sports</v>
      </c>
      <c r="R14" s="8" t="str">
        <f t="array" ref="R14">XLOOKUP(E14,Store_Dim!A:A,Store_Dim!B:B,"Not Found")</f>
        <v>South</v>
      </c>
      <c r="S14" s="8" t="str">
        <f t="array" ref="S14">XLOOKUP(E14,Store_Dim!A:A,Store_Dim!D:D,"Not Found")</f>
        <v>Online</v>
      </c>
    </row>
    <row r="15" ht="14.25" customHeight="1">
      <c r="A15" s="8" t="s">
        <v>1966</v>
      </c>
      <c r="B15" s="12">
        <v>45493.0</v>
      </c>
      <c r="C15" s="8" t="s">
        <v>1387</v>
      </c>
      <c r="D15" s="8" t="s">
        <v>1687</v>
      </c>
      <c r="E15" s="8" t="s">
        <v>1935</v>
      </c>
      <c r="F15" s="8">
        <v>2.0</v>
      </c>
      <c r="G15" s="8">
        <v>316.9</v>
      </c>
      <c r="H15" s="8">
        <v>0.3</v>
      </c>
      <c r="I15" s="8">
        <f t="shared" si="1"/>
        <v>633.8</v>
      </c>
      <c r="J15" s="8">
        <f t="shared" si="2"/>
        <v>-189.84</v>
      </c>
      <c r="K15" s="8" t="str">
        <f t="shared" si="3"/>
        <v>Jul</v>
      </c>
      <c r="L15" s="8">
        <f t="shared" si="4"/>
        <v>2024</v>
      </c>
      <c r="N15" s="8" t="str">
        <f t="array" ref="N15">XLOOKUP(C15,Customer_Dim!A:A,Customer_Dim!B:B,"Not Found")</f>
        <v>Adam Castro</v>
      </c>
      <c r="O15" s="8" t="str">
        <f t="array" ref="O15">XLOOKUP(C15,Customer_Dim!A:A,Customer_Dim!E:E,"Not Found")</f>
        <v>New Donnabury</v>
      </c>
      <c r="P15" s="8" t="str">
        <f t="array" ref="P15">XLOOKUP(D15,Product_Dim!A:A,Product_Dim!B:B,"Not Found")</f>
        <v>Gaming Mechanical Keyboard</v>
      </c>
      <c r="Q15" s="8" t="str">
        <f t="array" ref="Q15">XLOOKUP(D15,Product_Dim!A:A,Product_Dim!C:C,"Not Found")</f>
        <v>Electronics</v>
      </c>
      <c r="R15" s="8" t="str">
        <f t="array" ref="R15">XLOOKUP(E15,Store_Dim!A:A,Store_Dim!B:B,"Not Found")</f>
        <v>West</v>
      </c>
      <c r="S15" s="8" t="str">
        <f t="array" ref="S15">XLOOKUP(E15,Store_Dim!A:A,Store_Dim!D:D,"Not Found")</f>
        <v>Flagship</v>
      </c>
    </row>
    <row r="16" ht="14.25" customHeight="1">
      <c r="A16" s="8" t="s">
        <v>1967</v>
      </c>
      <c r="B16" s="12">
        <v>45494.0</v>
      </c>
      <c r="C16" s="8" t="s">
        <v>1107</v>
      </c>
      <c r="D16" s="8" t="s">
        <v>1655</v>
      </c>
      <c r="E16" s="8" t="s">
        <v>1933</v>
      </c>
      <c r="F16" s="8">
        <v>4.0</v>
      </c>
      <c r="G16" s="8">
        <v>403.47</v>
      </c>
      <c r="H16" s="8">
        <v>0.29</v>
      </c>
      <c r="I16" s="8">
        <f t="shared" si="1"/>
        <v>1613.88</v>
      </c>
      <c r="J16" s="8">
        <f t="shared" si="2"/>
        <v>-467.7352</v>
      </c>
      <c r="K16" s="8" t="str">
        <f t="shared" si="3"/>
        <v>Jul</v>
      </c>
      <c r="L16" s="8">
        <f t="shared" si="4"/>
        <v>2024</v>
      </c>
      <c r="N16" s="8" t="str">
        <f t="array" ref="N16">XLOOKUP(C16,Customer_Dim!A:A,Customer_Dim!B:B,"Not Found")</f>
        <v>Sherry Cabrera</v>
      </c>
      <c r="O16" s="8" t="str">
        <f t="array" ref="O16">XLOOKUP(C16,Customer_Dim!A:A,Customer_Dim!E:E,"Not Found")</f>
        <v>Shannonview</v>
      </c>
      <c r="P16" s="8" t="str">
        <f t="array" ref="P16">XLOOKUP(D16,Product_Dim!A:A,Product_Dim!B:B,"Not Found")</f>
        <v>Foldable Camping Chair</v>
      </c>
      <c r="Q16" s="8" t="str">
        <f t="array" ref="Q16">XLOOKUP(D16,Product_Dim!A:A,Product_Dim!C:C,"Not Found")</f>
        <v>Sports</v>
      </c>
      <c r="R16" s="8" t="str">
        <f t="array" ref="R16">XLOOKUP(E16,Store_Dim!A:A,Store_Dim!B:B,"Not Found")</f>
        <v>North</v>
      </c>
      <c r="S16" s="8" t="str">
        <f t="array" ref="S16">XLOOKUP(E16,Store_Dim!A:A,Store_Dim!D:D,"Not Found")</f>
        <v>Flagship</v>
      </c>
    </row>
    <row r="17" ht="14.25" customHeight="1">
      <c r="A17" s="8" t="s">
        <v>1968</v>
      </c>
      <c r="B17" s="12">
        <v>45495.0</v>
      </c>
      <c r="C17" s="8" t="s">
        <v>1365</v>
      </c>
      <c r="D17" s="8" t="s">
        <v>1693</v>
      </c>
      <c r="E17" s="8" t="s">
        <v>1924</v>
      </c>
      <c r="G17" s="8">
        <v>871.34</v>
      </c>
      <c r="H17" s="8">
        <v>0.04</v>
      </c>
      <c r="I17" s="8">
        <f t="shared" si="1"/>
        <v>0</v>
      </c>
      <c r="J17" s="8">
        <f t="shared" si="2"/>
        <v>0.04</v>
      </c>
      <c r="K17" s="8" t="str">
        <f t="shared" si="3"/>
        <v>Jul</v>
      </c>
      <c r="L17" s="8">
        <f t="shared" si="4"/>
        <v>2024</v>
      </c>
      <c r="N17" s="8" t="str">
        <f t="array" ref="N17">XLOOKUP(C17,Customer_Dim!A:A,Customer_Dim!B:B,"Not Found")</f>
        <v>Lindsay Beasley</v>
      </c>
      <c r="O17" s="8" t="str">
        <f t="array" ref="O17">XLOOKUP(C17,Customer_Dim!A:A,Customer_Dim!E:E,"Not Found")</f>
        <v>Wesleyhaven</v>
      </c>
      <c r="P17" s="8" t="str">
        <f t="array" ref="P17">XLOOKUP(D17,Product_Dim!A:A,Product_Dim!B:B,"Not Found")</f>
        <v>Women's Summer Dress</v>
      </c>
      <c r="Q17" s="8" t="str">
        <f t="array" ref="Q17">XLOOKUP(D17,Product_Dim!A:A,Product_Dim!C:C,"Not Found")</f>
        <v>Clothing</v>
      </c>
      <c r="R17" s="8" t="str">
        <f t="array" ref="R17">XLOOKUP(E17,Store_Dim!A:A,Store_Dim!B:B,"Not Found")</f>
        <v>South</v>
      </c>
      <c r="S17" s="8" t="str">
        <f t="array" ref="S17">XLOOKUP(E17,Store_Dim!A:A,Store_Dim!D:D,"Not Found")</f>
        <v>Flagship</v>
      </c>
    </row>
    <row r="18" ht="14.25" customHeight="1">
      <c r="A18" s="8" t="s">
        <v>1969</v>
      </c>
      <c r="B18" s="12">
        <v>45496.0</v>
      </c>
      <c r="C18" s="8" t="s">
        <v>893</v>
      </c>
      <c r="D18" s="8" t="s">
        <v>1784</v>
      </c>
      <c r="E18" s="8" t="s">
        <v>1941</v>
      </c>
      <c r="F18" s="8">
        <v>2.0</v>
      </c>
      <c r="G18" s="8">
        <v>451.98</v>
      </c>
      <c r="H18" s="8">
        <v>0.25</v>
      </c>
      <c r="I18" s="8">
        <f t="shared" si="1"/>
        <v>903.96</v>
      </c>
      <c r="J18" s="8">
        <f t="shared" si="2"/>
        <v>-225.74</v>
      </c>
      <c r="K18" s="8" t="str">
        <f t="shared" si="3"/>
        <v>Jul</v>
      </c>
      <c r="L18" s="8">
        <f t="shared" si="4"/>
        <v>2024</v>
      </c>
      <c r="N18" s="8" t="str">
        <f t="array" ref="N18">XLOOKUP(C18,Customer_Dim!A:A,Customer_Dim!B:B,"Not Found")</f>
        <v>Arthur Warren</v>
      </c>
      <c r="O18" s="8" t="str">
        <f t="array" ref="O18">XLOOKUP(C18,Customer_Dim!A:A,Customer_Dim!E:E,"Not Found")</f>
        <v>Ericshire</v>
      </c>
      <c r="P18" s="8" t="str">
        <f t="array" ref="P18">XLOOKUP(D18,Product_Dim!A:A,Product_Dim!B:B,"Not Found")</f>
        <v>Adjustable Dumbbells 20kg</v>
      </c>
      <c r="Q18" s="8" t="str">
        <f t="array" ref="Q18">XLOOKUP(D18,Product_Dim!A:A,Product_Dim!C:C,"Not Found")</f>
        <v>Sports</v>
      </c>
      <c r="R18" s="8" t="str">
        <f t="array" ref="R18">XLOOKUP(E18,Store_Dim!A:A,Store_Dim!B:B,"Not Found")</f>
        <v>East</v>
      </c>
      <c r="S18" s="8" t="str">
        <f t="array" ref="S18">XLOOKUP(E18,Store_Dim!A:A,Store_Dim!D:D,"Not Found")</f>
        <v>Online</v>
      </c>
    </row>
    <row r="19" ht="14.25" customHeight="1">
      <c r="A19" s="8" t="s">
        <v>1970</v>
      </c>
      <c r="B19" s="12">
        <v>45497.0</v>
      </c>
      <c r="C19" s="8" t="s">
        <v>298</v>
      </c>
      <c r="D19" s="8" t="s">
        <v>1665</v>
      </c>
      <c r="E19" s="8" t="s">
        <v>1912</v>
      </c>
      <c r="F19" s="8">
        <v>2.0</v>
      </c>
      <c r="G19" s="8">
        <v>502.69</v>
      </c>
      <c r="H19" s="8">
        <v>0.23</v>
      </c>
      <c r="I19" s="8">
        <f t="shared" si="1"/>
        <v>1005.38</v>
      </c>
      <c r="J19" s="8">
        <f t="shared" si="2"/>
        <v>-231.0074</v>
      </c>
      <c r="K19" s="8" t="str">
        <f t="shared" si="3"/>
        <v>Jul</v>
      </c>
      <c r="L19" s="8">
        <f t="shared" si="4"/>
        <v>2024</v>
      </c>
      <c r="N19" s="8" t="str">
        <f t="array" ref="N19">XLOOKUP(C19,Customer_Dim!A:A,Customer_Dim!B:B,"Not Found")</f>
        <v>Molly Gardner</v>
      </c>
      <c r="O19" s="8" t="str">
        <f t="array" ref="O19">XLOOKUP(C19,Customer_Dim!A:A,Customer_Dim!E:E,"Not Found")</f>
        <v>Nicoleborough</v>
      </c>
      <c r="P19" s="8" t="str">
        <f t="array" ref="P19">XLOOKUP(D19,Product_Dim!A:A,Product_Dim!B:B,"Not Found")</f>
        <v>Decorative Floor Vase</v>
      </c>
      <c r="Q19" s="8" t="str">
        <f t="array" ref="Q19">XLOOKUP(D19,Product_Dim!A:A,Product_Dim!C:C,"Not Found")</f>
        <v>Home</v>
      </c>
      <c r="R19" s="8" t="str">
        <f t="array" ref="R19">XLOOKUP(E19,Store_Dim!A:A,Store_Dim!B:B,"Not Found")</f>
        <v>South</v>
      </c>
      <c r="S19" s="8" t="str">
        <f t="array" ref="S19">XLOOKUP(E19,Store_Dim!A:A,Store_Dim!D:D,"Not Found")</f>
        <v>Online</v>
      </c>
    </row>
    <row r="20" ht="14.25" customHeight="1">
      <c r="A20" s="8" t="s">
        <v>1971</v>
      </c>
      <c r="B20" s="12">
        <v>45498.0</v>
      </c>
      <c r="C20" s="8" t="s">
        <v>348</v>
      </c>
      <c r="D20" s="8" t="s">
        <v>1703</v>
      </c>
      <c r="E20" s="8" t="s">
        <v>1912</v>
      </c>
      <c r="F20" s="8">
        <v>2.0</v>
      </c>
      <c r="G20" s="8">
        <v>559.23</v>
      </c>
      <c r="H20" s="8">
        <v>0.25</v>
      </c>
      <c r="I20" s="8">
        <f t="shared" si="1"/>
        <v>1118.46</v>
      </c>
      <c r="J20" s="8">
        <f t="shared" si="2"/>
        <v>-279.365</v>
      </c>
      <c r="K20" s="8" t="str">
        <f t="shared" si="3"/>
        <v>Jul</v>
      </c>
      <c r="L20" s="8">
        <f t="shared" si="4"/>
        <v>2024</v>
      </c>
      <c r="N20" s="8" t="str">
        <f t="array" ref="N20">XLOOKUP(C20,Customer_Dim!A:A,Customer_Dim!B:B,"Not Found")</f>
        <v>David Patterson</v>
      </c>
      <c r="O20" s="8" t="str">
        <f t="array" ref="O20">XLOOKUP(C20,Customer_Dim!A:A,Customer_Dim!E:E,"Not Found")</f>
        <v>New Amyport</v>
      </c>
      <c r="P20" s="8" t="str">
        <f t="array" ref="P20">XLOOKUP(D20,Product_Dim!A:A,Product_Dim!B:B,"Not Found")</f>
        <v>Portable Power Bank</v>
      </c>
      <c r="Q20" s="8" t="str">
        <f t="array" ref="Q20">XLOOKUP(D20,Product_Dim!A:A,Product_Dim!C:C,"Not Found")</f>
        <v>Electronics</v>
      </c>
      <c r="R20" s="8" t="str">
        <f t="array" ref="R20">XLOOKUP(E20,Store_Dim!A:A,Store_Dim!B:B,"Not Found")</f>
        <v>South</v>
      </c>
      <c r="S20" s="8" t="str">
        <f t="array" ref="S20">XLOOKUP(E20,Store_Dim!A:A,Store_Dim!D:D,"Not Found")</f>
        <v>Online</v>
      </c>
    </row>
    <row r="21" ht="14.25" customHeight="1">
      <c r="A21" s="8" t="s">
        <v>1972</v>
      </c>
      <c r="B21" s="12">
        <v>45499.0</v>
      </c>
      <c r="C21" s="8" t="s">
        <v>782</v>
      </c>
      <c r="D21" s="8" t="s">
        <v>1769</v>
      </c>
      <c r="E21" s="8" t="s">
        <v>1931</v>
      </c>
      <c r="F21" s="8">
        <v>4.0</v>
      </c>
      <c r="H21" s="8">
        <v>0.04</v>
      </c>
      <c r="I21" s="8">
        <f t="shared" si="1"/>
        <v>0</v>
      </c>
      <c r="J21" s="8">
        <f t="shared" si="2"/>
        <v>0.04</v>
      </c>
      <c r="K21" s="8" t="str">
        <f t="shared" si="3"/>
        <v>Jul</v>
      </c>
      <c r="L21" s="8">
        <f t="shared" si="4"/>
        <v>2024</v>
      </c>
      <c r="N21" s="8" t="str">
        <f t="array" ref="N21">XLOOKUP(C21,Customer_Dim!A:A,Customer_Dim!B:B,"Not Found")</f>
        <v>Maria Hill</v>
      </c>
      <c r="O21" s="8" t="str">
        <f t="array" ref="O21">XLOOKUP(C21,Customer_Dim!A:A,Customer_Dim!E:E,"Not Found")</f>
        <v>Zamoraborough</v>
      </c>
      <c r="P21" s="8" t="str">
        <f t="array" ref="P21">XLOOKUP(D21,Product_Dim!A:A,Product_Dim!B:B,"Not Found")</f>
        <v>Luxury Perfume Spray</v>
      </c>
      <c r="Q21" s="8" t="str">
        <f t="array" ref="Q21">XLOOKUP(D21,Product_Dim!A:A,Product_Dim!C:C,"Not Found")</f>
        <v>Beauty</v>
      </c>
      <c r="R21" s="8" t="str">
        <f t="array" ref="R21">XLOOKUP(E21,Store_Dim!A:A,Store_Dim!B:B,"Not Found")</f>
        <v>East</v>
      </c>
      <c r="S21" s="8" t="str">
        <f t="array" ref="S21">XLOOKUP(E21,Store_Dim!A:A,Store_Dim!D:D,"Not Found")</f>
        <v>Flagship</v>
      </c>
    </row>
    <row r="22" ht="14.25" customHeight="1">
      <c r="A22" s="8" t="s">
        <v>1973</v>
      </c>
      <c r="B22" s="12">
        <v>45500.0</v>
      </c>
      <c r="C22" s="8" t="s">
        <v>499</v>
      </c>
      <c r="D22" s="8" t="s">
        <v>1806</v>
      </c>
      <c r="E22" s="8" t="s">
        <v>1937</v>
      </c>
      <c r="F22" s="8">
        <v>3.0</v>
      </c>
      <c r="G22" s="8">
        <v>986.04</v>
      </c>
      <c r="H22" s="8">
        <v>0.27</v>
      </c>
      <c r="I22" s="8">
        <f t="shared" si="1"/>
        <v>2958.12</v>
      </c>
      <c r="J22" s="8">
        <f t="shared" si="2"/>
        <v>-798.4224</v>
      </c>
      <c r="K22" s="8" t="str">
        <f t="shared" si="3"/>
        <v>Jul</v>
      </c>
      <c r="L22" s="8">
        <f t="shared" si="4"/>
        <v>2024</v>
      </c>
      <c r="N22" s="8" t="str">
        <f t="array" ref="N22">XLOOKUP(C22,Customer_Dim!A:A,Customer_Dim!B:B,"Not Found")</f>
        <v>Justin Cross</v>
      </c>
      <c r="O22" s="8" t="str">
        <f t="array" ref="O22">XLOOKUP(C22,Customer_Dim!A:A,Customer_Dim!E:E,"Not Found")</f>
        <v>North Anthonychester</v>
      </c>
      <c r="P22" s="8" t="str">
        <f t="array" ref="P22">XLOOKUP(D22,Product_Dim!A:A,Product_Dim!B:B,"Not Found")</f>
        <v>Professional Jump Rope</v>
      </c>
      <c r="Q22" s="8" t="str">
        <f t="array" ref="Q22">XLOOKUP(D22,Product_Dim!A:A,Product_Dim!C:C,"Not Found")</f>
        <v>Sports</v>
      </c>
      <c r="R22" s="8" t="str">
        <f t="array" ref="R22">XLOOKUP(E22,Store_Dim!A:A,Store_Dim!B:B,"Not Found")</f>
        <v>North</v>
      </c>
      <c r="S22" s="8" t="str">
        <f t="array" ref="S22">XLOOKUP(E22,Store_Dim!A:A,Store_Dim!D:D,"Not Found")</f>
        <v>Flagship</v>
      </c>
    </row>
    <row r="23" ht="14.25" customHeight="1">
      <c r="A23" s="8" t="s">
        <v>1974</v>
      </c>
      <c r="B23" s="12">
        <v>45501.0</v>
      </c>
      <c r="C23" s="8" t="s">
        <v>1251</v>
      </c>
      <c r="D23" s="8" t="s">
        <v>1716</v>
      </c>
      <c r="E23" s="8" t="s">
        <v>1939</v>
      </c>
      <c r="F23" s="8">
        <v>1.0</v>
      </c>
      <c r="G23" s="8">
        <v>589.56</v>
      </c>
      <c r="H23" s="8">
        <v>0.22</v>
      </c>
      <c r="I23" s="8">
        <f t="shared" si="1"/>
        <v>589.56</v>
      </c>
      <c r="J23" s="8">
        <f t="shared" si="2"/>
        <v>-129.4832</v>
      </c>
      <c r="K23" s="8" t="str">
        <f t="shared" si="3"/>
        <v>Jul</v>
      </c>
      <c r="L23" s="8">
        <f t="shared" si="4"/>
        <v>2024</v>
      </c>
      <c r="N23" s="8" t="str">
        <f t="array" ref="N23">XLOOKUP(C23,Customer_Dim!A:A,Customer_Dim!B:B,"Not Found")</f>
        <v>Alexander Byrd</v>
      </c>
      <c r="O23" s="8" t="str">
        <f t="array" ref="O23">XLOOKUP(C23,Customer_Dim!A:A,Customer_Dim!E:E,"Not Found")</f>
        <v>Parkerview</v>
      </c>
      <c r="P23" s="8" t="str">
        <f t="array" ref="P23">XLOOKUP(D23,Product_Dim!A:A,Product_Dim!B:B,"Not Found")</f>
        <v>USB External Hard Drive</v>
      </c>
      <c r="Q23" s="8" t="str">
        <f t="array" ref="Q23">XLOOKUP(D23,Product_Dim!A:A,Product_Dim!C:C,"Not Found")</f>
        <v>Electronics</v>
      </c>
      <c r="R23" s="8" t="str">
        <f t="array" ref="R23">XLOOKUP(E23,Store_Dim!A:A,Store_Dim!B:B,"Not Found")</f>
        <v>East</v>
      </c>
      <c r="S23" s="8" t="str">
        <f t="array" ref="S23">XLOOKUP(E23,Store_Dim!A:A,Store_Dim!D:D,"Not Found")</f>
        <v>Flagship</v>
      </c>
    </row>
    <row r="24" ht="14.25" customHeight="1">
      <c r="A24" s="8" t="s">
        <v>1975</v>
      </c>
      <c r="B24" s="12">
        <v>45502.0</v>
      </c>
      <c r="C24" s="8" t="s">
        <v>1482</v>
      </c>
      <c r="D24" s="8" t="s">
        <v>1797</v>
      </c>
      <c r="E24" s="8" t="s">
        <v>1926</v>
      </c>
      <c r="F24" s="8">
        <v>3.0</v>
      </c>
      <c r="G24" s="8">
        <v>979.42</v>
      </c>
      <c r="H24" s="8">
        <v>0.03</v>
      </c>
      <c r="I24" s="8">
        <f t="shared" si="1"/>
        <v>2938.26</v>
      </c>
      <c r="J24" s="8">
        <f t="shared" si="2"/>
        <v>-88.1178</v>
      </c>
      <c r="K24" s="8" t="str">
        <f t="shared" si="3"/>
        <v>Jul</v>
      </c>
      <c r="L24" s="8">
        <f t="shared" si="4"/>
        <v>2024</v>
      </c>
      <c r="N24" s="8" t="str">
        <f t="array" ref="N24">XLOOKUP(C24,Customer_Dim!A:A,Customer_Dim!B:B,"Not Found")</f>
        <v>Elizabeth Foster</v>
      </c>
      <c r="O24" s="8" t="str">
        <f t="array" ref="O24">XLOOKUP(C24,Customer_Dim!A:A,Customer_Dim!E:E,"Not Found")</f>
        <v>Anthonymouth</v>
      </c>
      <c r="P24" s="8" t="str">
        <f t="array" ref="P24">XLOOKUP(D24,Product_Dim!A:A,Product_Dim!B:B,"Not Found")</f>
        <v>Men's Sports Shorts</v>
      </c>
      <c r="Q24" s="8" t="str">
        <f t="array" ref="Q24">XLOOKUP(D24,Product_Dim!A:A,Product_Dim!C:C,"Not Found")</f>
        <v>Clothing</v>
      </c>
      <c r="R24" s="8" t="str">
        <f t="array" ref="R24">XLOOKUP(E24,Store_Dim!A:A,Store_Dim!B:B,"Not Found")</f>
        <v>East</v>
      </c>
      <c r="S24" s="8" t="str">
        <f t="array" ref="S24">XLOOKUP(E24,Store_Dim!A:A,Store_Dim!D:D,"Not Found")</f>
        <v>Online</v>
      </c>
    </row>
    <row r="25" ht="14.25" customHeight="1">
      <c r="A25" s="8" t="s">
        <v>1976</v>
      </c>
      <c r="B25" s="12">
        <v>45503.0</v>
      </c>
      <c r="C25" s="8" t="s">
        <v>1167</v>
      </c>
      <c r="D25" s="8" t="s">
        <v>1613</v>
      </c>
      <c r="E25" s="8" t="s">
        <v>1921</v>
      </c>
      <c r="F25" s="8">
        <v>1.0</v>
      </c>
      <c r="G25" s="8">
        <v>719.28</v>
      </c>
      <c r="H25" s="8">
        <v>0.08</v>
      </c>
      <c r="I25" s="8">
        <f t="shared" si="1"/>
        <v>719.28</v>
      </c>
      <c r="J25" s="8">
        <f t="shared" si="2"/>
        <v>-57.4624</v>
      </c>
      <c r="K25" s="8" t="str">
        <f t="shared" si="3"/>
        <v>Jul</v>
      </c>
      <c r="L25" s="8">
        <f t="shared" si="4"/>
        <v>2024</v>
      </c>
      <c r="N25" s="8" t="str">
        <f t="array" ref="N25">XLOOKUP(C25,Customer_Dim!A:A,Customer_Dim!B:B,"Not Found")</f>
        <v>Miranda King</v>
      </c>
      <c r="O25" s="8" t="str">
        <f t="array" ref="O25">XLOOKUP(C25,Customer_Dim!A:A,Customer_Dim!E:E,"Not Found")</f>
        <v>West Mathew</v>
      </c>
      <c r="P25" s="8" t="str">
        <f t="array" ref="P25">XLOOKUP(D25,Product_Dim!A:A,Product_Dim!B:B,"Not Found")</f>
        <v>Hair Strengthening Shampoo</v>
      </c>
      <c r="Q25" s="8" t="str">
        <f t="array" ref="Q25">XLOOKUP(D25,Product_Dim!A:A,Product_Dim!C:C,"Not Found")</f>
        <v>Beauty</v>
      </c>
      <c r="R25" s="8" t="str">
        <f t="array" ref="R25">XLOOKUP(E25,Store_Dim!A:A,Store_Dim!B:B,"Not Found")</f>
        <v>West</v>
      </c>
      <c r="S25" s="8" t="str">
        <f t="array" ref="S25">XLOOKUP(E25,Store_Dim!A:A,Store_Dim!D:D,"Not Found")</f>
        <v>Online</v>
      </c>
    </row>
    <row r="26" ht="14.25" customHeight="1">
      <c r="A26" s="8" t="s">
        <v>1977</v>
      </c>
      <c r="B26" s="12">
        <v>45504.0</v>
      </c>
      <c r="C26" s="8" t="s">
        <v>625</v>
      </c>
      <c r="D26" s="8" t="s">
        <v>1790</v>
      </c>
      <c r="E26" s="8" t="s">
        <v>1917</v>
      </c>
      <c r="F26" s="8">
        <v>3.0</v>
      </c>
      <c r="G26" s="8">
        <v>77.6</v>
      </c>
      <c r="H26" s="8">
        <v>0.07</v>
      </c>
      <c r="I26" s="8">
        <f t="shared" si="1"/>
        <v>232.8</v>
      </c>
      <c r="J26" s="8">
        <f t="shared" si="2"/>
        <v>-16.226</v>
      </c>
      <c r="K26" s="8" t="str">
        <f t="shared" si="3"/>
        <v>Jul</v>
      </c>
      <c r="L26" s="8">
        <f t="shared" si="4"/>
        <v>2024</v>
      </c>
      <c r="N26" s="8" t="str">
        <f t="array" ref="N26">XLOOKUP(C26,Customer_Dim!A:A,Customer_Dim!B:B,"Not Found")</f>
        <v>Jennifer Pruitt</v>
      </c>
      <c r="O26" s="8" t="str">
        <f t="array" ref="O26">XLOOKUP(C26,Customer_Dim!A:A,Customer_Dim!E:E,"Not Found")</f>
        <v>East Justin</v>
      </c>
      <c r="P26" s="8" t="str">
        <f t="array" ref="P26">XLOOKUP(D26,Product_Dim!A:A,Product_Dim!B:B,"Not Found")</f>
        <v>Smart LED Light Strip</v>
      </c>
      <c r="Q26" s="8" t="str">
        <f t="array" ref="Q26">XLOOKUP(D26,Product_Dim!A:A,Product_Dim!C:C,"Not Found")</f>
        <v>Electronics</v>
      </c>
      <c r="R26" s="8" t="str">
        <f t="array" ref="R26">XLOOKUP(E26,Store_Dim!A:A,Store_Dim!B:B,"Not Found")</f>
        <v>East</v>
      </c>
      <c r="S26" s="8" t="str">
        <f t="array" ref="S26">XLOOKUP(E26,Store_Dim!A:A,Store_Dim!D:D,"Not Found")</f>
        <v>Online</v>
      </c>
    </row>
    <row r="27" ht="14.25" customHeight="1">
      <c r="A27" s="8" t="s">
        <v>1978</v>
      </c>
      <c r="B27" s="12">
        <v>45505.0</v>
      </c>
      <c r="C27" s="8" t="s">
        <v>1206</v>
      </c>
      <c r="D27" s="8" t="s">
        <v>1583</v>
      </c>
      <c r="E27" s="8" t="s">
        <v>1910</v>
      </c>
      <c r="F27" s="8">
        <v>4.0</v>
      </c>
      <c r="G27" s="8">
        <v>852.71</v>
      </c>
      <c r="H27" s="8">
        <v>0.14</v>
      </c>
      <c r="I27" s="8">
        <f t="shared" si="1"/>
        <v>3410.84</v>
      </c>
      <c r="J27" s="8">
        <f t="shared" si="2"/>
        <v>-477.3776</v>
      </c>
      <c r="K27" s="8" t="str">
        <f t="shared" si="3"/>
        <v>Aug</v>
      </c>
      <c r="L27" s="8">
        <f t="shared" si="4"/>
        <v>2024</v>
      </c>
      <c r="N27" s="8" t="str">
        <f t="array" ref="N27">XLOOKUP(C27,Customer_Dim!A:A,Customer_Dim!B:B,"Not Found")</f>
        <v>Erika Padilla</v>
      </c>
      <c r="O27" s="8" t="str">
        <f t="array" ref="O27">XLOOKUP(C27,Customer_Dim!A:A,Customer_Dim!E:E,"Not Found")</f>
        <v>Andrewsland</v>
      </c>
      <c r="P27" s="8" t="str">
        <f t="array" ref="P27">XLOOKUP(D27,Product_Dim!A:A,Product_Dim!B:B,"Not Found")</f>
        <v>Men's Leather Belt</v>
      </c>
      <c r="Q27" s="8" t="str">
        <f t="array" ref="Q27">XLOOKUP(D27,Product_Dim!A:A,Product_Dim!C:C,"Not Found")</f>
        <v>Clothing</v>
      </c>
      <c r="R27" s="8" t="str">
        <f t="array" ref="R27">XLOOKUP(E27,Store_Dim!A:A,Store_Dim!B:B,"Not Found")</f>
        <v>North</v>
      </c>
      <c r="S27" s="8" t="str">
        <f t="array" ref="S27">XLOOKUP(E27,Store_Dim!A:A,Store_Dim!D:D,"Not Found")</f>
        <v>Outlet</v>
      </c>
    </row>
    <row r="28" ht="14.25" customHeight="1">
      <c r="A28" s="8" t="s">
        <v>1979</v>
      </c>
      <c r="B28" s="12">
        <v>45506.0</v>
      </c>
      <c r="C28" s="8" t="s">
        <v>705</v>
      </c>
      <c r="D28" s="8" t="s">
        <v>1884</v>
      </c>
      <c r="E28" s="8" t="s">
        <v>1921</v>
      </c>
      <c r="F28" s="8">
        <v>4.0</v>
      </c>
      <c r="G28" s="8">
        <v>156.16</v>
      </c>
      <c r="I28" s="8">
        <f t="shared" si="1"/>
        <v>624.64</v>
      </c>
      <c r="J28" s="8">
        <f t="shared" si="2"/>
        <v>0</v>
      </c>
      <c r="K28" s="8" t="str">
        <f t="shared" si="3"/>
        <v>Aug</v>
      </c>
      <c r="L28" s="8">
        <f t="shared" si="4"/>
        <v>2024</v>
      </c>
      <c r="N28" s="8" t="str">
        <f t="array" ref="N28">XLOOKUP(C28,Customer_Dim!A:A,Customer_Dim!B:B,"Not Found")</f>
        <v>Stuart Johnson</v>
      </c>
      <c r="O28" s="8" t="str">
        <f t="array" ref="O28">XLOOKUP(C28,Customer_Dim!A:A,Customer_Dim!E:E,"Not Found")</f>
        <v>West Markport</v>
      </c>
      <c r="P28" s="8" t="str">
        <f t="array" ref="P28">XLOOKUP(D28,Product_Dim!A:A,Product_Dim!B:B,"Not Found")</f>
        <v>Portable Bluetooth Speaker</v>
      </c>
      <c r="Q28" s="8" t="str">
        <f t="array" ref="Q28">XLOOKUP(D28,Product_Dim!A:A,Product_Dim!C:C,"Not Found")</f>
        <v>Electronics</v>
      </c>
      <c r="R28" s="8" t="str">
        <f t="array" ref="R28">XLOOKUP(E28,Store_Dim!A:A,Store_Dim!B:B,"Not Found")</f>
        <v>West</v>
      </c>
      <c r="S28" s="8" t="str">
        <f t="array" ref="S28">XLOOKUP(E28,Store_Dim!A:A,Store_Dim!D:D,"Not Found")</f>
        <v>Online</v>
      </c>
    </row>
    <row r="29" ht="14.25" customHeight="1">
      <c r="A29" s="8" t="s">
        <v>1980</v>
      </c>
      <c r="B29" s="12">
        <v>45507.0</v>
      </c>
      <c r="C29" s="8" t="s">
        <v>666</v>
      </c>
      <c r="D29" s="8" t="s">
        <v>1821</v>
      </c>
      <c r="E29" s="8" t="s">
        <v>1921</v>
      </c>
      <c r="F29" s="8">
        <v>3.0</v>
      </c>
      <c r="G29" s="8">
        <v>815.49</v>
      </c>
      <c r="H29" s="8">
        <v>0.17</v>
      </c>
      <c r="I29" s="8">
        <f t="shared" si="1"/>
        <v>2446.47</v>
      </c>
      <c r="J29" s="8">
        <f t="shared" si="2"/>
        <v>-415.7299</v>
      </c>
      <c r="K29" s="8" t="str">
        <f t="shared" si="3"/>
        <v>Aug</v>
      </c>
      <c r="L29" s="8">
        <f t="shared" si="4"/>
        <v>2024</v>
      </c>
      <c r="N29" s="8" t="str">
        <f t="array" ref="N29">XLOOKUP(C29,Customer_Dim!A:A,Customer_Dim!B:B,"Not Found")</f>
        <v>Anna Perez</v>
      </c>
      <c r="O29" s="8" t="str">
        <f t="array" ref="O29">XLOOKUP(C29,Customer_Dim!A:A,Customer_Dim!E:E,"Not Found")</f>
        <v>South Jerry</v>
      </c>
      <c r="P29" s="8" t="str">
        <f t="array" ref="P29">XLOOKUP(D29,Product_Dim!A:A,Product_Dim!B:B,"Not Found")</f>
        <v>WiFi Mesh Router</v>
      </c>
      <c r="Q29" s="8" t="str">
        <f t="array" ref="Q29">XLOOKUP(D29,Product_Dim!A:A,Product_Dim!C:C,"Not Found")</f>
        <v>Electronics</v>
      </c>
      <c r="R29" s="8" t="str">
        <f t="array" ref="R29">XLOOKUP(E29,Store_Dim!A:A,Store_Dim!B:B,"Not Found")</f>
        <v>West</v>
      </c>
      <c r="S29" s="8" t="str">
        <f t="array" ref="S29">XLOOKUP(E29,Store_Dim!A:A,Store_Dim!D:D,"Not Found")</f>
        <v>Online</v>
      </c>
    </row>
    <row r="30" ht="14.25" customHeight="1">
      <c r="A30" s="8" t="s">
        <v>1981</v>
      </c>
      <c r="B30" s="12">
        <v>45508.0</v>
      </c>
      <c r="C30" s="8" t="s">
        <v>511</v>
      </c>
      <c r="D30" s="8" t="s">
        <v>1617</v>
      </c>
      <c r="E30" s="8" t="s">
        <v>1906</v>
      </c>
      <c r="F30" s="8">
        <v>2.0</v>
      </c>
      <c r="G30" s="8">
        <v>74.21</v>
      </c>
      <c r="H30" s="8">
        <v>0.11</v>
      </c>
      <c r="I30" s="8">
        <f t="shared" si="1"/>
        <v>148.42</v>
      </c>
      <c r="J30" s="8">
        <f t="shared" si="2"/>
        <v>-16.2162</v>
      </c>
      <c r="K30" s="8" t="str">
        <f t="shared" si="3"/>
        <v>Aug</v>
      </c>
      <c r="L30" s="8">
        <f t="shared" si="4"/>
        <v>2024</v>
      </c>
      <c r="N30" s="8" t="str">
        <f t="array" ref="N30">XLOOKUP(C30,Customer_Dim!A:A,Customer_Dim!B:B,"Not Found")</f>
        <v>Theresa Campbell</v>
      </c>
      <c r="O30" s="8" t="str">
        <f t="array" ref="O30">XLOOKUP(C30,Customer_Dim!A:A,Customer_Dim!E:E,"Not Found")</f>
        <v>New Brian</v>
      </c>
      <c r="P30" s="8" t="str">
        <f t="array" ref="P30">XLOOKUP(D30,Product_Dim!A:A,Product_Dim!B:B,"Not Found")</f>
        <v>USB-C Fast Charger</v>
      </c>
      <c r="Q30" s="8" t="str">
        <f t="array" ref="Q30">XLOOKUP(D30,Product_Dim!A:A,Product_Dim!C:C,"Not Found")</f>
        <v>Electronics</v>
      </c>
      <c r="R30" s="8" t="str">
        <f t="array" ref="R30">XLOOKUP(E30,Store_Dim!A:A,Store_Dim!B:B,"Not Found")</f>
        <v>South</v>
      </c>
      <c r="S30" s="8" t="str">
        <f t="array" ref="S30">XLOOKUP(E30,Store_Dim!A:A,Store_Dim!D:D,"Not Found")</f>
        <v>Outlet</v>
      </c>
    </row>
    <row r="31" ht="14.25" customHeight="1">
      <c r="A31" s="8" t="s">
        <v>1982</v>
      </c>
      <c r="B31" s="12">
        <v>45509.0</v>
      </c>
      <c r="C31" s="8" t="s">
        <v>1107</v>
      </c>
      <c r="D31" s="8" t="s">
        <v>1887</v>
      </c>
      <c r="E31" s="8" t="s">
        <v>1910</v>
      </c>
      <c r="G31" s="8">
        <v>451.67</v>
      </c>
      <c r="H31" s="8">
        <v>0.15</v>
      </c>
      <c r="I31" s="8">
        <f t="shared" si="1"/>
        <v>0</v>
      </c>
      <c r="J31" s="8">
        <f t="shared" si="2"/>
        <v>0.15</v>
      </c>
      <c r="K31" s="8" t="str">
        <f t="shared" si="3"/>
        <v>Aug</v>
      </c>
      <c r="L31" s="8">
        <f t="shared" si="4"/>
        <v>2024</v>
      </c>
      <c r="N31" s="8" t="str">
        <f t="array" ref="N31">XLOOKUP(C31,Customer_Dim!A:A,Customer_Dim!B:B,"Not Found")</f>
        <v>Sherry Cabrera</v>
      </c>
      <c r="O31" s="8" t="str">
        <f t="array" ref="O31">XLOOKUP(C31,Customer_Dim!A:A,Customer_Dim!E:E,"Not Found")</f>
        <v>Shannonview</v>
      </c>
      <c r="P31" s="8" t="str">
        <f t="array" ref="P31">XLOOKUP(D31,Product_Dim!A:A,Product_Dim!B:B,"Not Found")</f>
        <v>Stainless Steel Cookware Set</v>
      </c>
      <c r="Q31" s="8" t="str">
        <f t="array" ref="Q31">XLOOKUP(D31,Product_Dim!A:A,Product_Dim!C:C,"Not Found")</f>
        <v>Home</v>
      </c>
      <c r="R31" s="8" t="str">
        <f t="array" ref="R31">XLOOKUP(E31,Store_Dim!A:A,Store_Dim!B:B,"Not Found")</f>
        <v>North</v>
      </c>
      <c r="S31" s="8" t="str">
        <f t="array" ref="S31">XLOOKUP(E31,Store_Dim!A:A,Store_Dim!D:D,"Not Found")</f>
        <v>Outlet</v>
      </c>
    </row>
    <row r="32" ht="14.25" customHeight="1">
      <c r="A32" s="8" t="s">
        <v>1983</v>
      </c>
      <c r="B32" s="12">
        <v>45510.0</v>
      </c>
      <c r="C32" s="8" t="s">
        <v>128</v>
      </c>
      <c r="D32" s="8" t="s">
        <v>1583</v>
      </c>
      <c r="E32" s="8" t="s">
        <v>1941</v>
      </c>
      <c r="F32" s="8">
        <v>1.0</v>
      </c>
      <c r="G32" s="8">
        <v>429.38</v>
      </c>
      <c r="H32" s="8">
        <v>0.13</v>
      </c>
      <c r="I32" s="8">
        <f t="shared" si="1"/>
        <v>429.38</v>
      </c>
      <c r="J32" s="8">
        <f t="shared" si="2"/>
        <v>-55.6894</v>
      </c>
      <c r="K32" s="8" t="str">
        <f t="shared" si="3"/>
        <v>Aug</v>
      </c>
      <c r="L32" s="8">
        <f t="shared" si="4"/>
        <v>2024</v>
      </c>
      <c r="N32" s="8" t="str">
        <f t="array" ref="N32">XLOOKUP(C32,Customer_Dim!A:A,Customer_Dim!B:B,"Not Found")</f>
        <v>Joshua Ryan</v>
      </c>
      <c r="O32" s="8" t="str">
        <f t="array" ref="O32">XLOOKUP(C32,Customer_Dim!A:A,Customer_Dim!E:E,"Not Found")</f>
        <v>New David</v>
      </c>
      <c r="P32" s="8" t="str">
        <f t="array" ref="P32">XLOOKUP(D32,Product_Dim!A:A,Product_Dim!B:B,"Not Found")</f>
        <v>Men's Leather Belt</v>
      </c>
      <c r="Q32" s="8" t="str">
        <f t="array" ref="Q32">XLOOKUP(D32,Product_Dim!A:A,Product_Dim!C:C,"Not Found")</f>
        <v>Clothing</v>
      </c>
      <c r="R32" s="8" t="str">
        <f t="array" ref="R32">XLOOKUP(E32,Store_Dim!A:A,Store_Dim!B:B,"Not Found")</f>
        <v>East</v>
      </c>
      <c r="S32" s="8" t="str">
        <f t="array" ref="S32">XLOOKUP(E32,Store_Dim!A:A,Store_Dim!D:D,"Not Found")</f>
        <v>Online</v>
      </c>
    </row>
    <row r="33" ht="14.25" customHeight="1">
      <c r="A33" s="8" t="s">
        <v>1984</v>
      </c>
      <c r="B33" s="12">
        <v>45511.0</v>
      </c>
      <c r="C33" s="8" t="s">
        <v>1297</v>
      </c>
      <c r="D33" s="8" t="s">
        <v>1748</v>
      </c>
      <c r="E33" s="8" t="s">
        <v>1929</v>
      </c>
      <c r="F33" s="8">
        <v>2.0</v>
      </c>
      <c r="G33" s="8">
        <v>148.96</v>
      </c>
      <c r="H33" s="8">
        <v>0.03</v>
      </c>
      <c r="I33" s="8">
        <f t="shared" si="1"/>
        <v>297.92</v>
      </c>
      <c r="J33" s="8">
        <f t="shared" si="2"/>
        <v>-8.9076</v>
      </c>
      <c r="K33" s="8" t="str">
        <f t="shared" si="3"/>
        <v>Aug</v>
      </c>
      <c r="L33" s="8">
        <f t="shared" si="4"/>
        <v>2024</v>
      </c>
      <c r="N33" s="8" t="str">
        <f t="array" ref="N33">XLOOKUP(C33,Customer_Dim!A:A,Customer_Dim!B:B,"Not Found")</f>
        <v>Shane Brown</v>
      </c>
      <c r="O33" s="8" t="str">
        <f t="array" ref="O33">XLOOKUP(C33,Customer_Dim!A:A,Customer_Dim!E:E,"Not Found")</f>
        <v>East Andrea</v>
      </c>
      <c r="P33" s="8" t="str">
        <f t="array" ref="P33">XLOOKUP(D33,Product_Dim!A:A,Product_Dim!B:B,"Not Found")</f>
        <v>Men's Track Pants</v>
      </c>
      <c r="Q33" s="8" t="str">
        <f t="array" ref="Q33">XLOOKUP(D33,Product_Dim!A:A,Product_Dim!C:C,"Not Found")</f>
        <v>Clothing</v>
      </c>
      <c r="R33" s="8" t="str">
        <f t="array" ref="R33">XLOOKUP(E33,Store_Dim!A:A,Store_Dim!B:B,"Not Found")</f>
        <v>North</v>
      </c>
      <c r="S33" s="8" t="str">
        <f t="array" ref="S33">XLOOKUP(E33,Store_Dim!A:A,Store_Dim!D:D,"Not Found")</f>
        <v>Online</v>
      </c>
    </row>
    <row r="34" ht="14.25" customHeight="1">
      <c r="A34" s="8" t="s">
        <v>1985</v>
      </c>
      <c r="B34" s="12">
        <v>45512.0</v>
      </c>
      <c r="C34" s="8" t="s">
        <v>1256</v>
      </c>
      <c r="D34" s="8" t="s">
        <v>1815</v>
      </c>
      <c r="E34" s="8" t="s">
        <v>1921</v>
      </c>
      <c r="F34" s="8">
        <v>4.0</v>
      </c>
      <c r="G34" s="8">
        <v>313.83</v>
      </c>
      <c r="H34" s="8">
        <v>0.08</v>
      </c>
      <c r="I34" s="8">
        <f t="shared" si="1"/>
        <v>1255.32</v>
      </c>
      <c r="J34" s="8">
        <f t="shared" si="2"/>
        <v>-100.3456</v>
      </c>
      <c r="K34" s="8" t="str">
        <f t="shared" si="3"/>
        <v>Aug</v>
      </c>
      <c r="L34" s="8">
        <f t="shared" si="4"/>
        <v>2024</v>
      </c>
      <c r="N34" s="8" t="str">
        <f t="array" ref="N34">XLOOKUP(C34,Customer_Dim!A:A,Customer_Dim!B:B,"Not Found")</f>
        <v>Jennifer Johnson</v>
      </c>
      <c r="O34" s="8" t="str">
        <f t="array" ref="O34">XLOOKUP(C34,Customer_Dim!A:A,Customer_Dim!E:E,"Not Found")</f>
        <v>Cheyenneborough</v>
      </c>
      <c r="P34" s="8" t="str">
        <f t="array" ref="P34">XLOOKUP(D34,Product_Dim!A:A,Product_Dim!B:B,"Not Found")</f>
        <v>Women's Ankle Boots</v>
      </c>
      <c r="Q34" s="8" t="str">
        <f t="array" ref="Q34">XLOOKUP(D34,Product_Dim!A:A,Product_Dim!C:C,"Not Found")</f>
        <v>Clothing</v>
      </c>
      <c r="R34" s="8" t="str">
        <f t="array" ref="R34">XLOOKUP(E34,Store_Dim!A:A,Store_Dim!B:B,"Not Found")</f>
        <v>West</v>
      </c>
      <c r="S34" s="8" t="str">
        <f t="array" ref="S34">XLOOKUP(E34,Store_Dim!A:A,Store_Dim!D:D,"Not Found")</f>
        <v>Online</v>
      </c>
    </row>
    <row r="35" ht="14.25" customHeight="1">
      <c r="A35" s="8" t="s">
        <v>1986</v>
      </c>
      <c r="B35" s="12">
        <v>45513.0</v>
      </c>
      <c r="C35" s="8" t="s">
        <v>1416</v>
      </c>
      <c r="D35" s="8" t="s">
        <v>1613</v>
      </c>
      <c r="E35" s="8" t="s">
        <v>1917</v>
      </c>
      <c r="F35" s="8">
        <v>2.0</v>
      </c>
      <c r="G35" s="8">
        <v>717.31</v>
      </c>
      <c r="H35" s="8">
        <v>0.15</v>
      </c>
      <c r="I35" s="8">
        <f t="shared" si="1"/>
        <v>1434.62</v>
      </c>
      <c r="J35" s="8">
        <f t="shared" si="2"/>
        <v>-215.043</v>
      </c>
      <c r="K35" s="8" t="str">
        <f t="shared" si="3"/>
        <v>Aug</v>
      </c>
      <c r="L35" s="8">
        <f t="shared" si="4"/>
        <v>2024</v>
      </c>
      <c r="N35" s="8" t="str">
        <f t="array" ref="N35">XLOOKUP(C35,Customer_Dim!A:A,Customer_Dim!B:B,"Not Found")</f>
        <v>April Phillips</v>
      </c>
      <c r="O35" s="8" t="str">
        <f t="array" ref="O35">XLOOKUP(C35,Customer_Dim!A:A,Customer_Dim!E:E,"Not Found")</f>
        <v>Lake Carolyn</v>
      </c>
      <c r="P35" s="8" t="str">
        <f t="array" ref="P35">XLOOKUP(D35,Product_Dim!A:A,Product_Dim!B:B,"Not Found")</f>
        <v>Hair Strengthening Shampoo</v>
      </c>
      <c r="Q35" s="8" t="str">
        <f t="array" ref="Q35">XLOOKUP(D35,Product_Dim!A:A,Product_Dim!C:C,"Not Found")</f>
        <v>Beauty</v>
      </c>
      <c r="R35" s="8" t="str">
        <f t="array" ref="R35">XLOOKUP(E35,Store_Dim!A:A,Store_Dim!B:B,"Not Found")</f>
        <v>East</v>
      </c>
      <c r="S35" s="8" t="str">
        <f t="array" ref="S35">XLOOKUP(E35,Store_Dim!A:A,Store_Dim!D:D,"Not Found")</f>
        <v>Online</v>
      </c>
    </row>
    <row r="36" ht="14.25" customHeight="1">
      <c r="A36" s="8" t="s">
        <v>1987</v>
      </c>
      <c r="B36" s="12">
        <v>45514.0</v>
      </c>
      <c r="C36" s="8" t="s">
        <v>1095</v>
      </c>
      <c r="D36" s="8" t="s">
        <v>1827</v>
      </c>
      <c r="E36" s="8" t="s">
        <v>1903</v>
      </c>
      <c r="G36" s="8">
        <v>873.22</v>
      </c>
      <c r="H36" s="8">
        <v>0.18</v>
      </c>
      <c r="I36" s="8">
        <f t="shared" si="1"/>
        <v>0</v>
      </c>
      <c r="J36" s="8">
        <f t="shared" si="2"/>
        <v>0.18</v>
      </c>
      <c r="K36" s="8" t="str">
        <f t="shared" si="3"/>
        <v>Aug</v>
      </c>
      <c r="L36" s="8">
        <f t="shared" si="4"/>
        <v>2024</v>
      </c>
      <c r="N36" s="8" t="str">
        <f t="array" ref="N36">XLOOKUP(C36,Customer_Dim!A:A,Customer_Dim!B:B,"Not Found")</f>
        <v>Evelyn Brown</v>
      </c>
      <c r="O36" s="8" t="str">
        <f t="array" ref="O36">XLOOKUP(C36,Customer_Dim!A:A,Customer_Dim!E:E,"Not Found")</f>
        <v>West Victoriaborough</v>
      </c>
      <c r="P36" s="8" t="str">
        <f t="array" ref="P36">XLOOKUP(D36,Product_Dim!A:A,Product_Dim!B:B,"Not Found")</f>
        <v>Decorative Lamp Shade</v>
      </c>
      <c r="Q36" s="8" t="str">
        <f t="array" ref="Q36">XLOOKUP(D36,Product_Dim!A:A,Product_Dim!C:C,"Not Found")</f>
        <v>Home</v>
      </c>
      <c r="R36" s="8" t="str">
        <f t="array" ref="R36">XLOOKUP(E36,Store_Dim!A:A,Store_Dim!B:B,"Not Found")</f>
        <v>North</v>
      </c>
      <c r="S36" s="8" t="str">
        <f t="array" ref="S36">XLOOKUP(E36,Store_Dim!A:A,Store_Dim!D:D,"Not Found")</f>
        <v>Flagship</v>
      </c>
    </row>
    <row r="37" ht="14.25" customHeight="1">
      <c r="A37" s="8" t="s">
        <v>1988</v>
      </c>
      <c r="B37" s="12">
        <v>45515.0</v>
      </c>
      <c r="C37" s="8" t="s">
        <v>720</v>
      </c>
      <c r="D37" s="8" t="s">
        <v>1989</v>
      </c>
      <c r="E37" s="8" t="s">
        <v>1910</v>
      </c>
      <c r="F37" s="8">
        <v>4.0</v>
      </c>
      <c r="G37" s="8">
        <v>109.36</v>
      </c>
      <c r="H37" s="8">
        <v>0.19</v>
      </c>
      <c r="I37" s="8">
        <f t="shared" si="1"/>
        <v>437.44</v>
      </c>
      <c r="J37" s="8">
        <f t="shared" si="2"/>
        <v>-82.9236</v>
      </c>
      <c r="K37" s="8" t="str">
        <f t="shared" si="3"/>
        <v>Aug</v>
      </c>
      <c r="L37" s="8">
        <f t="shared" si="4"/>
        <v>2024</v>
      </c>
      <c r="N37" s="8" t="str">
        <f t="array" ref="N37">XLOOKUP(C37,Customer_Dim!A:A,Customer_Dim!B:B,"Not Found")</f>
        <v>Julia Jackson</v>
      </c>
      <c r="O37" s="8" t="str">
        <f t="array" ref="O37">XLOOKUP(C37,Customer_Dim!A:A,Customer_Dim!E:E,"Not Found")</f>
        <v>Edwardland</v>
      </c>
      <c r="P37" s="8" t="str">
        <f t="array" ref="P37">XLOOKUP(D37,Product_Dim!A:A,Product_Dim!B:B,"Not Found")</f>
        <v>Not Found</v>
      </c>
      <c r="Q37" s="8" t="str">
        <f t="array" ref="Q37">XLOOKUP(D37,Product_Dim!A:A,Product_Dim!C:C,"Not Found")</f>
        <v>Not Found</v>
      </c>
      <c r="R37" s="8" t="str">
        <f t="array" ref="R37">XLOOKUP(E37,Store_Dim!A:A,Store_Dim!B:B,"Not Found")</f>
        <v>North</v>
      </c>
      <c r="S37" s="8" t="str">
        <f t="array" ref="S37">XLOOKUP(E37,Store_Dim!A:A,Store_Dim!D:D,"Not Found")</f>
        <v>Outlet</v>
      </c>
    </row>
    <row r="38" ht="14.25" customHeight="1">
      <c r="A38" s="8" t="s">
        <v>1990</v>
      </c>
      <c r="B38" s="12">
        <v>45516.0</v>
      </c>
      <c r="C38" s="8" t="s">
        <v>320</v>
      </c>
      <c r="D38" s="8" t="s">
        <v>1583</v>
      </c>
      <c r="E38" s="8" t="s">
        <v>1919</v>
      </c>
      <c r="F38" s="8">
        <v>3.0</v>
      </c>
      <c r="G38" s="8">
        <v>559.52</v>
      </c>
      <c r="H38" s="8">
        <v>0.16</v>
      </c>
      <c r="I38" s="8">
        <f t="shared" si="1"/>
        <v>1678.56</v>
      </c>
      <c r="J38" s="8">
        <f t="shared" si="2"/>
        <v>-268.4096</v>
      </c>
      <c r="K38" s="8" t="str">
        <f t="shared" si="3"/>
        <v>Aug</v>
      </c>
      <c r="L38" s="8">
        <f t="shared" si="4"/>
        <v>2024</v>
      </c>
      <c r="N38" s="8" t="str">
        <f t="array" ref="N38">XLOOKUP(C38,Customer_Dim!A:A,Customer_Dim!B:B,"Not Found")</f>
        <v>Tammy Miller MD</v>
      </c>
      <c r="O38" s="8" t="str">
        <f t="array" ref="O38">XLOOKUP(C38,Customer_Dim!A:A,Customer_Dim!E:E,"Not Found")</f>
        <v>Austinfurt</v>
      </c>
      <c r="P38" s="8" t="str">
        <f t="array" ref="P38">XLOOKUP(D38,Product_Dim!A:A,Product_Dim!B:B,"Not Found")</f>
        <v>Men's Leather Belt</v>
      </c>
      <c r="Q38" s="8" t="str">
        <f t="array" ref="Q38">XLOOKUP(D38,Product_Dim!A:A,Product_Dim!C:C,"Not Found")</f>
        <v>Clothing</v>
      </c>
      <c r="R38" s="8" t="str">
        <f t="array" ref="R38">XLOOKUP(E38,Store_Dim!A:A,Store_Dim!B:B,"Not Found")</f>
        <v>South</v>
      </c>
      <c r="S38" s="8" t="str">
        <f t="array" ref="S38">XLOOKUP(E38,Store_Dim!A:A,Store_Dim!D:D,"Not Found")</f>
        <v>Online</v>
      </c>
    </row>
    <row r="39" ht="14.25" customHeight="1">
      <c r="A39" s="8" t="s">
        <v>1991</v>
      </c>
      <c r="B39" s="12">
        <v>45517.0</v>
      </c>
      <c r="C39" s="8" t="s">
        <v>1529</v>
      </c>
      <c r="D39" s="8" t="s">
        <v>1606</v>
      </c>
      <c r="E39" s="8" t="s">
        <v>1937</v>
      </c>
      <c r="F39" s="8">
        <v>3.0</v>
      </c>
      <c r="G39" s="8">
        <v>121.76</v>
      </c>
      <c r="H39" s="8">
        <v>0.27</v>
      </c>
      <c r="I39" s="8">
        <f t="shared" si="1"/>
        <v>365.28</v>
      </c>
      <c r="J39" s="8">
        <f t="shared" si="2"/>
        <v>-98.3556</v>
      </c>
      <c r="K39" s="8" t="str">
        <f t="shared" si="3"/>
        <v>Aug</v>
      </c>
      <c r="L39" s="8">
        <f t="shared" si="4"/>
        <v>2024</v>
      </c>
      <c r="N39" s="8" t="str">
        <f t="array" ref="N39">XLOOKUP(C39,Customer_Dim!A:A,Customer_Dim!B:B,"Not Found")</f>
        <v>Darrell Miller</v>
      </c>
      <c r="O39" s="8" t="str">
        <f t="array" ref="O39">XLOOKUP(C39,Customer_Dim!A:A,Customer_Dim!E:E,"Not Found")</f>
        <v>Port Carol</v>
      </c>
      <c r="P39" s="8" t="str">
        <f t="array" ref="P39">XLOOKUP(D39,Product_Dim!A:A,Product_Dim!B:B,"Not Found")</f>
        <v>Ceramic Kitchen Bowl Set</v>
      </c>
      <c r="Q39" s="8" t="str">
        <f t="array" ref="Q39">XLOOKUP(D39,Product_Dim!A:A,Product_Dim!C:C,"Not Found")</f>
        <v>Home</v>
      </c>
      <c r="R39" s="8" t="str">
        <f t="array" ref="R39">XLOOKUP(E39,Store_Dim!A:A,Store_Dim!B:B,"Not Found")</f>
        <v>North</v>
      </c>
      <c r="S39" s="8" t="str">
        <f t="array" ref="S39">XLOOKUP(E39,Store_Dim!A:A,Store_Dim!D:D,"Not Found")</f>
        <v>Flagship</v>
      </c>
    </row>
    <row r="40" ht="14.25" customHeight="1">
      <c r="A40" s="8" t="s">
        <v>1992</v>
      </c>
      <c r="B40" s="12">
        <v>45518.0</v>
      </c>
      <c r="C40" s="8" t="s">
        <v>634</v>
      </c>
      <c r="D40" s="8" t="s">
        <v>1684</v>
      </c>
      <c r="E40" s="8" t="s">
        <v>1931</v>
      </c>
      <c r="F40" s="8">
        <v>4.0</v>
      </c>
      <c r="G40" s="8">
        <v>735.32</v>
      </c>
      <c r="H40" s="8">
        <v>0.06</v>
      </c>
      <c r="I40" s="8">
        <f t="shared" si="1"/>
        <v>2941.28</v>
      </c>
      <c r="J40" s="8">
        <f t="shared" si="2"/>
        <v>-176.4168</v>
      </c>
      <c r="K40" s="8" t="str">
        <f t="shared" si="3"/>
        <v>Aug</v>
      </c>
      <c r="L40" s="8">
        <f t="shared" si="4"/>
        <v>2024</v>
      </c>
      <c r="N40" s="8" t="str">
        <f t="array" ref="N40">XLOOKUP(C40,Customer_Dim!A:A,Customer_Dim!B:B,"Not Found")</f>
        <v>Daniel Austin</v>
      </c>
      <c r="O40" s="8" t="str">
        <f t="array" ref="O40">XLOOKUP(C40,Customer_Dim!A:A,Customer_Dim!E:E,"Not Found")</f>
        <v>Lake Howardberg</v>
      </c>
      <c r="P40" s="8" t="str">
        <f t="array" ref="P40">XLOOKUP(D40,Product_Dim!A:A,Product_Dim!B:B,"Not Found")</f>
        <v>Modern Wall Clock</v>
      </c>
      <c r="Q40" s="8" t="str">
        <f t="array" ref="Q40">XLOOKUP(D40,Product_Dim!A:A,Product_Dim!C:C,"Not Found")</f>
        <v>Home</v>
      </c>
      <c r="R40" s="8" t="str">
        <f t="array" ref="R40">XLOOKUP(E40,Store_Dim!A:A,Store_Dim!B:B,"Not Found")</f>
        <v>East</v>
      </c>
      <c r="S40" s="8" t="str">
        <f t="array" ref="S40">XLOOKUP(E40,Store_Dim!A:A,Store_Dim!D:D,"Not Found")</f>
        <v>Flagship</v>
      </c>
    </row>
    <row r="41" ht="14.25" customHeight="1">
      <c r="A41" s="8" t="s">
        <v>1993</v>
      </c>
      <c r="B41" s="12">
        <v>45519.0</v>
      </c>
      <c r="C41" s="8" t="s">
        <v>1353</v>
      </c>
      <c r="D41" s="8" t="s">
        <v>1872</v>
      </c>
      <c r="E41" s="8" t="s">
        <v>1910</v>
      </c>
      <c r="F41" s="8">
        <v>2.0</v>
      </c>
      <c r="G41" s="8">
        <v>600.73</v>
      </c>
      <c r="H41" s="8">
        <v>0.08</v>
      </c>
      <c r="I41" s="8">
        <f t="shared" si="1"/>
        <v>1201.46</v>
      </c>
      <c r="J41" s="8">
        <f t="shared" si="2"/>
        <v>-96.0368</v>
      </c>
      <c r="K41" s="8" t="str">
        <f t="shared" si="3"/>
        <v>Aug</v>
      </c>
      <c r="L41" s="8">
        <f t="shared" si="4"/>
        <v>2024</v>
      </c>
      <c r="N41" s="8" t="str">
        <f t="array" ref="N41">XLOOKUP(C41,Customer_Dim!A:A,Customer_Dim!B:B,"Not Found")</f>
        <v>John Smith</v>
      </c>
      <c r="O41" s="8" t="str">
        <f t="array" ref="O41">XLOOKUP(C41,Customer_Dim!A:A,Customer_Dim!E:E,"Not Found")</f>
        <v>South Andrewport</v>
      </c>
      <c r="P41" s="8" t="str">
        <f t="array" ref="P41">XLOOKUP(D41,Product_Dim!A:A,Product_Dim!B:B,"Not Found")</f>
        <v>Vitamin E Body Lotion</v>
      </c>
      <c r="Q41" s="8" t="str">
        <f t="array" ref="Q41">XLOOKUP(D41,Product_Dim!A:A,Product_Dim!C:C,"Not Found")</f>
        <v>Beauty</v>
      </c>
      <c r="R41" s="8" t="str">
        <f t="array" ref="R41">XLOOKUP(E41,Store_Dim!A:A,Store_Dim!B:B,"Not Found")</f>
        <v>North</v>
      </c>
      <c r="S41" s="8" t="str">
        <f t="array" ref="S41">XLOOKUP(E41,Store_Dim!A:A,Store_Dim!D:D,"Not Found")</f>
        <v>Outlet</v>
      </c>
    </row>
    <row r="42" ht="14.25" customHeight="1">
      <c r="A42" s="8" t="s">
        <v>1994</v>
      </c>
      <c r="B42" s="12">
        <v>45520.0</v>
      </c>
      <c r="C42" s="8" t="s">
        <v>274</v>
      </c>
      <c r="D42" s="8" t="s">
        <v>1662</v>
      </c>
      <c r="E42" s="8" t="s">
        <v>1941</v>
      </c>
      <c r="F42" s="8">
        <v>2.0</v>
      </c>
      <c r="G42" s="8">
        <v>873.86</v>
      </c>
      <c r="H42" s="8">
        <v>0.07</v>
      </c>
      <c r="I42" s="8">
        <f t="shared" si="1"/>
        <v>1747.72</v>
      </c>
      <c r="J42" s="8">
        <f t="shared" si="2"/>
        <v>-122.2704</v>
      </c>
      <c r="K42" s="8" t="str">
        <f t="shared" si="3"/>
        <v>Aug</v>
      </c>
      <c r="L42" s="8">
        <f t="shared" si="4"/>
        <v>2024</v>
      </c>
      <c r="N42" s="8" t="str">
        <f t="array" ref="N42">XLOOKUP(C42,Customer_Dim!A:A,Customer_Dim!B:B,"Not Found")</f>
        <v>Tonya Burch</v>
      </c>
      <c r="O42" s="8" t="str">
        <f t="array" ref="O42">XLOOKUP(C42,Customer_Dim!A:A,Customer_Dim!E:E,"Not Found")</f>
        <v>Olsonhaven</v>
      </c>
      <c r="P42" s="8" t="str">
        <f t="array" ref="P42">XLOOKUP(D42,Product_Dim!A:A,Product_Dim!B:B,"Not Found")</f>
        <v>Wireless Bluetooth Speaker</v>
      </c>
      <c r="Q42" s="8" t="str">
        <f t="array" ref="Q42">XLOOKUP(D42,Product_Dim!A:A,Product_Dim!C:C,"Not Found")</f>
        <v>Electronics</v>
      </c>
      <c r="R42" s="8" t="str">
        <f t="array" ref="R42">XLOOKUP(E42,Store_Dim!A:A,Store_Dim!B:B,"Not Found")</f>
        <v>East</v>
      </c>
      <c r="S42" s="8" t="str">
        <f t="array" ref="S42">XLOOKUP(E42,Store_Dim!A:A,Store_Dim!D:D,"Not Found")</f>
        <v>Online</v>
      </c>
    </row>
    <row r="43" ht="14.25" customHeight="1">
      <c r="A43" s="8" t="s">
        <v>1995</v>
      </c>
      <c r="B43" s="12">
        <v>45521.0</v>
      </c>
      <c r="C43" s="8" t="s">
        <v>969</v>
      </c>
      <c r="D43" s="8" t="s">
        <v>1652</v>
      </c>
      <c r="E43" s="8" t="s">
        <v>1921</v>
      </c>
      <c r="F43" s="8">
        <v>3.0</v>
      </c>
      <c r="G43" s="8">
        <v>342.47</v>
      </c>
      <c r="H43" s="8">
        <v>0.08</v>
      </c>
      <c r="I43" s="8">
        <f t="shared" si="1"/>
        <v>1027.41</v>
      </c>
      <c r="J43" s="8">
        <f t="shared" si="2"/>
        <v>-82.1128</v>
      </c>
      <c r="K43" s="8" t="str">
        <f t="shared" si="3"/>
        <v>Aug</v>
      </c>
      <c r="L43" s="8">
        <f t="shared" si="4"/>
        <v>2024</v>
      </c>
      <c r="N43" s="8" t="str">
        <f t="array" ref="N43">XLOOKUP(C43,Customer_Dim!A:A,Customer_Dim!B:B,"Not Found")</f>
        <v>Edward Cole</v>
      </c>
      <c r="O43" s="8" t="str">
        <f t="array" ref="O43">XLOOKUP(C43,Customer_Dim!A:A,Customer_Dim!E:E,"Not Found")</f>
        <v>Lake Charlotte</v>
      </c>
      <c r="P43" s="8" t="str">
        <f t="array" ref="P43">XLOOKUP(D43,Product_Dim!A:A,Product_Dim!B:B,"Not Found")</f>
        <v>Men's Formal Shirt</v>
      </c>
      <c r="Q43" s="8" t="str">
        <f t="array" ref="Q43">XLOOKUP(D43,Product_Dim!A:A,Product_Dim!C:C,"Not Found")</f>
        <v>Clothing</v>
      </c>
      <c r="R43" s="8" t="str">
        <f t="array" ref="R43">XLOOKUP(E43,Store_Dim!A:A,Store_Dim!B:B,"Not Found")</f>
        <v>West</v>
      </c>
      <c r="S43" s="8" t="str">
        <f t="array" ref="S43">XLOOKUP(E43,Store_Dim!A:A,Store_Dim!D:D,"Not Found")</f>
        <v>Online</v>
      </c>
    </row>
    <row r="44" ht="14.25" customHeight="1">
      <c r="A44" s="8" t="s">
        <v>1996</v>
      </c>
      <c r="B44" s="12">
        <v>45522.0</v>
      </c>
      <c r="C44" s="8" t="s">
        <v>1068</v>
      </c>
      <c r="D44" s="8" t="s">
        <v>1671</v>
      </c>
      <c r="E44" s="8" t="s">
        <v>1924</v>
      </c>
      <c r="F44" s="8">
        <v>2.0</v>
      </c>
      <c r="G44" s="8">
        <v>915.15</v>
      </c>
      <c r="H44" s="8">
        <v>0.16</v>
      </c>
      <c r="I44" s="8">
        <f t="shared" si="1"/>
        <v>1830.3</v>
      </c>
      <c r="J44" s="8">
        <f t="shared" si="2"/>
        <v>-292.688</v>
      </c>
      <c r="K44" s="8" t="str">
        <f t="shared" si="3"/>
        <v>Aug</v>
      </c>
      <c r="L44" s="8">
        <f t="shared" si="4"/>
        <v>2024</v>
      </c>
      <c r="N44" s="8" t="str">
        <f t="array" ref="N44">XLOOKUP(C44,Customer_Dim!A:A,Customer_Dim!B:B,"Not Found")</f>
        <v>Jennifer Woods</v>
      </c>
      <c r="O44" s="8" t="str">
        <f t="array" ref="O44">XLOOKUP(C44,Customer_Dim!A:A,Customer_Dim!E:E,"Not Found")</f>
        <v>West Brendamouth</v>
      </c>
      <c r="P44" s="8" t="str">
        <f t="array" ref="P44">XLOOKUP(D44,Product_Dim!A:A,Product_Dim!B:B,"Not Found")</f>
        <v>Fabric Sofa Throw Blanket</v>
      </c>
      <c r="Q44" s="8" t="str">
        <f t="array" ref="Q44">XLOOKUP(D44,Product_Dim!A:A,Product_Dim!C:C,"Not Found")</f>
        <v>Home</v>
      </c>
      <c r="R44" s="8" t="str">
        <f t="array" ref="R44">XLOOKUP(E44,Store_Dim!A:A,Store_Dim!B:B,"Not Found")</f>
        <v>South</v>
      </c>
      <c r="S44" s="8" t="str">
        <f t="array" ref="S44">XLOOKUP(E44,Store_Dim!A:A,Store_Dim!D:D,"Not Found")</f>
        <v>Flagship</v>
      </c>
    </row>
    <row r="45" ht="14.25" customHeight="1">
      <c r="A45" s="8" t="s">
        <v>1997</v>
      </c>
      <c r="B45" s="12">
        <v>45523.0</v>
      </c>
      <c r="C45" s="8" t="s">
        <v>314</v>
      </c>
      <c r="D45" s="8" t="s">
        <v>1684</v>
      </c>
      <c r="E45" s="8" t="s">
        <v>1937</v>
      </c>
      <c r="G45" s="8">
        <v>863.11</v>
      </c>
      <c r="H45" s="8">
        <v>0.28</v>
      </c>
      <c r="I45" s="8">
        <f t="shared" si="1"/>
        <v>0</v>
      </c>
      <c r="J45" s="8">
        <f t="shared" si="2"/>
        <v>0.28</v>
      </c>
      <c r="K45" s="8" t="str">
        <f t="shared" si="3"/>
        <v>Aug</v>
      </c>
      <c r="L45" s="8">
        <f t="shared" si="4"/>
        <v>2024</v>
      </c>
      <c r="N45" s="8" t="str">
        <f t="array" ref="N45">XLOOKUP(C45,Customer_Dim!A:A,Customer_Dim!B:B,"Not Found")</f>
        <v>Christy Hoffman</v>
      </c>
      <c r="O45" s="8" t="str">
        <f t="array" ref="O45">XLOOKUP(C45,Customer_Dim!A:A,Customer_Dim!E:E,"Not Found")</f>
        <v>Garyberg</v>
      </c>
      <c r="P45" s="8" t="str">
        <f t="array" ref="P45">XLOOKUP(D45,Product_Dim!A:A,Product_Dim!B:B,"Not Found")</f>
        <v>Modern Wall Clock</v>
      </c>
      <c r="Q45" s="8" t="str">
        <f t="array" ref="Q45">XLOOKUP(D45,Product_Dim!A:A,Product_Dim!C:C,"Not Found")</f>
        <v>Home</v>
      </c>
      <c r="R45" s="8" t="str">
        <f t="array" ref="R45">XLOOKUP(E45,Store_Dim!A:A,Store_Dim!B:B,"Not Found")</f>
        <v>North</v>
      </c>
      <c r="S45" s="8" t="str">
        <f t="array" ref="S45">XLOOKUP(E45,Store_Dim!A:A,Store_Dim!D:D,"Not Found")</f>
        <v>Flagship</v>
      </c>
    </row>
    <row r="46" ht="14.25" customHeight="1">
      <c r="A46" s="8" t="s">
        <v>1998</v>
      </c>
      <c r="B46" s="12">
        <v>45524.0</v>
      </c>
      <c r="C46" s="8" t="s">
        <v>675</v>
      </c>
      <c r="D46" s="8" t="s">
        <v>1716</v>
      </c>
      <c r="E46" s="8" t="s">
        <v>1929</v>
      </c>
      <c r="F46" s="8">
        <v>2.0</v>
      </c>
      <c r="G46" s="8">
        <v>209.32</v>
      </c>
      <c r="H46" s="8">
        <v>0.23</v>
      </c>
      <c r="I46" s="8">
        <f t="shared" si="1"/>
        <v>418.64</v>
      </c>
      <c r="J46" s="8">
        <f t="shared" si="2"/>
        <v>-96.0572</v>
      </c>
      <c r="K46" s="8" t="str">
        <f t="shared" si="3"/>
        <v>Aug</v>
      </c>
      <c r="L46" s="8">
        <f t="shared" si="4"/>
        <v>2024</v>
      </c>
      <c r="N46" s="8" t="str">
        <f t="array" ref="N46">XLOOKUP(C46,Customer_Dim!A:A,Customer_Dim!B:B,"Not Found")</f>
        <v>Sarah Brady</v>
      </c>
      <c r="O46" s="8" t="str">
        <f t="array" ref="O46">XLOOKUP(C46,Customer_Dim!A:A,Customer_Dim!E:E,"Not Found")</f>
        <v>Johnsonland</v>
      </c>
      <c r="P46" s="8" t="str">
        <f t="array" ref="P46">XLOOKUP(D46,Product_Dim!A:A,Product_Dim!B:B,"Not Found")</f>
        <v>USB External Hard Drive</v>
      </c>
      <c r="Q46" s="8" t="str">
        <f t="array" ref="Q46">XLOOKUP(D46,Product_Dim!A:A,Product_Dim!C:C,"Not Found")</f>
        <v>Electronics</v>
      </c>
      <c r="R46" s="8" t="str">
        <f t="array" ref="R46">XLOOKUP(E46,Store_Dim!A:A,Store_Dim!B:B,"Not Found")</f>
        <v>North</v>
      </c>
      <c r="S46" s="8" t="str">
        <f t="array" ref="S46">XLOOKUP(E46,Store_Dim!A:A,Store_Dim!D:D,"Not Found")</f>
        <v>Online</v>
      </c>
    </row>
    <row r="47" ht="14.25" customHeight="1">
      <c r="A47" s="8" t="s">
        <v>1999</v>
      </c>
      <c r="B47" s="12">
        <v>45525.0</v>
      </c>
      <c r="C47" s="8" t="s">
        <v>1465</v>
      </c>
      <c r="D47" s="8" t="s">
        <v>1766</v>
      </c>
      <c r="E47" s="8" t="s">
        <v>1921</v>
      </c>
      <c r="F47" s="8">
        <v>4.0</v>
      </c>
      <c r="G47" s="8">
        <v>288.6</v>
      </c>
      <c r="H47" s="8">
        <v>0.09</v>
      </c>
      <c r="I47" s="8">
        <f t="shared" si="1"/>
        <v>1154.4</v>
      </c>
      <c r="J47" s="8">
        <f t="shared" si="2"/>
        <v>-103.806</v>
      </c>
      <c r="K47" s="8" t="str">
        <f t="shared" si="3"/>
        <v>Aug</v>
      </c>
      <c r="L47" s="8">
        <f t="shared" si="4"/>
        <v>2024</v>
      </c>
      <c r="N47" s="8" t="str">
        <f t="array" ref="N47">XLOOKUP(C47,Customer_Dim!A:A,Customer_Dim!B:B,"Not Found")</f>
        <v>Manuel Fisher</v>
      </c>
      <c r="O47" s="8" t="str">
        <f t="array" ref="O47">XLOOKUP(C47,Customer_Dim!A:A,Customer_Dim!E:E,"Not Found")</f>
        <v>Kanebury</v>
      </c>
      <c r="P47" s="8" t="str">
        <f t="array" ref="P47">XLOOKUP(D47,Product_Dim!A:A,Product_Dim!B:B,"Not Found")</f>
        <v>Men's Hair Styling Gel</v>
      </c>
      <c r="Q47" s="8" t="str">
        <f t="array" ref="Q47">XLOOKUP(D47,Product_Dim!A:A,Product_Dim!C:C,"Not Found")</f>
        <v>Beauty</v>
      </c>
      <c r="R47" s="8" t="str">
        <f t="array" ref="R47">XLOOKUP(E47,Store_Dim!A:A,Store_Dim!B:B,"Not Found")</f>
        <v>West</v>
      </c>
      <c r="S47" s="8" t="str">
        <f t="array" ref="S47">XLOOKUP(E47,Store_Dim!A:A,Store_Dim!D:D,"Not Found")</f>
        <v>Online</v>
      </c>
    </row>
    <row r="48" ht="14.25" customHeight="1">
      <c r="A48" s="8" t="s">
        <v>2000</v>
      </c>
      <c r="B48" s="12">
        <v>45526.0</v>
      </c>
      <c r="C48" s="8" t="s">
        <v>268</v>
      </c>
      <c r="D48" s="8" t="s">
        <v>1824</v>
      </c>
      <c r="E48" s="8" t="s">
        <v>1935</v>
      </c>
      <c r="F48" s="8">
        <v>1.0</v>
      </c>
      <c r="G48" s="8">
        <v>418.69</v>
      </c>
      <c r="H48" s="8">
        <v>0.06</v>
      </c>
      <c r="I48" s="8">
        <f t="shared" si="1"/>
        <v>418.69</v>
      </c>
      <c r="J48" s="8">
        <f t="shared" si="2"/>
        <v>-25.0614</v>
      </c>
      <c r="K48" s="8" t="str">
        <f t="shared" si="3"/>
        <v>Aug</v>
      </c>
      <c r="L48" s="8">
        <f t="shared" si="4"/>
        <v>2024</v>
      </c>
      <c r="N48" s="8" t="str">
        <f t="array" ref="N48">XLOOKUP(C48,Customer_Dim!A:A,Customer_Dim!B:B,"Not Found")</f>
        <v>Eric Singh</v>
      </c>
      <c r="O48" s="8" t="str">
        <f t="array" ref="O48">XLOOKUP(C48,Customer_Dim!A:A,Customer_Dim!E:E,"Not Found")</f>
        <v>Port Lisa</v>
      </c>
      <c r="P48" s="8" t="str">
        <f t="array" ref="P48">XLOOKUP(D48,Product_Dim!A:A,Product_Dim!B:B,"Not Found")</f>
        <v>Essential Oil Diffuser</v>
      </c>
      <c r="Q48" s="8" t="str">
        <f t="array" ref="Q48">XLOOKUP(D48,Product_Dim!A:A,Product_Dim!C:C,"Not Found")</f>
        <v>Home</v>
      </c>
      <c r="R48" s="8" t="str">
        <f t="array" ref="R48">XLOOKUP(E48,Store_Dim!A:A,Store_Dim!B:B,"Not Found")</f>
        <v>West</v>
      </c>
      <c r="S48" s="8" t="str">
        <f t="array" ref="S48">XLOOKUP(E48,Store_Dim!A:A,Store_Dim!D:D,"Not Found")</f>
        <v>Flagship</v>
      </c>
    </row>
    <row r="49" ht="14.25" customHeight="1">
      <c r="A49" s="8" t="s">
        <v>2001</v>
      </c>
      <c r="B49" s="12">
        <v>45527.0</v>
      </c>
      <c r="C49" s="8" t="s">
        <v>52</v>
      </c>
      <c r="D49" s="8" t="s">
        <v>1674</v>
      </c>
      <c r="E49" s="8" t="s">
        <v>1928</v>
      </c>
      <c r="F49" s="8">
        <v>1.0</v>
      </c>
      <c r="G49" s="8">
        <v>135.78</v>
      </c>
      <c r="H49" s="8">
        <v>0.14</v>
      </c>
      <c r="I49" s="8">
        <f t="shared" si="1"/>
        <v>135.78</v>
      </c>
      <c r="J49" s="8">
        <f t="shared" si="2"/>
        <v>-18.8692</v>
      </c>
      <c r="K49" s="8" t="str">
        <f t="shared" si="3"/>
        <v>Aug</v>
      </c>
      <c r="L49" s="8">
        <f t="shared" si="4"/>
        <v>2024</v>
      </c>
      <c r="N49" s="8" t="str">
        <f t="array" ref="N49">XLOOKUP(C49,Customer_Dim!A:A,Customer_Dim!B:B,"Not Found")</f>
        <v>Melissa Howard</v>
      </c>
      <c r="O49" s="8" t="str">
        <f t="array" ref="O49">XLOOKUP(C49,Customer_Dim!A:A,Customer_Dim!E:E,"Not Found")</f>
        <v>Maynardton</v>
      </c>
      <c r="P49" s="8" t="str">
        <f t="array" ref="P49">XLOOKUP(D49,Product_Dim!A:A,Product_Dim!B:B,"Not Found")</f>
        <v>Stainless Steel Cutlery Set</v>
      </c>
      <c r="Q49" s="8" t="str">
        <f t="array" ref="Q49">XLOOKUP(D49,Product_Dim!A:A,Product_Dim!C:C,"Not Found")</f>
        <v>Home</v>
      </c>
      <c r="R49" s="8" t="str">
        <f t="array" ref="R49">XLOOKUP(E49,Store_Dim!A:A,Store_Dim!B:B,"Not Found")</f>
        <v>South</v>
      </c>
      <c r="S49" s="8" t="str">
        <f t="array" ref="S49">XLOOKUP(E49,Store_Dim!A:A,Store_Dim!D:D,"Not Found")</f>
        <v>Online</v>
      </c>
    </row>
    <row r="50" ht="14.25" customHeight="1">
      <c r="A50" s="8" t="s">
        <v>2002</v>
      </c>
      <c r="B50" s="12">
        <v>45528.0</v>
      </c>
      <c r="C50" s="8" t="s">
        <v>675</v>
      </c>
      <c r="D50" s="8" t="s">
        <v>1719</v>
      </c>
      <c r="E50" s="8" t="s">
        <v>1937</v>
      </c>
      <c r="F50" s="8">
        <v>1.0</v>
      </c>
      <c r="G50" s="8">
        <v>517.13</v>
      </c>
      <c r="H50" s="8">
        <v>0.28</v>
      </c>
      <c r="I50" s="8">
        <f t="shared" si="1"/>
        <v>517.13</v>
      </c>
      <c r="J50" s="8">
        <f t="shared" si="2"/>
        <v>-144.5164</v>
      </c>
      <c r="K50" s="8" t="str">
        <f t="shared" si="3"/>
        <v>Aug</v>
      </c>
      <c r="L50" s="8">
        <f t="shared" si="4"/>
        <v>2024</v>
      </c>
      <c r="N50" s="8" t="str">
        <f t="array" ref="N50">XLOOKUP(C50,Customer_Dim!A:A,Customer_Dim!B:B,"Not Found")</f>
        <v>Sarah Brady</v>
      </c>
      <c r="O50" s="8" t="str">
        <f t="array" ref="O50">XLOOKUP(C50,Customer_Dim!A:A,Customer_Dim!E:E,"Not Found")</f>
        <v>Johnsonland</v>
      </c>
      <c r="P50" s="8" t="str">
        <f t="array" ref="P50">XLOOKUP(D50,Product_Dim!A:A,Product_Dim!B:B,"Not Found")</f>
        <v>Adjustable Jump Rope</v>
      </c>
      <c r="Q50" s="8" t="str">
        <f t="array" ref="Q50">XLOOKUP(D50,Product_Dim!A:A,Product_Dim!C:C,"Not Found")</f>
        <v>Sports</v>
      </c>
      <c r="R50" s="8" t="str">
        <f t="array" ref="R50">XLOOKUP(E50,Store_Dim!A:A,Store_Dim!B:B,"Not Found")</f>
        <v>North</v>
      </c>
      <c r="S50" s="8" t="str">
        <f t="array" ref="S50">XLOOKUP(E50,Store_Dim!A:A,Store_Dim!D:D,"Not Found")</f>
        <v>Flagship</v>
      </c>
    </row>
    <row r="51" ht="14.25" customHeight="1">
      <c r="A51" s="8" t="s">
        <v>2003</v>
      </c>
      <c r="B51" s="12">
        <v>45529.0</v>
      </c>
      <c r="C51" s="8" t="s">
        <v>1320</v>
      </c>
      <c r="D51" s="8" t="s">
        <v>1645</v>
      </c>
      <c r="E51" s="8" t="s">
        <v>1935</v>
      </c>
      <c r="F51" s="8">
        <v>2.0</v>
      </c>
      <c r="G51" s="8">
        <v>384.66</v>
      </c>
      <c r="H51" s="8">
        <v>0.08</v>
      </c>
      <c r="I51" s="8">
        <f t="shared" si="1"/>
        <v>769.32</v>
      </c>
      <c r="J51" s="8">
        <f t="shared" si="2"/>
        <v>-61.4656</v>
      </c>
      <c r="K51" s="8" t="str">
        <f t="shared" si="3"/>
        <v>Aug</v>
      </c>
      <c r="L51" s="8">
        <f t="shared" si="4"/>
        <v>2024</v>
      </c>
      <c r="N51" s="8" t="str">
        <f t="array" ref="N51">XLOOKUP(C51,Customer_Dim!A:A,Customer_Dim!B:B,"Not Found")</f>
        <v>Dr. Tamara White MD</v>
      </c>
      <c r="O51" s="8" t="str">
        <f t="array" ref="O51">XLOOKUP(C51,Customer_Dim!A:A,Customer_Dim!E:E,"Not Found")</f>
        <v>New Benjamin</v>
      </c>
      <c r="P51" s="8" t="str">
        <f t="array" ref="P51">XLOOKUP(D51,Product_Dim!A:A,Product_Dim!B:B,"Not Found")</f>
        <v>Multi-Purpose Storage Box</v>
      </c>
      <c r="Q51" s="8" t="str">
        <f t="array" ref="Q51">XLOOKUP(D51,Product_Dim!A:A,Product_Dim!C:C,"Not Found")</f>
        <v>Home</v>
      </c>
      <c r="R51" s="8" t="str">
        <f t="array" ref="R51">XLOOKUP(E51,Store_Dim!A:A,Store_Dim!B:B,"Not Found")</f>
        <v>West</v>
      </c>
      <c r="S51" s="8" t="str">
        <f t="array" ref="S51">XLOOKUP(E51,Store_Dim!A:A,Store_Dim!D:D,"Not Found")</f>
        <v>Flagship</v>
      </c>
    </row>
    <row r="52" ht="14.25" customHeight="1">
      <c r="A52" s="8" t="s">
        <v>2004</v>
      </c>
      <c r="B52" s="12">
        <v>45530.0</v>
      </c>
      <c r="C52" s="8" t="s">
        <v>268</v>
      </c>
      <c r="D52" s="8" t="s">
        <v>1745</v>
      </c>
      <c r="E52" s="8" t="s">
        <v>1924</v>
      </c>
      <c r="F52" s="8">
        <v>3.0</v>
      </c>
      <c r="G52" s="8">
        <v>83.7</v>
      </c>
      <c r="H52" s="8">
        <v>0.24</v>
      </c>
      <c r="I52" s="8">
        <f t="shared" si="1"/>
        <v>251.1</v>
      </c>
      <c r="J52" s="8">
        <f t="shared" si="2"/>
        <v>-60.024</v>
      </c>
      <c r="K52" s="8" t="str">
        <f t="shared" si="3"/>
        <v>Aug</v>
      </c>
      <c r="L52" s="8">
        <f t="shared" si="4"/>
        <v>2024</v>
      </c>
      <c r="N52" s="8" t="str">
        <f t="array" ref="N52">XLOOKUP(C52,Customer_Dim!A:A,Customer_Dim!B:B,"Not Found")</f>
        <v>Eric Singh</v>
      </c>
      <c r="O52" s="8" t="str">
        <f t="array" ref="O52">XLOOKUP(C52,Customer_Dim!A:A,Customer_Dim!E:E,"Not Found")</f>
        <v>Port Lisa</v>
      </c>
      <c r="P52" s="8" t="str">
        <f t="array" ref="P52">XLOOKUP(D52,Product_Dim!A:A,Product_Dim!B:B,"Not Found")</f>
        <v>Rugby Ball</v>
      </c>
      <c r="Q52" s="8" t="str">
        <f t="array" ref="Q52">XLOOKUP(D52,Product_Dim!A:A,Product_Dim!C:C,"Not Found")</f>
        <v>Sports</v>
      </c>
      <c r="R52" s="8" t="str">
        <f t="array" ref="R52">XLOOKUP(E52,Store_Dim!A:A,Store_Dim!B:B,"Not Found")</f>
        <v>South</v>
      </c>
      <c r="S52" s="8" t="str">
        <f t="array" ref="S52">XLOOKUP(E52,Store_Dim!A:A,Store_Dim!D:D,"Not Found")</f>
        <v>Flagship</v>
      </c>
    </row>
    <row r="53" ht="14.25" customHeight="1">
      <c r="A53" s="8" t="s">
        <v>2005</v>
      </c>
      <c r="B53" s="12">
        <v>45531.0</v>
      </c>
      <c r="C53" s="8" t="s">
        <v>493</v>
      </c>
      <c r="D53" s="8" t="s">
        <v>1797</v>
      </c>
      <c r="E53" s="8" t="s">
        <v>1919</v>
      </c>
      <c r="F53" s="8">
        <v>3.0</v>
      </c>
      <c r="G53" s="8">
        <v>76.57</v>
      </c>
      <c r="H53" s="8">
        <v>0.26</v>
      </c>
      <c r="I53" s="8">
        <f t="shared" si="1"/>
        <v>229.71</v>
      </c>
      <c r="J53" s="8">
        <f t="shared" si="2"/>
        <v>-59.4646</v>
      </c>
      <c r="K53" s="8" t="str">
        <f t="shared" si="3"/>
        <v>Aug</v>
      </c>
      <c r="L53" s="8">
        <f t="shared" si="4"/>
        <v>2024</v>
      </c>
      <c r="N53" s="8" t="str">
        <f t="array" ref="N53">XLOOKUP(C53,Customer_Dim!A:A,Customer_Dim!B:B,"Not Found")</f>
        <v>Maria Ramirez</v>
      </c>
      <c r="O53" s="8" t="str">
        <f t="array" ref="O53">XLOOKUP(C53,Customer_Dim!A:A,Customer_Dim!E:E,"Not Found")</f>
        <v>West Brandon</v>
      </c>
      <c r="P53" s="8" t="str">
        <f t="array" ref="P53">XLOOKUP(D53,Product_Dim!A:A,Product_Dim!B:B,"Not Found")</f>
        <v>Men's Sports Shorts</v>
      </c>
      <c r="Q53" s="8" t="str">
        <f t="array" ref="Q53">XLOOKUP(D53,Product_Dim!A:A,Product_Dim!C:C,"Not Found")</f>
        <v>Clothing</v>
      </c>
      <c r="R53" s="8" t="str">
        <f t="array" ref="R53">XLOOKUP(E53,Store_Dim!A:A,Store_Dim!B:B,"Not Found")</f>
        <v>South</v>
      </c>
      <c r="S53" s="8" t="str">
        <f t="array" ref="S53">XLOOKUP(E53,Store_Dim!A:A,Store_Dim!D:D,"Not Found")</f>
        <v>Online</v>
      </c>
    </row>
    <row r="54" ht="14.25" customHeight="1">
      <c r="A54" s="8" t="s">
        <v>2006</v>
      </c>
      <c r="B54" s="12">
        <v>45532.0</v>
      </c>
      <c r="C54" s="8" t="s">
        <v>511</v>
      </c>
      <c r="D54" s="8" t="s">
        <v>1857</v>
      </c>
      <c r="E54" s="8" t="s">
        <v>1917</v>
      </c>
      <c r="F54" s="8">
        <v>3.0</v>
      </c>
      <c r="I54" s="8">
        <f t="shared" si="1"/>
        <v>0</v>
      </c>
      <c r="J54" s="8">
        <f t="shared" si="2"/>
        <v>0</v>
      </c>
      <c r="K54" s="8" t="str">
        <f t="shared" si="3"/>
        <v>Aug</v>
      </c>
      <c r="L54" s="8">
        <f t="shared" si="4"/>
        <v>2024</v>
      </c>
      <c r="N54" s="8" t="str">
        <f t="array" ref="N54">XLOOKUP(C54,Customer_Dim!A:A,Customer_Dim!B:B,"Not Found")</f>
        <v>Theresa Campbell</v>
      </c>
      <c r="O54" s="8" t="str">
        <f t="array" ref="O54">XLOOKUP(C54,Customer_Dim!A:A,Customer_Dim!E:E,"Not Found")</f>
        <v>New Brian</v>
      </c>
      <c r="P54" s="8" t="str">
        <f t="array" ref="P54">XLOOKUP(D54,Product_Dim!A:A,Product_Dim!B:B,"Not Found")</f>
        <v>Face Foundation Kit</v>
      </c>
      <c r="Q54" s="8" t="str">
        <f t="array" ref="Q54">XLOOKUP(D54,Product_Dim!A:A,Product_Dim!C:C,"Not Found")</f>
        <v>Beauty</v>
      </c>
      <c r="R54" s="8" t="str">
        <f t="array" ref="R54">XLOOKUP(E54,Store_Dim!A:A,Store_Dim!B:B,"Not Found")</f>
        <v>East</v>
      </c>
      <c r="S54" s="8" t="str">
        <f t="array" ref="S54">XLOOKUP(E54,Store_Dim!A:A,Store_Dim!D:D,"Not Found")</f>
        <v>Online</v>
      </c>
    </row>
    <row r="55" ht="14.25" customHeight="1">
      <c r="A55" s="8" t="s">
        <v>2007</v>
      </c>
      <c r="B55" s="12">
        <v>45533.0</v>
      </c>
      <c r="C55" s="8" t="s">
        <v>1035</v>
      </c>
      <c r="D55" s="8" t="s">
        <v>1642</v>
      </c>
      <c r="E55" s="8" t="s">
        <v>1921</v>
      </c>
      <c r="F55" s="8">
        <v>1.0</v>
      </c>
      <c r="G55" s="8">
        <v>900.35</v>
      </c>
      <c r="H55" s="8">
        <v>0.13</v>
      </c>
      <c r="I55" s="8">
        <f t="shared" si="1"/>
        <v>900.35</v>
      </c>
      <c r="J55" s="8">
        <f t="shared" si="2"/>
        <v>-116.9155</v>
      </c>
      <c r="K55" s="8" t="str">
        <f t="shared" si="3"/>
        <v>Aug</v>
      </c>
      <c r="L55" s="8">
        <f t="shared" si="4"/>
        <v>2024</v>
      </c>
      <c r="N55" s="8" t="str">
        <f t="array" ref="N55">XLOOKUP(C55,Customer_Dim!A:A,Customer_Dim!B:B,"Not Found")</f>
        <v>Alex Mann II</v>
      </c>
      <c r="O55" s="8" t="str">
        <f t="array" ref="O55">XLOOKUP(C55,Customer_Dim!A:A,Customer_Dim!E:E,"Not Found")</f>
        <v>South Zacharychester</v>
      </c>
      <c r="P55" s="8" t="str">
        <f t="array" ref="P55">XLOOKUP(D55,Product_Dim!A:A,Product_Dim!B:B,"Not Found")</f>
        <v>Outdoor Sports Water Bottle</v>
      </c>
      <c r="Q55" s="8" t="str">
        <f t="array" ref="Q55">XLOOKUP(D55,Product_Dim!A:A,Product_Dim!C:C,"Not Found")</f>
        <v>Sports</v>
      </c>
      <c r="R55" s="8" t="str">
        <f t="array" ref="R55">XLOOKUP(E55,Store_Dim!A:A,Store_Dim!B:B,"Not Found")</f>
        <v>West</v>
      </c>
      <c r="S55" s="8" t="str">
        <f t="array" ref="S55">XLOOKUP(E55,Store_Dim!A:A,Store_Dim!D:D,"Not Found")</f>
        <v>Online</v>
      </c>
    </row>
    <row r="56" ht="14.25" customHeight="1">
      <c r="A56" s="8" t="s">
        <v>2008</v>
      </c>
      <c r="B56" s="12">
        <v>45534.0</v>
      </c>
      <c r="C56" s="8" t="s">
        <v>351</v>
      </c>
      <c r="D56" s="8" t="s">
        <v>1707</v>
      </c>
      <c r="E56" s="8" t="s">
        <v>1926</v>
      </c>
      <c r="F56" s="8">
        <v>4.0</v>
      </c>
      <c r="G56" s="8">
        <v>428.09</v>
      </c>
      <c r="H56" s="8">
        <v>0.07</v>
      </c>
      <c r="I56" s="8">
        <f t="shared" si="1"/>
        <v>1712.36</v>
      </c>
      <c r="J56" s="8">
        <f t="shared" si="2"/>
        <v>-119.7952</v>
      </c>
      <c r="K56" s="8" t="str">
        <f t="shared" si="3"/>
        <v>Aug</v>
      </c>
      <c r="L56" s="8">
        <f t="shared" si="4"/>
        <v>2024</v>
      </c>
      <c r="N56" s="8" t="str">
        <f t="array" ref="N56">XLOOKUP(C56,Customer_Dim!A:A,Customer_Dim!B:B,"Not Found")</f>
        <v>Amy Fowler</v>
      </c>
      <c r="O56" s="8" t="str">
        <f t="array" ref="O56">XLOOKUP(C56,Customer_Dim!A:A,Customer_Dim!E:E,"Not Found")</f>
        <v>West Bobbyshire</v>
      </c>
      <c r="P56" s="8" t="str">
        <f t="array" ref="P56">XLOOKUP(D56,Product_Dim!A:A,Product_Dim!B:B,"Not Found")</f>
        <v>Noise-Canceling Headphones</v>
      </c>
      <c r="Q56" s="8" t="str">
        <f t="array" ref="Q56">XLOOKUP(D56,Product_Dim!A:A,Product_Dim!C:C,"Not Found")</f>
        <v>Electronics</v>
      </c>
      <c r="R56" s="8" t="str">
        <f t="array" ref="R56">XLOOKUP(E56,Store_Dim!A:A,Store_Dim!B:B,"Not Found")</f>
        <v>East</v>
      </c>
      <c r="S56" s="8" t="str">
        <f t="array" ref="S56">XLOOKUP(E56,Store_Dim!A:A,Store_Dim!D:D,"Not Found")</f>
        <v>Online</v>
      </c>
    </row>
    <row r="57" ht="14.25" customHeight="1">
      <c r="A57" s="8" t="s">
        <v>2009</v>
      </c>
      <c r="B57" s="12">
        <v>45535.0</v>
      </c>
      <c r="C57" s="8" t="s">
        <v>1308</v>
      </c>
      <c r="D57" s="8" t="s">
        <v>1735</v>
      </c>
      <c r="E57" s="8" t="s">
        <v>1928</v>
      </c>
      <c r="F57" s="8">
        <v>2.0</v>
      </c>
      <c r="G57" s="8">
        <v>559.71</v>
      </c>
      <c r="H57" s="8">
        <v>0.3</v>
      </c>
      <c r="I57" s="8">
        <f t="shared" si="1"/>
        <v>1119.42</v>
      </c>
      <c r="J57" s="8">
        <f t="shared" si="2"/>
        <v>-335.526</v>
      </c>
      <c r="K57" s="8" t="str">
        <f t="shared" si="3"/>
        <v>Aug</v>
      </c>
      <c r="L57" s="8">
        <f t="shared" si="4"/>
        <v>2024</v>
      </c>
      <c r="N57" s="8" t="str">
        <f t="array" ref="N57">XLOOKUP(C57,Customer_Dim!A:A,Customer_Dim!B:B,"Not Found")</f>
        <v>Jennifer Myers</v>
      </c>
      <c r="O57" s="8" t="str">
        <f t="array" ref="O57">XLOOKUP(C57,Customer_Dim!A:A,Customer_Dim!E:E,"Not Found")</f>
        <v>Marthaborough</v>
      </c>
      <c r="P57" s="8" t="str">
        <f t="array" ref="P57">XLOOKUP(D57,Product_Dim!A:A,Product_Dim!B:B,"Not Found")</f>
        <v>Men's Roll-On Perfume</v>
      </c>
      <c r="Q57" s="8" t="str">
        <f t="array" ref="Q57">XLOOKUP(D57,Product_Dim!A:A,Product_Dim!C:C,"Not Found")</f>
        <v>Beauty</v>
      </c>
      <c r="R57" s="8" t="str">
        <f t="array" ref="R57">XLOOKUP(E57,Store_Dim!A:A,Store_Dim!B:B,"Not Found")</f>
        <v>South</v>
      </c>
      <c r="S57" s="8" t="str">
        <f t="array" ref="S57">XLOOKUP(E57,Store_Dim!A:A,Store_Dim!D:D,"Not Found")</f>
        <v>Online</v>
      </c>
    </row>
    <row r="58" ht="14.25" customHeight="1">
      <c r="A58" s="8" t="s">
        <v>2010</v>
      </c>
      <c r="B58" s="12">
        <v>45536.0</v>
      </c>
      <c r="C58" s="8" t="s">
        <v>302</v>
      </c>
      <c r="D58" s="8" t="s">
        <v>1687</v>
      </c>
      <c r="E58" s="8" t="s">
        <v>1917</v>
      </c>
      <c r="F58" s="8">
        <v>2.0</v>
      </c>
      <c r="G58" s="8">
        <v>833.7</v>
      </c>
      <c r="H58" s="8">
        <v>0.06</v>
      </c>
      <c r="I58" s="8">
        <f t="shared" si="1"/>
        <v>1667.4</v>
      </c>
      <c r="J58" s="8">
        <f t="shared" si="2"/>
        <v>-99.984</v>
      </c>
      <c r="K58" s="8" t="str">
        <f t="shared" si="3"/>
        <v>Sep</v>
      </c>
      <c r="L58" s="8">
        <f t="shared" si="4"/>
        <v>2024</v>
      </c>
      <c r="N58" s="8" t="str">
        <f t="array" ref="N58">XLOOKUP(C58,Customer_Dim!A:A,Customer_Dim!B:B,"Not Found")</f>
        <v>Jennifer Garcia</v>
      </c>
      <c r="O58" s="8" t="str">
        <f t="array" ref="O58">XLOOKUP(C58,Customer_Dim!A:A,Customer_Dim!E:E,"Not Found")</f>
        <v>New Sean</v>
      </c>
      <c r="P58" s="8" t="str">
        <f t="array" ref="P58">XLOOKUP(D58,Product_Dim!A:A,Product_Dim!B:B,"Not Found")</f>
        <v>Gaming Mechanical Keyboard</v>
      </c>
      <c r="Q58" s="8" t="str">
        <f t="array" ref="Q58">XLOOKUP(D58,Product_Dim!A:A,Product_Dim!C:C,"Not Found")</f>
        <v>Electronics</v>
      </c>
      <c r="R58" s="8" t="str">
        <f t="array" ref="R58">XLOOKUP(E58,Store_Dim!A:A,Store_Dim!B:B,"Not Found")</f>
        <v>East</v>
      </c>
      <c r="S58" s="8" t="str">
        <f t="array" ref="S58">XLOOKUP(E58,Store_Dim!A:A,Store_Dim!D:D,"Not Found")</f>
        <v>Online</v>
      </c>
    </row>
    <row r="59" ht="14.25" customHeight="1">
      <c r="A59" s="8" t="s">
        <v>2011</v>
      </c>
      <c r="B59" s="12">
        <v>45537.0</v>
      </c>
      <c r="C59" s="8" t="s">
        <v>1456</v>
      </c>
      <c r="D59" s="8" t="s">
        <v>1728</v>
      </c>
      <c r="E59" s="8" t="s">
        <v>1932</v>
      </c>
      <c r="F59" s="8">
        <v>2.0</v>
      </c>
      <c r="G59" s="8">
        <v>680.16</v>
      </c>
      <c r="H59" s="8">
        <v>0.28</v>
      </c>
      <c r="I59" s="8">
        <f t="shared" si="1"/>
        <v>1360.32</v>
      </c>
      <c r="J59" s="8">
        <f t="shared" si="2"/>
        <v>-380.6096</v>
      </c>
      <c r="K59" s="8" t="str">
        <f t="shared" si="3"/>
        <v>Sep</v>
      </c>
      <c r="L59" s="8">
        <f t="shared" si="4"/>
        <v>2024</v>
      </c>
      <c r="N59" s="8" t="str">
        <f t="array" ref="N59">XLOOKUP(C59,Customer_Dim!A:A,Customer_Dim!B:B,"Not Found")</f>
        <v>Michael Foley</v>
      </c>
      <c r="O59" s="8" t="str">
        <f t="array" ref="O59">XLOOKUP(C59,Customer_Dim!A:A,Customer_Dim!E:E,"Not Found")</f>
        <v>Oneillfurt</v>
      </c>
      <c r="P59" s="8" t="str">
        <f t="array" ref="P59">XLOOKUP(D59,Product_Dim!A:A,Product_Dim!B:B,"Not Found")</f>
        <v>Makeup Brush Set</v>
      </c>
      <c r="Q59" s="8" t="str">
        <f t="array" ref="Q59">XLOOKUP(D59,Product_Dim!A:A,Product_Dim!C:C,"Not Found")</f>
        <v>Beauty</v>
      </c>
      <c r="R59" s="8" t="str">
        <f t="array" ref="R59">XLOOKUP(E59,Store_Dim!A:A,Store_Dim!B:B,"Not Found")</f>
        <v>South</v>
      </c>
      <c r="S59" s="8" t="str">
        <f t="array" ref="S59">XLOOKUP(E59,Store_Dim!A:A,Store_Dim!D:D,"Not Found")</f>
        <v>Outlet</v>
      </c>
    </row>
    <row r="60" ht="14.25" customHeight="1">
      <c r="A60" s="8" t="s">
        <v>2012</v>
      </c>
      <c r="B60" s="12">
        <v>45538.0</v>
      </c>
      <c r="C60" s="8" t="s">
        <v>1273</v>
      </c>
      <c r="D60" s="8" t="s">
        <v>1624</v>
      </c>
      <c r="E60" s="8" t="s">
        <v>1919</v>
      </c>
      <c r="F60" s="8">
        <v>4.0</v>
      </c>
      <c r="G60" s="8">
        <v>733.42</v>
      </c>
      <c r="I60" s="8">
        <f t="shared" si="1"/>
        <v>2933.68</v>
      </c>
      <c r="J60" s="8">
        <f t="shared" si="2"/>
        <v>0</v>
      </c>
      <c r="K60" s="8" t="str">
        <f t="shared" si="3"/>
        <v>Sep</v>
      </c>
      <c r="L60" s="8">
        <f t="shared" si="4"/>
        <v>2024</v>
      </c>
      <c r="N60" s="8" t="str">
        <f t="array" ref="N60">XLOOKUP(C60,Customer_Dim!A:A,Customer_Dim!B:B,"Not Found")</f>
        <v>David Ross</v>
      </c>
      <c r="O60" s="8" t="str">
        <f t="array" ref="O60">XLOOKUP(C60,Customer_Dim!A:A,Customer_Dim!E:E,"Not Found")</f>
        <v>South Angela</v>
      </c>
      <c r="P60" s="8" t="str">
        <f t="array" ref="P60">XLOOKUP(D60,Product_Dim!A:A,Product_Dim!B:B,"Not Found")</f>
        <v>4K Home Projector</v>
      </c>
      <c r="Q60" s="8" t="str">
        <f t="array" ref="Q60">XLOOKUP(D60,Product_Dim!A:A,Product_Dim!C:C,"Not Found")</f>
        <v>Electronics</v>
      </c>
      <c r="R60" s="8" t="str">
        <f t="array" ref="R60">XLOOKUP(E60,Store_Dim!A:A,Store_Dim!B:B,"Not Found")</f>
        <v>South</v>
      </c>
      <c r="S60" s="8" t="str">
        <f t="array" ref="S60">XLOOKUP(E60,Store_Dim!A:A,Store_Dim!D:D,"Not Found")</f>
        <v>Online</v>
      </c>
    </row>
    <row r="61" ht="14.25" customHeight="1">
      <c r="A61" s="8" t="s">
        <v>2013</v>
      </c>
      <c r="B61" s="12">
        <v>45539.0</v>
      </c>
      <c r="C61" s="8" t="s">
        <v>1164</v>
      </c>
      <c r="D61" s="8" t="s">
        <v>1857</v>
      </c>
      <c r="E61" s="8" t="s">
        <v>1928</v>
      </c>
      <c r="F61" s="8">
        <v>1.0</v>
      </c>
      <c r="G61" s="8">
        <v>996.33</v>
      </c>
      <c r="H61" s="8">
        <v>0.23</v>
      </c>
      <c r="I61" s="8">
        <f t="shared" si="1"/>
        <v>996.33</v>
      </c>
      <c r="J61" s="8">
        <f t="shared" si="2"/>
        <v>-228.9259</v>
      </c>
      <c r="K61" s="8" t="str">
        <f t="shared" si="3"/>
        <v>Sep</v>
      </c>
      <c r="L61" s="8">
        <f t="shared" si="4"/>
        <v>2024</v>
      </c>
      <c r="N61" s="8" t="str">
        <f t="array" ref="N61">XLOOKUP(C61,Customer_Dim!A:A,Customer_Dim!B:B,"Not Found")</f>
        <v>Melinda Johnson</v>
      </c>
      <c r="O61" s="8" t="str">
        <f t="array" ref="O61">XLOOKUP(C61,Customer_Dim!A:A,Customer_Dim!E:E,"Not Found")</f>
        <v>Kaufmanfurt</v>
      </c>
      <c r="P61" s="8" t="str">
        <f t="array" ref="P61">XLOOKUP(D61,Product_Dim!A:A,Product_Dim!B:B,"Not Found")</f>
        <v>Face Foundation Kit</v>
      </c>
      <c r="Q61" s="8" t="str">
        <f t="array" ref="Q61">XLOOKUP(D61,Product_Dim!A:A,Product_Dim!C:C,"Not Found")</f>
        <v>Beauty</v>
      </c>
      <c r="R61" s="8" t="str">
        <f t="array" ref="R61">XLOOKUP(E61,Store_Dim!A:A,Store_Dim!B:B,"Not Found")</f>
        <v>South</v>
      </c>
      <c r="S61" s="8" t="str">
        <f t="array" ref="S61">XLOOKUP(E61,Store_Dim!A:A,Store_Dim!D:D,"Not Found")</f>
        <v>Online</v>
      </c>
    </row>
    <row r="62" ht="14.25" customHeight="1">
      <c r="A62" s="8" t="s">
        <v>2014</v>
      </c>
      <c r="B62" s="12">
        <v>45540.0</v>
      </c>
      <c r="C62" s="8" t="s">
        <v>1285</v>
      </c>
      <c r="D62" s="8" t="s">
        <v>1677</v>
      </c>
      <c r="E62" s="8" t="s">
        <v>1926</v>
      </c>
      <c r="F62" s="8">
        <v>1.0</v>
      </c>
      <c r="G62" s="8">
        <v>198.83</v>
      </c>
      <c r="H62" s="8">
        <v>0.09</v>
      </c>
      <c r="I62" s="8">
        <f t="shared" si="1"/>
        <v>198.83</v>
      </c>
      <c r="J62" s="8">
        <f t="shared" si="2"/>
        <v>-17.8047</v>
      </c>
      <c r="K62" s="8" t="str">
        <f t="shared" si="3"/>
        <v>Sep</v>
      </c>
      <c r="L62" s="8">
        <f t="shared" si="4"/>
        <v>2024</v>
      </c>
      <c r="N62" s="8" t="str">
        <f t="array" ref="N62">XLOOKUP(C62,Customer_Dim!A:A,Customer_Dim!B:B,"Not Found")</f>
        <v>Isabel Foster</v>
      </c>
      <c r="O62" s="8" t="str">
        <f t="array" ref="O62">XLOOKUP(C62,Customer_Dim!A:A,Customer_Dim!E:E,"Not Found")</f>
        <v>Port Joshuaville</v>
      </c>
      <c r="P62" s="8" t="str">
        <f t="array" ref="P62">XLOOKUP(D62,Product_Dim!A:A,Product_Dim!B:B,"Not Found")</f>
        <v>Basketball</v>
      </c>
      <c r="Q62" s="8" t="str">
        <f t="array" ref="Q62">XLOOKUP(D62,Product_Dim!A:A,Product_Dim!C:C,"Not Found")</f>
        <v>Sports</v>
      </c>
      <c r="R62" s="8" t="str">
        <f t="array" ref="R62">XLOOKUP(E62,Store_Dim!A:A,Store_Dim!B:B,"Not Found")</f>
        <v>East</v>
      </c>
      <c r="S62" s="8" t="str">
        <f t="array" ref="S62">XLOOKUP(E62,Store_Dim!A:A,Store_Dim!D:D,"Not Found")</f>
        <v>Online</v>
      </c>
    </row>
    <row r="63" ht="14.25" customHeight="1">
      <c r="A63" s="8" t="s">
        <v>2015</v>
      </c>
      <c r="B63" s="12">
        <v>45541.0</v>
      </c>
      <c r="C63" s="8" t="s">
        <v>782</v>
      </c>
      <c r="D63" s="8" t="s">
        <v>1638</v>
      </c>
      <c r="E63" s="8" t="s">
        <v>1919</v>
      </c>
      <c r="F63" s="8">
        <v>1.0</v>
      </c>
      <c r="G63" s="8">
        <v>374.92</v>
      </c>
      <c r="H63" s="8">
        <v>0.18</v>
      </c>
      <c r="I63" s="8">
        <f t="shared" si="1"/>
        <v>374.92</v>
      </c>
      <c r="J63" s="8">
        <f t="shared" si="2"/>
        <v>-67.3056</v>
      </c>
      <c r="K63" s="8" t="str">
        <f t="shared" si="3"/>
        <v>Sep</v>
      </c>
      <c r="L63" s="8">
        <f t="shared" si="4"/>
        <v>2024</v>
      </c>
      <c r="N63" s="8" t="str">
        <f t="array" ref="N63">XLOOKUP(C63,Customer_Dim!A:A,Customer_Dim!B:B,"Not Found")</f>
        <v>Maria Hill</v>
      </c>
      <c r="O63" s="8" t="str">
        <f t="array" ref="O63">XLOOKUP(C63,Customer_Dim!A:A,Customer_Dim!E:E,"Not Found")</f>
        <v>Zamoraborough</v>
      </c>
      <c r="P63" s="8" t="str">
        <f t="array" ref="P63">XLOOKUP(D63,Product_Dim!A:A,Product_Dim!B:B,"Not Found")</f>
        <v>Knee Support Brace</v>
      </c>
      <c r="Q63" s="8" t="str">
        <f t="array" ref="Q63">XLOOKUP(D63,Product_Dim!A:A,Product_Dim!C:C,"Not Found")</f>
        <v>Sports</v>
      </c>
      <c r="R63" s="8" t="str">
        <f t="array" ref="R63">XLOOKUP(E63,Store_Dim!A:A,Store_Dim!B:B,"Not Found")</f>
        <v>South</v>
      </c>
      <c r="S63" s="8" t="str">
        <f t="array" ref="S63">XLOOKUP(E63,Store_Dim!A:A,Store_Dim!D:D,"Not Found")</f>
        <v>Online</v>
      </c>
    </row>
    <row r="64" ht="14.25" customHeight="1">
      <c r="A64" s="8" t="s">
        <v>2016</v>
      </c>
      <c r="B64" s="12">
        <v>45542.0</v>
      </c>
      <c r="C64" s="8" t="s">
        <v>1447</v>
      </c>
      <c r="D64" s="8" t="s">
        <v>1869</v>
      </c>
      <c r="E64" s="8" t="s">
        <v>1935</v>
      </c>
      <c r="F64" s="8">
        <v>1.0</v>
      </c>
      <c r="G64" s="8">
        <v>468.94</v>
      </c>
      <c r="H64" s="8">
        <v>0.12</v>
      </c>
      <c r="I64" s="8">
        <f t="shared" si="1"/>
        <v>468.94</v>
      </c>
      <c r="J64" s="8">
        <f t="shared" si="2"/>
        <v>-56.1528</v>
      </c>
      <c r="K64" s="8" t="str">
        <f t="shared" si="3"/>
        <v>Sep</v>
      </c>
      <c r="L64" s="8">
        <f t="shared" si="4"/>
        <v>2024</v>
      </c>
      <c r="N64" s="8" t="str">
        <f t="array" ref="N64">XLOOKUP(C64,Customer_Dim!A:A,Customer_Dim!B:B,"Not Found")</f>
        <v>David Pierce</v>
      </c>
      <c r="O64" s="8" t="str">
        <f t="array" ref="O64">XLOOKUP(C64,Customer_Dim!A:A,Customer_Dim!E:E,"Not Found")</f>
        <v>Grayland</v>
      </c>
      <c r="P64" s="8" t="str">
        <f t="array" ref="P64">XLOOKUP(D64,Product_Dim!A:A,Product_Dim!B:B,"Not Found")</f>
        <v>USB-C Laptop Charger</v>
      </c>
      <c r="Q64" s="8" t="str">
        <f t="array" ref="Q64">XLOOKUP(D64,Product_Dim!A:A,Product_Dim!C:C,"Not Found")</f>
        <v>Electronics</v>
      </c>
      <c r="R64" s="8" t="str">
        <f t="array" ref="R64">XLOOKUP(E64,Store_Dim!A:A,Store_Dim!B:B,"Not Found")</f>
        <v>West</v>
      </c>
      <c r="S64" s="8" t="str">
        <f t="array" ref="S64">XLOOKUP(E64,Store_Dim!A:A,Store_Dim!D:D,"Not Found")</f>
        <v>Flagship</v>
      </c>
    </row>
    <row r="65" ht="14.25" customHeight="1">
      <c r="A65" s="8" t="s">
        <v>2017</v>
      </c>
      <c r="B65" s="12">
        <v>45543.0</v>
      </c>
      <c r="C65" s="8" t="s">
        <v>446</v>
      </c>
      <c r="D65" s="8" t="s">
        <v>1857</v>
      </c>
      <c r="E65" s="8" t="s">
        <v>1929</v>
      </c>
      <c r="F65" s="8">
        <v>2.0</v>
      </c>
      <c r="G65" s="8">
        <v>121.37</v>
      </c>
      <c r="H65" s="8">
        <v>0.05</v>
      </c>
      <c r="I65" s="8">
        <f t="shared" si="1"/>
        <v>242.74</v>
      </c>
      <c r="J65" s="8">
        <f t="shared" si="2"/>
        <v>-12.087</v>
      </c>
      <c r="K65" s="8" t="str">
        <f t="shared" si="3"/>
        <v>Sep</v>
      </c>
      <c r="L65" s="8">
        <f t="shared" si="4"/>
        <v>2024</v>
      </c>
      <c r="N65" s="8" t="str">
        <f t="array" ref="N65">XLOOKUP(C65,Customer_Dim!A:A,Customer_Dim!B:B,"Not Found")</f>
        <v>James Wolfe</v>
      </c>
      <c r="O65" s="8" t="str">
        <f t="array" ref="O65">XLOOKUP(C65,Customer_Dim!A:A,Customer_Dim!E:E,"Not Found")</f>
        <v>Benjaminton</v>
      </c>
      <c r="P65" s="8" t="str">
        <f t="array" ref="P65">XLOOKUP(D65,Product_Dim!A:A,Product_Dim!B:B,"Not Found")</f>
        <v>Face Foundation Kit</v>
      </c>
      <c r="Q65" s="8" t="str">
        <f t="array" ref="Q65">XLOOKUP(D65,Product_Dim!A:A,Product_Dim!C:C,"Not Found")</f>
        <v>Beauty</v>
      </c>
      <c r="R65" s="8" t="str">
        <f t="array" ref="R65">XLOOKUP(E65,Store_Dim!A:A,Store_Dim!B:B,"Not Found")</f>
        <v>North</v>
      </c>
      <c r="S65" s="8" t="str">
        <f t="array" ref="S65">XLOOKUP(E65,Store_Dim!A:A,Store_Dim!D:D,"Not Found")</f>
        <v>Online</v>
      </c>
    </row>
    <row r="66" ht="14.25" customHeight="1">
      <c r="A66" s="8" t="s">
        <v>2018</v>
      </c>
      <c r="B66" s="12">
        <v>45544.0</v>
      </c>
      <c r="C66" s="8" t="s">
        <v>830</v>
      </c>
      <c r="D66" s="8" t="s">
        <v>1748</v>
      </c>
      <c r="E66" s="8" t="s">
        <v>1926</v>
      </c>
      <c r="F66" s="8">
        <v>3.0</v>
      </c>
      <c r="G66" s="8">
        <v>480.06</v>
      </c>
      <c r="H66" s="8">
        <v>0.01</v>
      </c>
      <c r="I66" s="8">
        <f t="shared" si="1"/>
        <v>1440.18</v>
      </c>
      <c r="J66" s="8">
        <f t="shared" si="2"/>
        <v>-14.3918</v>
      </c>
      <c r="K66" s="8" t="str">
        <f t="shared" si="3"/>
        <v>Sep</v>
      </c>
      <c r="L66" s="8">
        <f t="shared" si="4"/>
        <v>2024</v>
      </c>
      <c r="N66" s="8" t="str">
        <f t="array" ref="N66">XLOOKUP(C66,Customer_Dim!A:A,Customer_Dim!B:B,"Not Found")</f>
        <v>Damon Perez</v>
      </c>
      <c r="O66" s="8" t="str">
        <f t="array" ref="O66">XLOOKUP(C66,Customer_Dim!A:A,Customer_Dim!E:E,"Not Found")</f>
        <v>Jasonton</v>
      </c>
      <c r="P66" s="8" t="str">
        <f t="array" ref="P66">XLOOKUP(D66,Product_Dim!A:A,Product_Dim!B:B,"Not Found")</f>
        <v>Men's Track Pants</v>
      </c>
      <c r="Q66" s="8" t="str">
        <f t="array" ref="Q66">XLOOKUP(D66,Product_Dim!A:A,Product_Dim!C:C,"Not Found")</f>
        <v>Clothing</v>
      </c>
      <c r="R66" s="8" t="str">
        <f t="array" ref="R66">XLOOKUP(E66,Store_Dim!A:A,Store_Dim!B:B,"Not Found")</f>
        <v>East</v>
      </c>
      <c r="S66" s="8" t="str">
        <f t="array" ref="S66">XLOOKUP(E66,Store_Dim!A:A,Store_Dim!D:D,"Not Found")</f>
        <v>Online</v>
      </c>
    </row>
    <row r="67" ht="14.25" customHeight="1">
      <c r="A67" s="8" t="s">
        <v>2019</v>
      </c>
      <c r="B67" s="12">
        <v>45545.0</v>
      </c>
      <c r="C67" s="8" t="s">
        <v>553</v>
      </c>
      <c r="D67" s="8" t="s">
        <v>1887</v>
      </c>
      <c r="E67" s="8" t="s">
        <v>1937</v>
      </c>
      <c r="F67" s="8">
        <v>2.0</v>
      </c>
      <c r="G67" s="8">
        <v>856.57</v>
      </c>
      <c r="H67" s="8">
        <v>0.24</v>
      </c>
      <c r="I67" s="8">
        <f t="shared" si="1"/>
        <v>1713.14</v>
      </c>
      <c r="J67" s="8">
        <f t="shared" si="2"/>
        <v>-410.9136</v>
      </c>
      <c r="K67" s="8" t="str">
        <f t="shared" si="3"/>
        <v>Sep</v>
      </c>
      <c r="L67" s="8">
        <f t="shared" si="4"/>
        <v>2024</v>
      </c>
      <c r="N67" s="8" t="str">
        <f t="array" ref="N67">XLOOKUP(C67,Customer_Dim!A:A,Customer_Dim!B:B,"Not Found")</f>
        <v>Mariah Brown</v>
      </c>
      <c r="O67" s="8" t="str">
        <f t="array" ref="O67">XLOOKUP(C67,Customer_Dim!A:A,Customer_Dim!E:E,"Not Found")</f>
        <v>Palmerbury</v>
      </c>
      <c r="P67" s="8" t="str">
        <f t="array" ref="P67">XLOOKUP(D67,Product_Dim!A:A,Product_Dim!B:B,"Not Found")</f>
        <v>Stainless Steel Cookware Set</v>
      </c>
      <c r="Q67" s="8" t="str">
        <f t="array" ref="Q67">XLOOKUP(D67,Product_Dim!A:A,Product_Dim!C:C,"Not Found")</f>
        <v>Home</v>
      </c>
      <c r="R67" s="8" t="str">
        <f t="array" ref="R67">XLOOKUP(E67,Store_Dim!A:A,Store_Dim!B:B,"Not Found")</f>
        <v>North</v>
      </c>
      <c r="S67" s="8" t="str">
        <f t="array" ref="S67">XLOOKUP(E67,Store_Dim!A:A,Store_Dim!D:D,"Not Found")</f>
        <v>Flagship</v>
      </c>
    </row>
    <row r="68" ht="14.25" customHeight="1">
      <c r="A68" s="8" t="s">
        <v>2020</v>
      </c>
      <c r="B68" s="12">
        <v>45546.0</v>
      </c>
      <c r="C68" s="8" t="s">
        <v>872</v>
      </c>
      <c r="D68" s="8" t="s">
        <v>1821</v>
      </c>
      <c r="E68" s="8" t="s">
        <v>1906</v>
      </c>
      <c r="F68" s="8">
        <v>4.0</v>
      </c>
      <c r="G68" s="8">
        <v>814.25</v>
      </c>
      <c r="H68" s="8">
        <v>0.18</v>
      </c>
      <c r="I68" s="8">
        <f t="shared" si="1"/>
        <v>3257</v>
      </c>
      <c r="J68" s="8">
        <f t="shared" si="2"/>
        <v>-586.08</v>
      </c>
      <c r="K68" s="8" t="str">
        <f t="shared" si="3"/>
        <v>Sep</v>
      </c>
      <c r="L68" s="8">
        <f t="shared" si="4"/>
        <v>2024</v>
      </c>
      <c r="N68" s="8" t="str">
        <f t="array" ref="N68">XLOOKUP(C68,Customer_Dim!A:A,Customer_Dim!B:B,"Not Found")</f>
        <v>Tyrone Olson</v>
      </c>
      <c r="O68" s="8" t="str">
        <f t="array" ref="O68">XLOOKUP(C68,Customer_Dim!A:A,Customer_Dim!E:E,"Not Found")</f>
        <v>Emilytown</v>
      </c>
      <c r="P68" s="8" t="str">
        <f t="array" ref="P68">XLOOKUP(D68,Product_Dim!A:A,Product_Dim!B:B,"Not Found")</f>
        <v>WiFi Mesh Router</v>
      </c>
      <c r="Q68" s="8" t="str">
        <f t="array" ref="Q68">XLOOKUP(D68,Product_Dim!A:A,Product_Dim!C:C,"Not Found")</f>
        <v>Electronics</v>
      </c>
      <c r="R68" s="8" t="str">
        <f t="array" ref="R68">XLOOKUP(E68,Store_Dim!A:A,Store_Dim!B:B,"Not Found")</f>
        <v>South</v>
      </c>
      <c r="S68" s="8" t="str">
        <f t="array" ref="S68">XLOOKUP(E68,Store_Dim!A:A,Store_Dim!D:D,"Not Found")</f>
        <v>Outlet</v>
      </c>
    </row>
    <row r="69" ht="14.25" customHeight="1">
      <c r="A69" s="8" t="s">
        <v>2021</v>
      </c>
      <c r="B69" s="12">
        <v>45547.0</v>
      </c>
      <c r="C69" s="8" t="s">
        <v>1503</v>
      </c>
      <c r="D69" s="8" t="s">
        <v>1613</v>
      </c>
      <c r="E69" s="8" t="s">
        <v>1906</v>
      </c>
      <c r="F69" s="8">
        <v>1.0</v>
      </c>
      <c r="G69" s="8">
        <v>989.17</v>
      </c>
      <c r="H69" s="8">
        <v>0.2</v>
      </c>
      <c r="I69" s="8">
        <f t="shared" si="1"/>
        <v>989.17</v>
      </c>
      <c r="J69" s="8">
        <f t="shared" si="2"/>
        <v>-197.634</v>
      </c>
      <c r="K69" s="8" t="str">
        <f t="shared" si="3"/>
        <v>Sep</v>
      </c>
      <c r="L69" s="8">
        <f t="shared" si="4"/>
        <v>2024</v>
      </c>
      <c r="N69" s="8" t="str">
        <f t="array" ref="N69">XLOOKUP(C69,Customer_Dim!A:A,Customer_Dim!B:B,"Not Found")</f>
        <v>Sarah Smith</v>
      </c>
      <c r="O69" s="8" t="str">
        <f t="array" ref="O69">XLOOKUP(C69,Customer_Dim!A:A,Customer_Dim!E:E,"Not Found")</f>
        <v>East Rodney</v>
      </c>
      <c r="P69" s="8" t="str">
        <f t="array" ref="P69">XLOOKUP(D69,Product_Dim!A:A,Product_Dim!B:B,"Not Found")</f>
        <v>Hair Strengthening Shampoo</v>
      </c>
      <c r="Q69" s="8" t="str">
        <f t="array" ref="Q69">XLOOKUP(D69,Product_Dim!A:A,Product_Dim!C:C,"Not Found")</f>
        <v>Beauty</v>
      </c>
      <c r="R69" s="8" t="str">
        <f t="array" ref="R69">XLOOKUP(E69,Store_Dim!A:A,Store_Dim!B:B,"Not Found")</f>
        <v>South</v>
      </c>
      <c r="S69" s="8" t="str">
        <f t="array" ref="S69">XLOOKUP(E69,Store_Dim!A:A,Store_Dim!D:D,"Not Found")</f>
        <v>Outlet</v>
      </c>
    </row>
    <row r="70" ht="14.25" customHeight="1">
      <c r="A70" s="8" t="s">
        <v>2022</v>
      </c>
      <c r="B70" s="12">
        <v>45548.0</v>
      </c>
      <c r="C70" s="8" t="s">
        <v>1179</v>
      </c>
      <c r="D70" s="8" t="s">
        <v>1806</v>
      </c>
      <c r="E70" s="8" t="s">
        <v>1926</v>
      </c>
      <c r="F70" s="8">
        <v>4.0</v>
      </c>
      <c r="G70" s="8">
        <v>62.48</v>
      </c>
      <c r="H70" s="8">
        <v>0.18</v>
      </c>
      <c r="I70" s="8">
        <f t="shared" si="1"/>
        <v>249.92</v>
      </c>
      <c r="J70" s="8">
        <f t="shared" si="2"/>
        <v>-44.8056</v>
      </c>
      <c r="K70" s="8" t="str">
        <f t="shared" si="3"/>
        <v>Sep</v>
      </c>
      <c r="L70" s="8">
        <f t="shared" si="4"/>
        <v>2024</v>
      </c>
      <c r="N70" s="8" t="str">
        <f t="array" ref="N70">XLOOKUP(C70,Customer_Dim!A:A,Customer_Dim!B:B,"Not Found")</f>
        <v>Jacqueline Anthony</v>
      </c>
      <c r="O70" s="8" t="str">
        <f t="array" ref="O70">XLOOKUP(C70,Customer_Dim!A:A,Customer_Dim!E:E,"Not Found")</f>
        <v>Vincentside</v>
      </c>
      <c r="P70" s="8" t="str">
        <f t="array" ref="P70">XLOOKUP(D70,Product_Dim!A:A,Product_Dim!B:B,"Not Found")</f>
        <v>Professional Jump Rope</v>
      </c>
      <c r="Q70" s="8" t="str">
        <f t="array" ref="Q70">XLOOKUP(D70,Product_Dim!A:A,Product_Dim!C:C,"Not Found")</f>
        <v>Sports</v>
      </c>
      <c r="R70" s="8" t="str">
        <f t="array" ref="R70">XLOOKUP(E70,Store_Dim!A:A,Store_Dim!B:B,"Not Found")</f>
        <v>East</v>
      </c>
      <c r="S70" s="8" t="str">
        <f t="array" ref="S70">XLOOKUP(E70,Store_Dim!A:A,Store_Dim!D:D,"Not Found")</f>
        <v>Online</v>
      </c>
    </row>
    <row r="71" ht="14.25" customHeight="1">
      <c r="A71" s="8" t="s">
        <v>2023</v>
      </c>
      <c r="B71" s="12">
        <v>45549.0</v>
      </c>
      <c r="C71" s="8" t="s">
        <v>1329</v>
      </c>
      <c r="D71" s="8" t="s">
        <v>1617</v>
      </c>
      <c r="E71" s="8" t="s">
        <v>1935</v>
      </c>
      <c r="F71" s="8">
        <v>4.0</v>
      </c>
      <c r="G71" s="8">
        <v>561.24</v>
      </c>
      <c r="H71" s="8">
        <v>0.24</v>
      </c>
      <c r="I71" s="8">
        <f t="shared" si="1"/>
        <v>2244.96</v>
      </c>
      <c r="J71" s="8">
        <f t="shared" si="2"/>
        <v>-538.5504</v>
      </c>
      <c r="K71" s="8" t="str">
        <f t="shared" si="3"/>
        <v>Sep</v>
      </c>
      <c r="L71" s="8">
        <f t="shared" si="4"/>
        <v>2024</v>
      </c>
      <c r="N71" s="8" t="str">
        <f t="array" ref="N71">XLOOKUP(C71,Customer_Dim!A:A,Customer_Dim!B:B,"Not Found")</f>
        <v>Rebecca Baker</v>
      </c>
      <c r="O71" s="8" t="str">
        <f t="array" ref="O71">XLOOKUP(C71,Customer_Dim!A:A,Customer_Dim!E:E,"Not Found")</f>
        <v>New Katherine</v>
      </c>
      <c r="P71" s="8" t="str">
        <f t="array" ref="P71">XLOOKUP(D71,Product_Dim!A:A,Product_Dim!B:B,"Not Found")</f>
        <v>USB-C Fast Charger</v>
      </c>
      <c r="Q71" s="8" t="str">
        <f t="array" ref="Q71">XLOOKUP(D71,Product_Dim!A:A,Product_Dim!C:C,"Not Found")</f>
        <v>Electronics</v>
      </c>
      <c r="R71" s="8" t="str">
        <f t="array" ref="R71">XLOOKUP(E71,Store_Dim!A:A,Store_Dim!B:B,"Not Found")</f>
        <v>West</v>
      </c>
      <c r="S71" s="8" t="str">
        <f t="array" ref="S71">XLOOKUP(E71,Store_Dim!A:A,Store_Dim!D:D,"Not Found")</f>
        <v>Flagship</v>
      </c>
    </row>
    <row r="72" ht="14.25" customHeight="1">
      <c r="A72" s="8" t="s">
        <v>2024</v>
      </c>
      <c r="B72" s="12">
        <v>45550.0</v>
      </c>
      <c r="C72" s="8" t="s">
        <v>228</v>
      </c>
      <c r="D72" s="8" t="s">
        <v>1769</v>
      </c>
      <c r="E72" s="8" t="s">
        <v>1915</v>
      </c>
      <c r="F72" s="8">
        <v>3.0</v>
      </c>
      <c r="G72" s="8">
        <v>92.24</v>
      </c>
      <c r="H72" s="8">
        <v>0.28</v>
      </c>
      <c r="I72" s="8">
        <f t="shared" si="1"/>
        <v>276.72</v>
      </c>
      <c r="J72" s="8">
        <f t="shared" si="2"/>
        <v>-77.2016</v>
      </c>
      <c r="K72" s="8" t="str">
        <f t="shared" si="3"/>
        <v>Sep</v>
      </c>
      <c r="L72" s="8">
        <f t="shared" si="4"/>
        <v>2024</v>
      </c>
      <c r="N72" s="8" t="str">
        <f t="array" ref="N72">XLOOKUP(C72,Customer_Dim!A:A,Customer_Dim!B:B,"Not Found")</f>
        <v>Cheryl Copeland</v>
      </c>
      <c r="O72" s="8" t="str">
        <f t="array" ref="O72">XLOOKUP(C72,Customer_Dim!A:A,Customer_Dim!E:E,"Not Found")</f>
        <v>Snowmouth</v>
      </c>
      <c r="P72" s="8" t="str">
        <f t="array" ref="P72">XLOOKUP(D72,Product_Dim!A:A,Product_Dim!B:B,"Not Found")</f>
        <v>Luxury Perfume Spray</v>
      </c>
      <c r="Q72" s="8" t="str">
        <f t="array" ref="Q72">XLOOKUP(D72,Product_Dim!A:A,Product_Dim!C:C,"Not Found")</f>
        <v>Beauty</v>
      </c>
      <c r="R72" s="8" t="str">
        <f t="array" ref="R72">XLOOKUP(E72,Store_Dim!A:A,Store_Dim!B:B,"Not Found")</f>
        <v>North</v>
      </c>
      <c r="S72" s="8" t="str">
        <f t="array" ref="S72">XLOOKUP(E72,Store_Dim!A:A,Store_Dim!D:D,"Not Found")</f>
        <v>Outlet</v>
      </c>
    </row>
    <row r="73" ht="14.25" customHeight="1">
      <c r="A73" s="8" t="s">
        <v>2025</v>
      </c>
      <c r="B73" s="12">
        <v>45551.0</v>
      </c>
      <c r="C73" s="8" t="s">
        <v>571</v>
      </c>
      <c r="D73" s="8" t="s">
        <v>1806</v>
      </c>
      <c r="E73" s="8" t="s">
        <v>1903</v>
      </c>
      <c r="F73" s="8">
        <v>2.0</v>
      </c>
      <c r="G73" s="8">
        <v>668.3</v>
      </c>
      <c r="H73" s="8">
        <v>0.07</v>
      </c>
      <c r="I73" s="8">
        <f t="shared" si="1"/>
        <v>1336.6</v>
      </c>
      <c r="J73" s="8">
        <f t="shared" si="2"/>
        <v>-93.492</v>
      </c>
      <c r="K73" s="8" t="str">
        <f t="shared" si="3"/>
        <v>Sep</v>
      </c>
      <c r="L73" s="8">
        <f t="shared" si="4"/>
        <v>2024</v>
      </c>
      <c r="N73" s="8" t="str">
        <f t="array" ref="N73">XLOOKUP(C73,Customer_Dim!A:A,Customer_Dim!B:B,"Not Found")</f>
        <v>Daniel Contreras</v>
      </c>
      <c r="O73" s="8" t="str">
        <f t="array" ref="O73">XLOOKUP(C73,Customer_Dim!A:A,Customer_Dim!E:E,"Not Found")</f>
        <v>Robertview</v>
      </c>
      <c r="P73" s="8" t="str">
        <f t="array" ref="P73">XLOOKUP(D73,Product_Dim!A:A,Product_Dim!B:B,"Not Found")</f>
        <v>Professional Jump Rope</v>
      </c>
      <c r="Q73" s="8" t="str">
        <f t="array" ref="Q73">XLOOKUP(D73,Product_Dim!A:A,Product_Dim!C:C,"Not Found")</f>
        <v>Sports</v>
      </c>
      <c r="R73" s="8" t="str">
        <f t="array" ref="R73">XLOOKUP(E73,Store_Dim!A:A,Store_Dim!B:B,"Not Found")</f>
        <v>North</v>
      </c>
      <c r="S73" s="8" t="str">
        <f t="array" ref="S73">XLOOKUP(E73,Store_Dim!A:A,Store_Dim!D:D,"Not Found")</f>
        <v>Flagship</v>
      </c>
    </row>
    <row r="74" ht="14.25" customHeight="1">
      <c r="A74" s="8" t="s">
        <v>2026</v>
      </c>
      <c r="B74" s="12">
        <v>45552.0</v>
      </c>
      <c r="C74" s="8" t="s">
        <v>1288</v>
      </c>
      <c r="D74" s="8" t="s">
        <v>1700</v>
      </c>
      <c r="E74" s="8" t="s">
        <v>1915</v>
      </c>
      <c r="F74" s="8">
        <v>1.0</v>
      </c>
      <c r="G74" s="8">
        <v>553.82</v>
      </c>
      <c r="H74" s="8">
        <v>0.09</v>
      </c>
      <c r="I74" s="8">
        <f t="shared" si="1"/>
        <v>553.82</v>
      </c>
      <c r="J74" s="8">
        <f t="shared" si="2"/>
        <v>-49.7538</v>
      </c>
      <c r="K74" s="8" t="str">
        <f t="shared" si="3"/>
        <v>Sep</v>
      </c>
      <c r="L74" s="8">
        <f t="shared" si="4"/>
        <v>2024</v>
      </c>
      <c r="N74" s="8" t="str">
        <f t="array" ref="N74">XLOOKUP(C74,Customer_Dim!A:A,Customer_Dim!B:B,"Not Found")</f>
        <v>Sarah Smith</v>
      </c>
      <c r="O74" s="8" t="str">
        <f t="array" ref="O74">XLOOKUP(C74,Customer_Dim!A:A,Customer_Dim!E:E,"Not Found")</f>
        <v>Kathleenport</v>
      </c>
      <c r="P74" s="8" t="str">
        <f t="array" ref="P74">XLOOKUP(D74,Product_Dim!A:A,Product_Dim!B:B,"Not Found")</f>
        <v>Sports Water Hydration Pack</v>
      </c>
      <c r="Q74" s="8" t="str">
        <f t="array" ref="Q74">XLOOKUP(D74,Product_Dim!A:A,Product_Dim!C:C,"Not Found")</f>
        <v>Sports</v>
      </c>
      <c r="R74" s="8" t="str">
        <f t="array" ref="R74">XLOOKUP(E74,Store_Dim!A:A,Store_Dim!B:B,"Not Found")</f>
        <v>North</v>
      </c>
      <c r="S74" s="8" t="str">
        <f t="array" ref="S74">XLOOKUP(E74,Store_Dim!A:A,Store_Dim!D:D,"Not Found")</f>
        <v>Outlet</v>
      </c>
    </row>
    <row r="75" ht="14.25" customHeight="1">
      <c r="A75" s="8" t="s">
        <v>2027</v>
      </c>
      <c r="B75" s="12">
        <v>45553.0</v>
      </c>
      <c r="C75" s="8" t="s">
        <v>157</v>
      </c>
      <c r="D75" s="8" t="s">
        <v>1722</v>
      </c>
      <c r="E75" s="8" t="s">
        <v>1928</v>
      </c>
      <c r="F75" s="8">
        <v>2.0</v>
      </c>
      <c r="G75" s="8">
        <v>556.43</v>
      </c>
      <c r="H75" s="8">
        <v>0.13</v>
      </c>
      <c r="I75" s="8">
        <f t="shared" si="1"/>
        <v>1112.86</v>
      </c>
      <c r="J75" s="8">
        <f t="shared" si="2"/>
        <v>-144.5418</v>
      </c>
      <c r="K75" s="8" t="str">
        <f t="shared" si="3"/>
        <v>Sep</v>
      </c>
      <c r="L75" s="8">
        <f t="shared" si="4"/>
        <v>2024</v>
      </c>
      <c r="N75" s="8" t="str">
        <f t="array" ref="N75">XLOOKUP(C75,Customer_Dim!A:A,Customer_Dim!B:B,"Not Found")</f>
        <v>Christopher Carter</v>
      </c>
      <c r="O75" s="8" t="str">
        <f t="array" ref="O75">XLOOKUP(C75,Customer_Dim!A:A,Customer_Dim!E:E,"Not Found")</f>
        <v>Brendastad</v>
      </c>
      <c r="P75" s="8" t="str">
        <f t="array" ref="P75">XLOOKUP(D75,Product_Dim!A:A,Product_Dim!B:B,"Not Found")</f>
        <v>High-Grip Football</v>
      </c>
      <c r="Q75" s="8" t="str">
        <f t="array" ref="Q75">XLOOKUP(D75,Product_Dim!A:A,Product_Dim!C:C,"Not Found")</f>
        <v>Sports</v>
      </c>
      <c r="R75" s="8" t="str">
        <f t="array" ref="R75">XLOOKUP(E75,Store_Dim!A:A,Store_Dim!B:B,"Not Found")</f>
        <v>South</v>
      </c>
      <c r="S75" s="8" t="str">
        <f t="array" ref="S75">XLOOKUP(E75,Store_Dim!A:A,Store_Dim!D:D,"Not Found")</f>
        <v>Online</v>
      </c>
    </row>
    <row r="76" ht="14.25" customHeight="1">
      <c r="A76" s="8" t="s">
        <v>2028</v>
      </c>
      <c r="B76" s="12">
        <v>45554.0</v>
      </c>
      <c r="C76" s="8" t="s">
        <v>884</v>
      </c>
      <c r="D76" s="8" t="s">
        <v>1642</v>
      </c>
      <c r="E76" s="8" t="s">
        <v>1921</v>
      </c>
      <c r="F76" s="8">
        <v>1.0</v>
      </c>
      <c r="G76" s="8">
        <v>184.98</v>
      </c>
      <c r="H76" s="8">
        <v>0.1</v>
      </c>
      <c r="I76" s="8">
        <f t="shared" si="1"/>
        <v>184.98</v>
      </c>
      <c r="J76" s="8">
        <f t="shared" si="2"/>
        <v>-18.398</v>
      </c>
      <c r="K76" s="8" t="str">
        <f t="shared" si="3"/>
        <v>Sep</v>
      </c>
      <c r="L76" s="8">
        <f t="shared" si="4"/>
        <v>2024</v>
      </c>
      <c r="N76" s="8" t="str">
        <f t="array" ref="N76">XLOOKUP(C76,Customer_Dim!A:A,Customer_Dim!B:B,"Not Found")</f>
        <v>Samantha Robinson</v>
      </c>
      <c r="O76" s="8" t="str">
        <f t="array" ref="O76">XLOOKUP(C76,Customer_Dim!A:A,Customer_Dim!E:E,"Not Found")</f>
        <v>North Roy</v>
      </c>
      <c r="P76" s="8" t="str">
        <f t="array" ref="P76">XLOOKUP(D76,Product_Dim!A:A,Product_Dim!B:B,"Not Found")</f>
        <v>Outdoor Sports Water Bottle</v>
      </c>
      <c r="Q76" s="8" t="str">
        <f t="array" ref="Q76">XLOOKUP(D76,Product_Dim!A:A,Product_Dim!C:C,"Not Found")</f>
        <v>Sports</v>
      </c>
      <c r="R76" s="8" t="str">
        <f t="array" ref="R76">XLOOKUP(E76,Store_Dim!A:A,Store_Dim!B:B,"Not Found")</f>
        <v>West</v>
      </c>
      <c r="S76" s="8" t="str">
        <f t="array" ref="S76">XLOOKUP(E76,Store_Dim!A:A,Store_Dim!D:D,"Not Found")</f>
        <v>Online</v>
      </c>
    </row>
    <row r="77" ht="14.25" customHeight="1">
      <c r="A77" s="8" t="s">
        <v>2029</v>
      </c>
      <c r="B77" s="12">
        <v>45555.0</v>
      </c>
      <c r="C77" s="8" t="s">
        <v>151</v>
      </c>
      <c r="D77" s="8" t="s">
        <v>1881</v>
      </c>
      <c r="E77" s="8" t="s">
        <v>1929</v>
      </c>
      <c r="F77" s="8">
        <v>4.0</v>
      </c>
      <c r="G77" s="8">
        <v>700.18</v>
      </c>
      <c r="H77" s="8">
        <v>0.23</v>
      </c>
      <c r="I77" s="8">
        <f t="shared" si="1"/>
        <v>2800.72</v>
      </c>
      <c r="J77" s="8">
        <f t="shared" si="2"/>
        <v>-643.9356</v>
      </c>
      <c r="K77" s="8" t="str">
        <f t="shared" si="3"/>
        <v>Sep</v>
      </c>
      <c r="L77" s="8">
        <f t="shared" si="4"/>
        <v>2024</v>
      </c>
      <c r="N77" s="8" t="str">
        <f t="array" ref="N77">XLOOKUP(C77,Customer_Dim!A:A,Customer_Dim!B:B,"Not Found")</f>
        <v>Rachel Myers</v>
      </c>
      <c r="O77" s="8" t="str">
        <f t="array" ref="O77">XLOOKUP(C77,Customer_Dim!A:A,Customer_Dim!E:E,"Not Found")</f>
        <v>Robertberg</v>
      </c>
      <c r="P77" s="8" t="str">
        <f t="array" ref="P77">XLOOKUP(D77,Product_Dim!A:A,Product_Dim!B:B,"Not Found")</f>
        <v>Cricket Bat</v>
      </c>
      <c r="Q77" s="8" t="str">
        <f t="array" ref="Q77">XLOOKUP(D77,Product_Dim!A:A,Product_Dim!C:C,"Not Found")</f>
        <v>Sports</v>
      </c>
      <c r="R77" s="8" t="str">
        <f t="array" ref="R77">XLOOKUP(E77,Store_Dim!A:A,Store_Dim!B:B,"Not Found")</f>
        <v>North</v>
      </c>
      <c r="S77" s="8" t="str">
        <f t="array" ref="S77">XLOOKUP(E77,Store_Dim!A:A,Store_Dim!D:D,"Not Found")</f>
        <v>Online</v>
      </c>
    </row>
    <row r="78" ht="14.25" customHeight="1">
      <c r="A78" s="8" t="s">
        <v>2030</v>
      </c>
      <c r="B78" s="12">
        <v>45556.0</v>
      </c>
      <c r="C78" s="8" t="s">
        <v>94</v>
      </c>
      <c r="D78" s="8" t="s">
        <v>1818</v>
      </c>
      <c r="E78" s="8" t="s">
        <v>1926</v>
      </c>
      <c r="F78" s="8">
        <v>2.0</v>
      </c>
      <c r="G78" s="8">
        <v>686.31</v>
      </c>
      <c r="H78" s="8">
        <v>0.25</v>
      </c>
      <c r="I78" s="8">
        <f t="shared" si="1"/>
        <v>1372.62</v>
      </c>
      <c r="J78" s="8">
        <f t="shared" si="2"/>
        <v>-342.905</v>
      </c>
      <c r="K78" s="8" t="str">
        <f t="shared" si="3"/>
        <v>Sep</v>
      </c>
      <c r="L78" s="8">
        <f t="shared" si="4"/>
        <v>2024</v>
      </c>
      <c r="N78" s="8" t="str">
        <f t="array" ref="N78">XLOOKUP(C78,Customer_Dim!A:A,Customer_Dim!B:B,"Not Found")</f>
        <v>Michael Torres</v>
      </c>
      <c r="O78" s="8" t="str">
        <f t="array" ref="O78">XLOOKUP(C78,Customer_Dim!A:A,Customer_Dim!E:E,"Not Found")</f>
        <v>Gonzalezfort</v>
      </c>
      <c r="P78" s="8" t="str">
        <f t="array" ref="P78">XLOOKUP(D78,Product_Dim!A:A,Product_Dim!B:B,"Not Found")</f>
        <v>Wireless Mouse</v>
      </c>
      <c r="Q78" s="8" t="str">
        <f t="array" ref="Q78">XLOOKUP(D78,Product_Dim!A:A,Product_Dim!C:C,"Not Found")</f>
        <v>Electronics</v>
      </c>
      <c r="R78" s="8" t="str">
        <f t="array" ref="R78">XLOOKUP(E78,Store_Dim!A:A,Store_Dim!B:B,"Not Found")</f>
        <v>East</v>
      </c>
      <c r="S78" s="8" t="str">
        <f t="array" ref="S78">XLOOKUP(E78,Store_Dim!A:A,Store_Dim!D:D,"Not Found")</f>
        <v>Online</v>
      </c>
    </row>
    <row r="79" ht="14.25" customHeight="1">
      <c r="A79" s="8" t="s">
        <v>2031</v>
      </c>
      <c r="B79" s="12">
        <v>45557.0</v>
      </c>
      <c r="C79" s="8" t="s">
        <v>48</v>
      </c>
      <c r="D79" s="8" t="s">
        <v>1790</v>
      </c>
      <c r="E79" s="8" t="s">
        <v>1933</v>
      </c>
      <c r="F79" s="8">
        <v>1.0</v>
      </c>
      <c r="G79" s="8">
        <v>687.82</v>
      </c>
      <c r="H79" s="8">
        <v>0.27</v>
      </c>
      <c r="I79" s="8">
        <f t="shared" si="1"/>
        <v>687.82</v>
      </c>
      <c r="J79" s="8">
        <f t="shared" si="2"/>
        <v>-185.4414</v>
      </c>
      <c r="K79" s="8" t="str">
        <f t="shared" si="3"/>
        <v>Sep</v>
      </c>
      <c r="L79" s="8">
        <f t="shared" si="4"/>
        <v>2024</v>
      </c>
      <c r="N79" s="8" t="str">
        <f t="array" ref="N79">XLOOKUP(C79,Customer_Dim!A:A,Customer_Dim!B:B,"Not Found")</f>
        <v>Daniel Boyd</v>
      </c>
      <c r="O79" s="8" t="str">
        <f t="array" ref="O79">XLOOKUP(C79,Customer_Dim!A:A,Customer_Dim!E:E,"Not Found")</f>
        <v>West Pamelafurt</v>
      </c>
      <c r="P79" s="8" t="str">
        <f t="array" ref="P79">XLOOKUP(D79,Product_Dim!A:A,Product_Dim!B:B,"Not Found")</f>
        <v>Smart LED Light Strip</v>
      </c>
      <c r="Q79" s="8" t="str">
        <f t="array" ref="Q79">XLOOKUP(D79,Product_Dim!A:A,Product_Dim!C:C,"Not Found")</f>
        <v>Electronics</v>
      </c>
      <c r="R79" s="8" t="str">
        <f t="array" ref="R79">XLOOKUP(E79,Store_Dim!A:A,Store_Dim!B:B,"Not Found")</f>
        <v>North</v>
      </c>
      <c r="S79" s="8" t="str">
        <f t="array" ref="S79">XLOOKUP(E79,Store_Dim!A:A,Store_Dim!D:D,"Not Found")</f>
        <v>Flagship</v>
      </c>
    </row>
    <row r="80" ht="14.25" customHeight="1">
      <c r="A80" s="8" t="s">
        <v>2032</v>
      </c>
      <c r="B80" s="12">
        <v>45558.0</v>
      </c>
      <c r="C80" s="8" t="s">
        <v>730</v>
      </c>
      <c r="D80" s="8" t="s">
        <v>1839</v>
      </c>
      <c r="E80" s="8" t="s">
        <v>1921</v>
      </c>
      <c r="F80" s="8">
        <v>2.0</v>
      </c>
      <c r="G80" s="8">
        <v>900.55</v>
      </c>
      <c r="H80" s="8">
        <v>0.16</v>
      </c>
      <c r="I80" s="8">
        <f t="shared" si="1"/>
        <v>1801.1</v>
      </c>
      <c r="J80" s="8">
        <f t="shared" si="2"/>
        <v>-288.016</v>
      </c>
      <c r="K80" s="8" t="str">
        <f t="shared" si="3"/>
        <v>Sep</v>
      </c>
      <c r="L80" s="8">
        <f t="shared" si="4"/>
        <v>2024</v>
      </c>
      <c r="N80" s="8" t="str">
        <f t="array" ref="N80">XLOOKUP(C80,Customer_Dim!A:A,Customer_Dim!B:B,"Not Found")</f>
        <v>Lisa Young</v>
      </c>
      <c r="O80" s="8" t="str">
        <f t="array" ref="O80">XLOOKUP(C80,Customer_Dim!A:A,Customer_Dim!E:E,"Not Found")</f>
        <v>Maybury</v>
      </c>
      <c r="P80" s="8" t="str">
        <f t="array" ref="P80">XLOOKUP(D80,Product_Dim!A:A,Product_Dim!B:B,"Not Found")</f>
        <v>Hydrating Face Cleanser</v>
      </c>
      <c r="Q80" s="8" t="str">
        <f t="array" ref="Q80">XLOOKUP(D80,Product_Dim!A:A,Product_Dim!C:C,"Not Found")</f>
        <v>Beauty</v>
      </c>
      <c r="R80" s="8" t="str">
        <f t="array" ref="R80">XLOOKUP(E80,Store_Dim!A:A,Store_Dim!B:B,"Not Found")</f>
        <v>West</v>
      </c>
      <c r="S80" s="8" t="str">
        <f t="array" ref="S80">XLOOKUP(E80,Store_Dim!A:A,Store_Dim!D:D,"Not Found")</f>
        <v>Online</v>
      </c>
    </row>
    <row r="81" ht="14.25" customHeight="1">
      <c r="A81" s="8" t="s">
        <v>2033</v>
      </c>
      <c r="B81" s="12">
        <v>45559.0</v>
      </c>
      <c r="C81" s="8" t="s">
        <v>412</v>
      </c>
      <c r="D81" s="8" t="s">
        <v>1645</v>
      </c>
      <c r="E81" s="8" t="s">
        <v>1906</v>
      </c>
      <c r="F81" s="8">
        <v>1.0</v>
      </c>
      <c r="G81" s="8">
        <v>341.17</v>
      </c>
      <c r="H81" s="8">
        <v>0.15</v>
      </c>
      <c r="I81" s="8">
        <f t="shared" si="1"/>
        <v>341.17</v>
      </c>
      <c r="J81" s="8">
        <f t="shared" si="2"/>
        <v>-51.0255</v>
      </c>
      <c r="K81" s="8" t="str">
        <f t="shared" si="3"/>
        <v>Sep</v>
      </c>
      <c r="L81" s="8">
        <f t="shared" si="4"/>
        <v>2024</v>
      </c>
      <c r="N81" s="8" t="str">
        <f t="array" ref="N81">XLOOKUP(C81,Customer_Dim!A:A,Customer_Dim!B:B,"Not Found")</f>
        <v>Tyler Conrad</v>
      </c>
      <c r="O81" s="8" t="str">
        <f t="array" ref="O81">XLOOKUP(C81,Customer_Dim!A:A,Customer_Dim!E:E,"Not Found")</f>
        <v>North Curtischester</v>
      </c>
      <c r="P81" s="8" t="str">
        <f t="array" ref="P81">XLOOKUP(D81,Product_Dim!A:A,Product_Dim!B:B,"Not Found")</f>
        <v>Multi-Purpose Storage Box</v>
      </c>
      <c r="Q81" s="8" t="str">
        <f t="array" ref="Q81">XLOOKUP(D81,Product_Dim!A:A,Product_Dim!C:C,"Not Found")</f>
        <v>Home</v>
      </c>
      <c r="R81" s="8" t="str">
        <f t="array" ref="R81">XLOOKUP(E81,Store_Dim!A:A,Store_Dim!B:B,"Not Found")</f>
        <v>South</v>
      </c>
      <c r="S81" s="8" t="str">
        <f t="array" ref="S81">XLOOKUP(E81,Store_Dim!A:A,Store_Dim!D:D,"Not Found")</f>
        <v>Outlet</v>
      </c>
    </row>
    <row r="82" ht="14.25" customHeight="1">
      <c r="A82" s="8" t="s">
        <v>2034</v>
      </c>
      <c r="B82" s="12">
        <v>45560.0</v>
      </c>
      <c r="C82" s="8" t="s">
        <v>594</v>
      </c>
      <c r="D82" s="8" t="s">
        <v>1745</v>
      </c>
      <c r="E82" s="8" t="s">
        <v>1921</v>
      </c>
      <c r="F82" s="8">
        <v>1.0</v>
      </c>
      <c r="G82" s="8">
        <v>442.27</v>
      </c>
      <c r="H82" s="8">
        <v>0.06</v>
      </c>
      <c r="I82" s="8">
        <f t="shared" si="1"/>
        <v>442.27</v>
      </c>
      <c r="J82" s="8">
        <f t="shared" si="2"/>
        <v>-26.4762</v>
      </c>
      <c r="K82" s="8" t="str">
        <f t="shared" si="3"/>
        <v>Sep</v>
      </c>
      <c r="L82" s="8">
        <f t="shared" si="4"/>
        <v>2024</v>
      </c>
      <c r="N82" s="8" t="str">
        <f t="array" ref="N82">XLOOKUP(C82,Customer_Dim!A:A,Customer_Dim!B:B,"Not Found")</f>
        <v>John Bradford</v>
      </c>
      <c r="O82" s="8" t="str">
        <f t="array" ref="O82">XLOOKUP(C82,Customer_Dim!A:A,Customer_Dim!E:E,"Not Found")</f>
        <v>Anabury</v>
      </c>
      <c r="P82" s="8" t="str">
        <f t="array" ref="P82">XLOOKUP(D82,Product_Dim!A:A,Product_Dim!B:B,"Not Found")</f>
        <v>Rugby Ball</v>
      </c>
      <c r="Q82" s="8" t="str">
        <f t="array" ref="Q82">XLOOKUP(D82,Product_Dim!A:A,Product_Dim!C:C,"Not Found")</f>
        <v>Sports</v>
      </c>
      <c r="R82" s="8" t="str">
        <f t="array" ref="R82">XLOOKUP(E82,Store_Dim!A:A,Store_Dim!B:B,"Not Found")</f>
        <v>West</v>
      </c>
      <c r="S82" s="8" t="str">
        <f t="array" ref="S82">XLOOKUP(E82,Store_Dim!A:A,Store_Dim!D:D,"Not Found")</f>
        <v>Online</v>
      </c>
    </row>
    <row r="83" ht="14.25" customHeight="1">
      <c r="A83" s="8" t="s">
        <v>2035</v>
      </c>
      <c r="B83" s="12">
        <v>45561.0</v>
      </c>
      <c r="C83" s="8" t="s">
        <v>824</v>
      </c>
      <c r="D83" s="8" t="s">
        <v>1803</v>
      </c>
      <c r="E83" s="8" t="s">
        <v>1924</v>
      </c>
      <c r="F83" s="8">
        <v>1.0</v>
      </c>
      <c r="G83" s="8">
        <v>363.73</v>
      </c>
      <c r="H83" s="8">
        <v>0.25</v>
      </c>
      <c r="I83" s="8">
        <f t="shared" si="1"/>
        <v>363.73</v>
      </c>
      <c r="J83" s="8">
        <f t="shared" si="2"/>
        <v>-90.6825</v>
      </c>
      <c r="K83" s="8" t="str">
        <f t="shared" si="3"/>
        <v>Sep</v>
      </c>
      <c r="L83" s="8">
        <f t="shared" si="4"/>
        <v>2024</v>
      </c>
      <c r="N83" s="8" t="str">
        <f t="array" ref="N83">XLOOKUP(C83,Customer_Dim!A:A,Customer_Dim!B:B,"Not Found")</f>
        <v>Dr. Ashley Yates MD</v>
      </c>
      <c r="O83" s="8" t="str">
        <f t="array" ref="O83">XLOOKUP(C83,Customer_Dim!A:A,Customer_Dim!E:E,"Not Found")</f>
        <v>New Maria</v>
      </c>
      <c r="P83" s="8" t="str">
        <f t="array" ref="P83">XLOOKUP(D83,Product_Dim!A:A,Product_Dim!B:B,"Not Found")</f>
        <v>Hair Repair Oil Treatment</v>
      </c>
      <c r="Q83" s="8" t="str">
        <f t="array" ref="Q83">XLOOKUP(D83,Product_Dim!A:A,Product_Dim!C:C,"Not Found")</f>
        <v>Beauty</v>
      </c>
      <c r="R83" s="8" t="str">
        <f t="array" ref="R83">XLOOKUP(E83,Store_Dim!A:A,Store_Dim!B:B,"Not Found")</f>
        <v>South</v>
      </c>
      <c r="S83" s="8" t="str">
        <f t="array" ref="S83">XLOOKUP(E83,Store_Dim!A:A,Store_Dim!D:D,"Not Found")</f>
        <v>Flagship</v>
      </c>
    </row>
    <row r="84" ht="14.25" customHeight="1">
      <c r="A84" s="8" t="s">
        <v>2036</v>
      </c>
      <c r="B84" s="12">
        <v>45562.0</v>
      </c>
      <c r="C84" s="8" t="s">
        <v>1197</v>
      </c>
      <c r="D84" s="8" t="s">
        <v>1863</v>
      </c>
      <c r="E84" s="8" t="s">
        <v>1937</v>
      </c>
      <c r="F84" s="8">
        <v>2.0</v>
      </c>
      <c r="G84" s="8">
        <v>601.33</v>
      </c>
      <c r="H84" s="8">
        <v>0.16</v>
      </c>
      <c r="I84" s="8">
        <f t="shared" si="1"/>
        <v>1202.66</v>
      </c>
      <c r="J84" s="8">
        <f t="shared" si="2"/>
        <v>-192.2656</v>
      </c>
      <c r="K84" s="8" t="str">
        <f t="shared" si="3"/>
        <v>Sep</v>
      </c>
      <c r="L84" s="8">
        <f t="shared" si="4"/>
        <v>2024</v>
      </c>
      <c r="N84" s="8" t="str">
        <f t="array" ref="N84">XLOOKUP(C84,Customer_Dim!A:A,Customer_Dim!B:B,"Not Found")</f>
        <v>Frank Stewart</v>
      </c>
      <c r="O84" s="8" t="str">
        <f t="array" ref="O84">XLOOKUP(C84,Customer_Dim!A:A,Customer_Dim!E:E,"Not Found")</f>
        <v>Fischerborough</v>
      </c>
      <c r="P84" s="8" t="str">
        <f t="array" ref="P84">XLOOKUP(D84,Product_Dim!A:A,Product_Dim!B:B,"Not Found")</f>
        <v>Women's High Heels</v>
      </c>
      <c r="Q84" s="8" t="str">
        <f t="array" ref="Q84">XLOOKUP(D84,Product_Dim!A:A,Product_Dim!C:C,"Not Found")</f>
        <v>Clothing</v>
      </c>
      <c r="R84" s="8" t="str">
        <f t="array" ref="R84">XLOOKUP(E84,Store_Dim!A:A,Store_Dim!B:B,"Not Found")</f>
        <v>North</v>
      </c>
      <c r="S84" s="8" t="str">
        <f t="array" ref="S84">XLOOKUP(E84,Store_Dim!A:A,Store_Dim!D:D,"Not Found")</f>
        <v>Flagship</v>
      </c>
    </row>
    <row r="85" ht="14.25" customHeight="1">
      <c r="A85" s="8" t="s">
        <v>2037</v>
      </c>
      <c r="B85" s="12">
        <v>45563.0</v>
      </c>
      <c r="C85" s="8" t="s">
        <v>1270</v>
      </c>
      <c r="D85" s="8" t="s">
        <v>1632</v>
      </c>
      <c r="E85" s="8" t="s">
        <v>1939</v>
      </c>
      <c r="F85" s="8">
        <v>4.0</v>
      </c>
      <c r="G85" s="8">
        <v>34.39</v>
      </c>
      <c r="H85" s="8">
        <v>0.03</v>
      </c>
      <c r="I85" s="8">
        <f t="shared" si="1"/>
        <v>137.56</v>
      </c>
      <c r="J85" s="8">
        <f t="shared" si="2"/>
        <v>-4.0968</v>
      </c>
      <c r="K85" s="8" t="str">
        <f t="shared" si="3"/>
        <v>Sep</v>
      </c>
      <c r="L85" s="8">
        <f t="shared" si="4"/>
        <v>2024</v>
      </c>
      <c r="N85" s="8" t="str">
        <f t="array" ref="N85">XLOOKUP(C85,Customer_Dim!A:A,Customer_Dim!B:B,"Not Found")</f>
        <v>Justin Ingram</v>
      </c>
      <c r="O85" s="8" t="str">
        <f t="array" ref="O85">XLOOKUP(C85,Customer_Dim!A:A,Customer_Dim!E:E,"Not Found")</f>
        <v>Lake Lisaland</v>
      </c>
      <c r="P85" s="8" t="str">
        <f t="array" ref="P85">XLOOKUP(D85,Product_Dim!A:A,Product_Dim!B:B,"Not Found")</f>
        <v>Soccer Training Cone Set</v>
      </c>
      <c r="Q85" s="8" t="str">
        <f t="array" ref="Q85">XLOOKUP(D85,Product_Dim!A:A,Product_Dim!C:C,"Not Found")</f>
        <v>Sports</v>
      </c>
      <c r="R85" s="8" t="str">
        <f t="array" ref="R85">XLOOKUP(E85,Store_Dim!A:A,Store_Dim!B:B,"Not Found")</f>
        <v>East</v>
      </c>
      <c r="S85" s="8" t="str">
        <f t="array" ref="S85">XLOOKUP(E85,Store_Dim!A:A,Store_Dim!D:D,"Not Found")</f>
        <v>Flagship</v>
      </c>
    </row>
    <row r="86" ht="14.25" customHeight="1">
      <c r="A86" s="8" t="s">
        <v>2038</v>
      </c>
      <c r="B86" s="12">
        <v>45564.0</v>
      </c>
      <c r="C86" s="8" t="s">
        <v>1329</v>
      </c>
      <c r="D86" s="8" t="s">
        <v>1725</v>
      </c>
      <c r="E86" s="8" t="s">
        <v>1937</v>
      </c>
      <c r="F86" s="8">
        <v>1.0</v>
      </c>
      <c r="G86" s="8">
        <v>773.57</v>
      </c>
      <c r="H86" s="8">
        <v>0.05</v>
      </c>
      <c r="I86" s="8">
        <f t="shared" si="1"/>
        <v>773.57</v>
      </c>
      <c r="J86" s="8">
        <f t="shared" si="2"/>
        <v>-38.6285</v>
      </c>
      <c r="K86" s="8" t="str">
        <f t="shared" si="3"/>
        <v>Sep</v>
      </c>
      <c r="L86" s="8">
        <f t="shared" si="4"/>
        <v>2024</v>
      </c>
      <c r="N86" s="8" t="str">
        <f t="array" ref="N86">XLOOKUP(C86,Customer_Dim!A:A,Customer_Dim!B:B,"Not Found")</f>
        <v>Rebecca Baker</v>
      </c>
      <c r="O86" s="8" t="str">
        <f t="array" ref="O86">XLOOKUP(C86,Customer_Dim!A:A,Customer_Dim!E:E,"Not Found")</f>
        <v>New Katherine</v>
      </c>
      <c r="P86" s="8" t="str">
        <f t="array" ref="P86">XLOOKUP(D86,Product_Dim!A:A,Product_Dim!B:B,"Not Found")</f>
        <v>Men's Winter Jacket</v>
      </c>
      <c r="Q86" s="8" t="str">
        <f t="array" ref="Q86">XLOOKUP(D86,Product_Dim!A:A,Product_Dim!C:C,"Not Found")</f>
        <v>Clothing</v>
      </c>
      <c r="R86" s="8" t="str">
        <f t="array" ref="R86">XLOOKUP(E86,Store_Dim!A:A,Store_Dim!B:B,"Not Found")</f>
        <v>North</v>
      </c>
      <c r="S86" s="8" t="str">
        <f t="array" ref="S86">XLOOKUP(E86,Store_Dim!A:A,Store_Dim!D:D,"Not Found")</f>
        <v>Flagship</v>
      </c>
    </row>
    <row r="87" ht="14.25" customHeight="1">
      <c r="A87" s="8" t="s">
        <v>2039</v>
      </c>
      <c r="B87" s="12">
        <v>45565.0</v>
      </c>
      <c r="C87" s="8" t="s">
        <v>215</v>
      </c>
      <c r="D87" s="8" t="s">
        <v>1854</v>
      </c>
      <c r="E87" s="8" t="s">
        <v>1919</v>
      </c>
      <c r="F87" s="8">
        <v>4.0</v>
      </c>
      <c r="G87" s="8">
        <v>127.1</v>
      </c>
      <c r="H87" s="8">
        <v>0.24</v>
      </c>
      <c r="I87" s="8">
        <f t="shared" si="1"/>
        <v>508.4</v>
      </c>
      <c r="J87" s="8">
        <f t="shared" si="2"/>
        <v>-121.776</v>
      </c>
      <c r="K87" s="8" t="str">
        <f t="shared" si="3"/>
        <v>Sep</v>
      </c>
      <c r="L87" s="8">
        <f t="shared" si="4"/>
        <v>2024</v>
      </c>
      <c r="N87" s="8" t="str">
        <f t="array" ref="N87">XLOOKUP(C87,Customer_Dim!A:A,Customer_Dim!B:B,"Not Found")</f>
        <v>Katherine Dorsey</v>
      </c>
      <c r="O87" s="8" t="str">
        <f t="array" ref="O87">XLOOKUP(C87,Customer_Dim!A:A,Customer_Dim!E:E,"Not Found")</f>
        <v>Christopherland</v>
      </c>
      <c r="P87" s="8" t="str">
        <f t="array" ref="P87">XLOOKUP(D87,Product_Dim!A:A,Product_Dim!B:B,"Not Found")</f>
        <v>Sports Wrist Sweatbands</v>
      </c>
      <c r="Q87" s="8" t="str">
        <f t="array" ref="Q87">XLOOKUP(D87,Product_Dim!A:A,Product_Dim!C:C,"Not Found")</f>
        <v>Sports</v>
      </c>
      <c r="R87" s="8" t="str">
        <f t="array" ref="R87">XLOOKUP(E87,Store_Dim!A:A,Store_Dim!B:B,"Not Found")</f>
        <v>South</v>
      </c>
      <c r="S87" s="8" t="str">
        <f t="array" ref="S87">XLOOKUP(E87,Store_Dim!A:A,Store_Dim!D:D,"Not Found")</f>
        <v>Online</v>
      </c>
    </row>
    <row r="88" ht="14.25" customHeight="1">
      <c r="A88" s="8" t="s">
        <v>2040</v>
      </c>
      <c r="B88" s="12">
        <v>45566.0</v>
      </c>
      <c r="C88" s="8" t="s">
        <v>972</v>
      </c>
      <c r="D88" s="8" t="s">
        <v>1642</v>
      </c>
      <c r="E88" s="8" t="s">
        <v>1910</v>
      </c>
      <c r="F88" s="8">
        <v>3.0</v>
      </c>
      <c r="G88" s="8">
        <v>899.58</v>
      </c>
      <c r="H88" s="8">
        <v>0.28</v>
      </c>
      <c r="I88" s="8">
        <f t="shared" si="1"/>
        <v>2698.74</v>
      </c>
      <c r="J88" s="8">
        <f t="shared" si="2"/>
        <v>-755.3672</v>
      </c>
      <c r="K88" s="8" t="str">
        <f t="shared" si="3"/>
        <v>Oct</v>
      </c>
      <c r="L88" s="8">
        <f t="shared" si="4"/>
        <v>2024</v>
      </c>
      <c r="N88" s="8" t="str">
        <f t="array" ref="N88">XLOOKUP(C88,Customer_Dim!A:A,Customer_Dim!B:B,"Not Found")</f>
        <v>John Sloan</v>
      </c>
      <c r="O88" s="8" t="str">
        <f t="array" ref="O88">XLOOKUP(C88,Customer_Dim!A:A,Customer_Dim!E:E,"Not Found")</f>
        <v>East Johntown</v>
      </c>
      <c r="P88" s="8" t="str">
        <f t="array" ref="P88">XLOOKUP(D88,Product_Dim!A:A,Product_Dim!B:B,"Not Found")</f>
        <v>Outdoor Sports Water Bottle</v>
      </c>
      <c r="Q88" s="8" t="str">
        <f t="array" ref="Q88">XLOOKUP(D88,Product_Dim!A:A,Product_Dim!C:C,"Not Found")</f>
        <v>Sports</v>
      </c>
      <c r="R88" s="8" t="str">
        <f t="array" ref="R88">XLOOKUP(E88,Store_Dim!A:A,Store_Dim!B:B,"Not Found")</f>
        <v>North</v>
      </c>
      <c r="S88" s="8" t="str">
        <f t="array" ref="S88">XLOOKUP(E88,Store_Dim!A:A,Store_Dim!D:D,"Not Found")</f>
        <v>Outlet</v>
      </c>
    </row>
    <row r="89" ht="14.25" customHeight="1">
      <c r="A89" s="8" t="s">
        <v>2041</v>
      </c>
      <c r="B89" s="12">
        <v>45567.0</v>
      </c>
      <c r="C89" s="8" t="s">
        <v>1044</v>
      </c>
      <c r="D89" s="8" t="s">
        <v>1567</v>
      </c>
      <c r="E89" s="8" t="s">
        <v>1926</v>
      </c>
      <c r="F89" s="8">
        <v>3.0</v>
      </c>
      <c r="G89" s="8">
        <v>964.39</v>
      </c>
      <c r="H89" s="8">
        <v>0.04</v>
      </c>
      <c r="I89" s="8">
        <f t="shared" si="1"/>
        <v>2893.17</v>
      </c>
      <c r="J89" s="8">
        <f t="shared" si="2"/>
        <v>-115.6868</v>
      </c>
      <c r="K89" s="8" t="str">
        <f t="shared" si="3"/>
        <v>Oct</v>
      </c>
      <c r="L89" s="8">
        <f t="shared" si="4"/>
        <v>2024</v>
      </c>
      <c r="N89" s="8" t="str">
        <f t="array" ref="N89">XLOOKUP(C89,Customer_Dim!A:A,Customer_Dim!B:B,"Not Found")</f>
        <v>Reginald Willis</v>
      </c>
      <c r="O89" s="8" t="str">
        <f t="array" ref="O89">XLOOKUP(C89,Customer_Dim!A:A,Customer_Dim!E:E,"Not Found")</f>
        <v>Kellybury</v>
      </c>
      <c r="P89" s="8" t="str">
        <f t="array" ref="P89">XLOOKUP(D89,Product_Dim!A:A,Product_Dim!B:B,"Not Found")</f>
        <v>Men's Graphic T-Shirt</v>
      </c>
      <c r="Q89" s="8" t="str">
        <f t="array" ref="Q89">XLOOKUP(D89,Product_Dim!A:A,Product_Dim!C:C,"Not Found")</f>
        <v>Clothing</v>
      </c>
      <c r="R89" s="8" t="str">
        <f t="array" ref="R89">XLOOKUP(E89,Store_Dim!A:A,Store_Dim!B:B,"Not Found")</f>
        <v>East</v>
      </c>
      <c r="S89" s="8" t="str">
        <f t="array" ref="S89">XLOOKUP(E89,Store_Dim!A:A,Store_Dim!D:D,"Not Found")</f>
        <v>Online</v>
      </c>
    </row>
    <row r="90" ht="14.25" customHeight="1">
      <c r="A90" s="8" t="s">
        <v>2042</v>
      </c>
      <c r="B90" s="12">
        <v>45568.0</v>
      </c>
      <c r="C90" s="8" t="s">
        <v>616</v>
      </c>
      <c r="D90" s="8" t="s">
        <v>1700</v>
      </c>
      <c r="E90" s="8" t="s">
        <v>1899</v>
      </c>
      <c r="F90" s="8">
        <v>2.0</v>
      </c>
      <c r="G90" s="8">
        <v>217.83</v>
      </c>
      <c r="H90" s="8">
        <v>0.14</v>
      </c>
      <c r="I90" s="8">
        <f t="shared" si="1"/>
        <v>435.66</v>
      </c>
      <c r="J90" s="8">
        <f t="shared" si="2"/>
        <v>-60.8524</v>
      </c>
      <c r="K90" s="8" t="str">
        <f t="shared" si="3"/>
        <v>Oct</v>
      </c>
      <c r="L90" s="8">
        <f t="shared" si="4"/>
        <v>2024</v>
      </c>
      <c r="N90" s="8" t="str">
        <f t="array" ref="N90">XLOOKUP(C90,Customer_Dim!A:A,Customer_Dim!B:B,"Not Found")</f>
        <v>Mario Jacobs</v>
      </c>
      <c r="O90" s="8" t="str">
        <f t="array" ref="O90">XLOOKUP(C90,Customer_Dim!A:A,Customer_Dim!E:E,"Not Found")</f>
        <v>Port James</v>
      </c>
      <c r="P90" s="8" t="str">
        <f t="array" ref="P90">XLOOKUP(D90,Product_Dim!A:A,Product_Dim!B:B,"Not Found")</f>
        <v>Sports Water Hydration Pack</v>
      </c>
      <c r="Q90" s="8" t="str">
        <f t="array" ref="Q90">XLOOKUP(D90,Product_Dim!A:A,Product_Dim!C:C,"Not Found")</f>
        <v>Sports</v>
      </c>
      <c r="R90" s="8" t="str">
        <f t="array" ref="R90">XLOOKUP(E90,Store_Dim!A:A,Store_Dim!B:B,"Not Found")</f>
        <v>East</v>
      </c>
      <c r="S90" s="8" t="str">
        <f t="array" ref="S90">XLOOKUP(E90,Store_Dim!A:A,Store_Dim!D:D,"Not Found")</f>
        <v>Flagship</v>
      </c>
    </row>
    <row r="91" ht="14.25" customHeight="1">
      <c r="A91" s="8" t="s">
        <v>2043</v>
      </c>
      <c r="B91" s="12">
        <v>45569.0</v>
      </c>
      <c r="C91" s="8" t="s">
        <v>496</v>
      </c>
      <c r="D91" s="8" t="s">
        <v>1632</v>
      </c>
      <c r="E91" s="8" t="s">
        <v>1903</v>
      </c>
      <c r="F91" s="8">
        <v>4.0</v>
      </c>
      <c r="G91" s="8">
        <v>187.71</v>
      </c>
      <c r="H91" s="8">
        <v>0.06</v>
      </c>
      <c r="I91" s="8">
        <f t="shared" si="1"/>
        <v>750.84</v>
      </c>
      <c r="J91" s="8">
        <f t="shared" si="2"/>
        <v>-44.9904</v>
      </c>
      <c r="K91" s="8" t="str">
        <f t="shared" si="3"/>
        <v>Oct</v>
      </c>
      <c r="L91" s="8">
        <f t="shared" si="4"/>
        <v>2024</v>
      </c>
      <c r="N91" s="8" t="str">
        <f t="array" ref="N91">XLOOKUP(C91,Customer_Dim!A:A,Customer_Dim!B:B,"Not Found")</f>
        <v>Carlos Skinner</v>
      </c>
      <c r="O91" s="8" t="str">
        <f t="array" ref="O91">XLOOKUP(C91,Customer_Dim!A:A,Customer_Dim!E:E,"Not Found")</f>
        <v>Dwaynemouth</v>
      </c>
      <c r="P91" s="8" t="str">
        <f t="array" ref="P91">XLOOKUP(D91,Product_Dim!A:A,Product_Dim!B:B,"Not Found")</f>
        <v>Soccer Training Cone Set</v>
      </c>
      <c r="Q91" s="8" t="str">
        <f t="array" ref="Q91">XLOOKUP(D91,Product_Dim!A:A,Product_Dim!C:C,"Not Found")</f>
        <v>Sports</v>
      </c>
      <c r="R91" s="8" t="str">
        <f t="array" ref="R91">XLOOKUP(E91,Store_Dim!A:A,Store_Dim!B:B,"Not Found")</f>
        <v>North</v>
      </c>
      <c r="S91" s="8" t="str">
        <f t="array" ref="S91">XLOOKUP(E91,Store_Dim!A:A,Store_Dim!D:D,"Not Found")</f>
        <v>Flagship</v>
      </c>
    </row>
    <row r="92" ht="14.25" customHeight="1">
      <c r="A92" s="8" t="s">
        <v>2044</v>
      </c>
      <c r="B92" s="12">
        <v>45570.0</v>
      </c>
      <c r="C92" s="8" t="s">
        <v>61</v>
      </c>
      <c r="D92" s="8" t="s">
        <v>1684</v>
      </c>
      <c r="E92" s="8" t="s">
        <v>1939</v>
      </c>
      <c r="F92" s="8">
        <v>2.0</v>
      </c>
      <c r="G92" s="8">
        <v>350.12</v>
      </c>
      <c r="H92" s="8">
        <v>0.12</v>
      </c>
      <c r="I92" s="8">
        <f t="shared" si="1"/>
        <v>700.24</v>
      </c>
      <c r="J92" s="8">
        <f t="shared" si="2"/>
        <v>-83.9088</v>
      </c>
      <c r="K92" s="8" t="str">
        <f t="shared" si="3"/>
        <v>Oct</v>
      </c>
      <c r="L92" s="8">
        <f t="shared" si="4"/>
        <v>2024</v>
      </c>
      <c r="N92" s="8" t="str">
        <f t="array" ref="N92">XLOOKUP(C92,Customer_Dim!A:A,Customer_Dim!B:B,"Not Found")</f>
        <v>Dominic Page</v>
      </c>
      <c r="O92" s="8" t="str">
        <f t="array" ref="O92">XLOOKUP(C92,Customer_Dim!A:A,Customer_Dim!E:E,"Not Found")</f>
        <v>Port Michaelburgh</v>
      </c>
      <c r="P92" s="8" t="str">
        <f t="array" ref="P92">XLOOKUP(D92,Product_Dim!A:A,Product_Dim!B:B,"Not Found")</f>
        <v>Modern Wall Clock</v>
      </c>
      <c r="Q92" s="8" t="str">
        <f t="array" ref="Q92">XLOOKUP(D92,Product_Dim!A:A,Product_Dim!C:C,"Not Found")</f>
        <v>Home</v>
      </c>
      <c r="R92" s="8" t="str">
        <f t="array" ref="R92">XLOOKUP(E92,Store_Dim!A:A,Store_Dim!B:B,"Not Found")</f>
        <v>East</v>
      </c>
      <c r="S92" s="8" t="str">
        <f t="array" ref="S92">XLOOKUP(E92,Store_Dim!A:A,Store_Dim!D:D,"Not Found")</f>
        <v>Flagship</v>
      </c>
    </row>
    <row r="93" ht="14.25" customHeight="1">
      <c r="A93" s="8" t="s">
        <v>2045</v>
      </c>
      <c r="B93" s="12">
        <v>45571.0</v>
      </c>
      <c r="C93" s="8" t="s">
        <v>1279</v>
      </c>
      <c r="D93" s="8" t="s">
        <v>1989</v>
      </c>
      <c r="E93" s="8" t="s">
        <v>1903</v>
      </c>
      <c r="F93" s="8">
        <v>4.0</v>
      </c>
      <c r="G93" s="8">
        <v>102.19</v>
      </c>
      <c r="H93" s="8">
        <v>0.17</v>
      </c>
      <c r="I93" s="8">
        <f t="shared" si="1"/>
        <v>408.76</v>
      </c>
      <c r="J93" s="8">
        <f t="shared" si="2"/>
        <v>-69.3192</v>
      </c>
      <c r="K93" s="8" t="str">
        <f t="shared" si="3"/>
        <v>Oct</v>
      </c>
      <c r="L93" s="8">
        <f t="shared" si="4"/>
        <v>2024</v>
      </c>
      <c r="N93" s="8" t="str">
        <f t="array" ref="N93">XLOOKUP(C93,Customer_Dim!A:A,Customer_Dim!B:B,"Not Found")</f>
        <v>David Lozano</v>
      </c>
      <c r="O93" s="8" t="str">
        <f t="array" ref="O93">XLOOKUP(C93,Customer_Dim!A:A,Customer_Dim!E:E,"Not Found")</f>
        <v>North Michaelfurt</v>
      </c>
      <c r="P93" s="8" t="str">
        <f t="array" ref="P93">XLOOKUP(D93,Product_Dim!A:A,Product_Dim!B:B,"Not Found")</f>
        <v>Not Found</v>
      </c>
      <c r="Q93" s="8" t="str">
        <f t="array" ref="Q93">XLOOKUP(D93,Product_Dim!A:A,Product_Dim!C:C,"Not Found")</f>
        <v>Not Found</v>
      </c>
      <c r="R93" s="8" t="str">
        <f t="array" ref="R93">XLOOKUP(E93,Store_Dim!A:A,Store_Dim!B:B,"Not Found")</f>
        <v>North</v>
      </c>
      <c r="S93" s="8" t="str">
        <f t="array" ref="S93">XLOOKUP(E93,Store_Dim!A:A,Store_Dim!D:D,"Not Found")</f>
        <v>Flagship</v>
      </c>
    </row>
    <row r="94" ht="14.25" customHeight="1">
      <c r="A94" s="8" t="s">
        <v>2046</v>
      </c>
      <c r="B94" s="12">
        <v>45572.0</v>
      </c>
      <c r="C94" s="8" t="s">
        <v>48</v>
      </c>
      <c r="D94" s="8" t="s">
        <v>1848</v>
      </c>
      <c r="E94" s="8" t="s">
        <v>1912</v>
      </c>
      <c r="F94" s="8">
        <v>1.0</v>
      </c>
      <c r="G94" s="8">
        <v>696.53</v>
      </c>
      <c r="H94" s="8">
        <v>0.17</v>
      </c>
      <c r="I94" s="8">
        <f t="shared" si="1"/>
        <v>696.53</v>
      </c>
      <c r="J94" s="8">
        <f t="shared" si="2"/>
        <v>-118.2401</v>
      </c>
      <c r="K94" s="8" t="str">
        <f t="shared" si="3"/>
        <v>Oct</v>
      </c>
      <c r="L94" s="8">
        <f t="shared" si="4"/>
        <v>2024</v>
      </c>
      <c r="N94" s="8" t="str">
        <f t="array" ref="N94">XLOOKUP(C94,Customer_Dim!A:A,Customer_Dim!B:B,"Not Found")</f>
        <v>Daniel Boyd</v>
      </c>
      <c r="O94" s="8" t="str">
        <f t="array" ref="O94">XLOOKUP(C94,Customer_Dim!A:A,Customer_Dim!E:E,"Not Found")</f>
        <v>West Pamelafurt</v>
      </c>
      <c r="P94" s="8" t="str">
        <f t="array" ref="P94">XLOOKUP(D94,Product_Dim!A:A,Product_Dim!B:B,"Not Found")</f>
        <v>Kitchen Cutting Board</v>
      </c>
      <c r="Q94" s="8" t="str">
        <f t="array" ref="Q94">XLOOKUP(D94,Product_Dim!A:A,Product_Dim!C:C,"Not Found")</f>
        <v>Home</v>
      </c>
      <c r="R94" s="8" t="str">
        <f t="array" ref="R94">XLOOKUP(E94,Store_Dim!A:A,Store_Dim!B:B,"Not Found")</f>
        <v>South</v>
      </c>
      <c r="S94" s="8" t="str">
        <f t="array" ref="S94">XLOOKUP(E94,Store_Dim!A:A,Store_Dim!D:D,"Not Found")</f>
        <v>Online</v>
      </c>
    </row>
    <row r="95" ht="14.25" customHeight="1">
      <c r="A95" s="8" t="s">
        <v>2047</v>
      </c>
      <c r="B95" s="12">
        <v>45573.0</v>
      </c>
      <c r="C95" s="8" t="s">
        <v>251</v>
      </c>
      <c r="D95" s="8" t="s">
        <v>1638</v>
      </c>
      <c r="E95" s="8" t="s">
        <v>1912</v>
      </c>
      <c r="F95" s="8">
        <v>2.0</v>
      </c>
      <c r="G95" s="8">
        <v>327.52</v>
      </c>
      <c r="H95" s="8">
        <v>0.15</v>
      </c>
      <c r="I95" s="8">
        <f t="shared" si="1"/>
        <v>655.04</v>
      </c>
      <c r="J95" s="8">
        <f t="shared" si="2"/>
        <v>-98.106</v>
      </c>
      <c r="K95" s="8" t="str">
        <f t="shared" si="3"/>
        <v>Oct</v>
      </c>
      <c r="L95" s="8">
        <f t="shared" si="4"/>
        <v>2024</v>
      </c>
      <c r="N95" s="8" t="str">
        <f t="array" ref="N95">XLOOKUP(C95,Customer_Dim!A:A,Customer_Dim!B:B,"Not Found")</f>
        <v>Michael Thomas</v>
      </c>
      <c r="O95" s="8" t="str">
        <f t="array" ref="O95">XLOOKUP(C95,Customer_Dim!A:A,Customer_Dim!E:E,"Not Found")</f>
        <v>Woodmouth</v>
      </c>
      <c r="P95" s="8" t="str">
        <f t="array" ref="P95">XLOOKUP(D95,Product_Dim!A:A,Product_Dim!B:B,"Not Found")</f>
        <v>Knee Support Brace</v>
      </c>
      <c r="Q95" s="8" t="str">
        <f t="array" ref="Q95">XLOOKUP(D95,Product_Dim!A:A,Product_Dim!C:C,"Not Found")</f>
        <v>Sports</v>
      </c>
      <c r="R95" s="8" t="str">
        <f t="array" ref="R95">XLOOKUP(E95,Store_Dim!A:A,Store_Dim!B:B,"Not Found")</f>
        <v>South</v>
      </c>
      <c r="S95" s="8" t="str">
        <f t="array" ref="S95">XLOOKUP(E95,Store_Dim!A:A,Store_Dim!D:D,"Not Found")</f>
        <v>Online</v>
      </c>
    </row>
    <row r="96" ht="14.25" customHeight="1">
      <c r="A96" s="8" t="s">
        <v>2048</v>
      </c>
      <c r="B96" s="12">
        <v>45574.0</v>
      </c>
      <c r="C96" s="8" t="s">
        <v>957</v>
      </c>
      <c r="D96" s="8" t="s">
        <v>1881</v>
      </c>
      <c r="E96" s="8" t="s">
        <v>1941</v>
      </c>
      <c r="F96" s="8">
        <v>2.0</v>
      </c>
      <c r="G96" s="8">
        <v>569.36</v>
      </c>
      <c r="H96" s="8">
        <v>0.01</v>
      </c>
      <c r="I96" s="8">
        <f t="shared" si="1"/>
        <v>1138.72</v>
      </c>
      <c r="J96" s="8">
        <f t="shared" si="2"/>
        <v>-11.3772</v>
      </c>
      <c r="K96" s="8" t="str">
        <f t="shared" si="3"/>
        <v>Oct</v>
      </c>
      <c r="L96" s="8">
        <f t="shared" si="4"/>
        <v>2024</v>
      </c>
      <c r="N96" s="8" t="str">
        <f t="array" ref="N96">XLOOKUP(C96,Customer_Dim!A:A,Customer_Dim!B:B,"Not Found")</f>
        <v>Tracy Stephens</v>
      </c>
      <c r="O96" s="8" t="str">
        <f t="array" ref="O96">XLOOKUP(C96,Customer_Dim!A:A,Customer_Dim!E:E,"Not Found")</f>
        <v>New Joshuatown</v>
      </c>
      <c r="P96" s="8" t="str">
        <f t="array" ref="P96">XLOOKUP(D96,Product_Dim!A:A,Product_Dim!B:B,"Not Found")</f>
        <v>Cricket Bat</v>
      </c>
      <c r="Q96" s="8" t="str">
        <f t="array" ref="Q96">XLOOKUP(D96,Product_Dim!A:A,Product_Dim!C:C,"Not Found")</f>
        <v>Sports</v>
      </c>
      <c r="R96" s="8" t="str">
        <f t="array" ref="R96">XLOOKUP(E96,Store_Dim!A:A,Store_Dim!B:B,"Not Found")</f>
        <v>East</v>
      </c>
      <c r="S96" s="8" t="str">
        <f t="array" ref="S96">XLOOKUP(E96,Store_Dim!A:A,Store_Dim!D:D,"Not Found")</f>
        <v>Online</v>
      </c>
    </row>
    <row r="97" ht="14.25" customHeight="1">
      <c r="A97" s="8" t="s">
        <v>2049</v>
      </c>
      <c r="B97" s="12">
        <v>45575.0</v>
      </c>
      <c r="C97" s="8" t="s">
        <v>1026</v>
      </c>
      <c r="D97" s="8" t="s">
        <v>1887</v>
      </c>
      <c r="E97" s="8" t="s">
        <v>1917</v>
      </c>
      <c r="F97" s="8">
        <v>2.0</v>
      </c>
      <c r="G97" s="8">
        <v>68.29</v>
      </c>
      <c r="H97" s="8">
        <v>0.14</v>
      </c>
      <c r="I97" s="8">
        <f t="shared" si="1"/>
        <v>136.58</v>
      </c>
      <c r="J97" s="8">
        <f t="shared" si="2"/>
        <v>-18.9812</v>
      </c>
      <c r="K97" s="8" t="str">
        <f t="shared" si="3"/>
        <v>Oct</v>
      </c>
      <c r="L97" s="8">
        <f t="shared" si="4"/>
        <v>2024</v>
      </c>
      <c r="N97" s="8" t="str">
        <f t="array" ref="N97">XLOOKUP(C97,Customer_Dim!A:A,Customer_Dim!B:B,"Not Found")</f>
        <v>Darren Burton</v>
      </c>
      <c r="O97" s="8" t="str">
        <f t="array" ref="O97">XLOOKUP(C97,Customer_Dim!A:A,Customer_Dim!E:E,"Not Found")</f>
        <v>Lake Alice</v>
      </c>
      <c r="P97" s="8" t="str">
        <f t="array" ref="P97">XLOOKUP(D97,Product_Dim!A:A,Product_Dim!B:B,"Not Found")</f>
        <v>Stainless Steel Cookware Set</v>
      </c>
      <c r="Q97" s="8" t="str">
        <f t="array" ref="Q97">XLOOKUP(D97,Product_Dim!A:A,Product_Dim!C:C,"Not Found")</f>
        <v>Home</v>
      </c>
      <c r="R97" s="8" t="str">
        <f t="array" ref="R97">XLOOKUP(E97,Store_Dim!A:A,Store_Dim!B:B,"Not Found")</f>
        <v>East</v>
      </c>
      <c r="S97" s="8" t="str">
        <f t="array" ref="S97">XLOOKUP(E97,Store_Dim!A:A,Store_Dim!D:D,"Not Found")</f>
        <v>Online</v>
      </c>
    </row>
    <row r="98" ht="14.25" customHeight="1">
      <c r="A98" s="8" t="s">
        <v>2050</v>
      </c>
      <c r="B98" s="12">
        <v>45576.0</v>
      </c>
      <c r="C98" s="8" t="s">
        <v>797</v>
      </c>
      <c r="D98" s="8" t="s">
        <v>1739</v>
      </c>
      <c r="E98" s="8" t="s">
        <v>1926</v>
      </c>
      <c r="F98" s="8">
        <v>1.0</v>
      </c>
      <c r="G98" s="8">
        <v>842.9</v>
      </c>
      <c r="H98" s="8">
        <v>0.06</v>
      </c>
      <c r="I98" s="8">
        <f t="shared" si="1"/>
        <v>842.9</v>
      </c>
      <c r="J98" s="8">
        <f t="shared" si="2"/>
        <v>-50.514</v>
      </c>
      <c r="K98" s="8" t="str">
        <f t="shared" si="3"/>
        <v>Oct</v>
      </c>
      <c r="L98" s="8">
        <f t="shared" si="4"/>
        <v>2024</v>
      </c>
      <c r="N98" s="8" t="str">
        <f t="array" ref="N98">XLOOKUP(C98,Customer_Dim!A:A,Customer_Dim!B:B,"Not Found")</f>
        <v>Nancy Page</v>
      </c>
      <c r="O98" s="8" t="str">
        <f t="array" ref="O98">XLOOKUP(C98,Customer_Dim!A:A,Customer_Dim!E:E,"Not Found")</f>
        <v>West Julia</v>
      </c>
      <c r="P98" s="8" t="str">
        <f t="array" ref="P98">XLOOKUP(D98,Product_Dim!A:A,Product_Dim!B:B,"Not Found")</f>
        <v>Boxing Hand Wraps</v>
      </c>
      <c r="Q98" s="8" t="str">
        <f t="array" ref="Q98">XLOOKUP(D98,Product_Dim!A:A,Product_Dim!C:C,"Not Found")</f>
        <v>Sports</v>
      </c>
      <c r="R98" s="8" t="str">
        <f t="array" ref="R98">XLOOKUP(E98,Store_Dim!A:A,Store_Dim!B:B,"Not Found")</f>
        <v>East</v>
      </c>
      <c r="S98" s="8" t="str">
        <f t="array" ref="S98">XLOOKUP(E98,Store_Dim!A:A,Store_Dim!D:D,"Not Found")</f>
        <v>Online</v>
      </c>
    </row>
    <row r="99" ht="14.25" customHeight="1">
      <c r="A99" s="8" t="s">
        <v>2051</v>
      </c>
      <c r="B99" s="12">
        <v>45577.0</v>
      </c>
      <c r="C99" s="8" t="s">
        <v>926</v>
      </c>
      <c r="D99" s="8" t="s">
        <v>2052</v>
      </c>
      <c r="E99" s="8" t="s">
        <v>1910</v>
      </c>
      <c r="F99" s="8">
        <v>3.0</v>
      </c>
      <c r="G99" s="8">
        <v>751.94</v>
      </c>
      <c r="H99" s="8">
        <v>0.26</v>
      </c>
      <c r="I99" s="8">
        <f t="shared" si="1"/>
        <v>2255.82</v>
      </c>
      <c r="J99" s="8">
        <f t="shared" si="2"/>
        <v>-586.2532</v>
      </c>
      <c r="K99" s="8" t="str">
        <f t="shared" si="3"/>
        <v>Oct</v>
      </c>
      <c r="L99" s="8">
        <f t="shared" si="4"/>
        <v>2024</v>
      </c>
      <c r="N99" s="8" t="str">
        <f t="array" ref="N99">XLOOKUP(C99,Customer_Dim!A:A,Customer_Dim!B:B,"Not Found")</f>
        <v>Cynthia Roberts</v>
      </c>
      <c r="O99" s="8" t="str">
        <f t="array" ref="O99">XLOOKUP(C99,Customer_Dim!A:A,Customer_Dim!E:E,"Not Found")</f>
        <v>Millerfort</v>
      </c>
      <c r="P99" s="8" t="str">
        <f t="array" ref="P99">XLOOKUP(D99,Product_Dim!A:A,Product_Dim!B:B,"Not Found")</f>
        <v>Not Found</v>
      </c>
      <c r="Q99" s="8" t="str">
        <f t="array" ref="Q99">XLOOKUP(D99,Product_Dim!A:A,Product_Dim!C:C,"Not Found")</f>
        <v>Not Found</v>
      </c>
      <c r="R99" s="8" t="str">
        <f t="array" ref="R99">XLOOKUP(E99,Store_Dim!A:A,Store_Dim!B:B,"Not Found")</f>
        <v>North</v>
      </c>
      <c r="S99" s="8" t="str">
        <f t="array" ref="S99">XLOOKUP(E99,Store_Dim!A:A,Store_Dim!D:D,"Not Found")</f>
        <v>Outlet</v>
      </c>
    </row>
    <row r="100" ht="14.25" customHeight="1">
      <c r="A100" s="8" t="s">
        <v>2053</v>
      </c>
      <c r="B100" s="12">
        <v>45578.0</v>
      </c>
      <c r="C100" s="8" t="s">
        <v>461</v>
      </c>
      <c r="D100" s="8" t="s">
        <v>1757</v>
      </c>
      <c r="E100" s="8" t="s">
        <v>1919</v>
      </c>
      <c r="F100" s="8">
        <v>4.0</v>
      </c>
      <c r="G100" s="8">
        <v>476.28</v>
      </c>
      <c r="H100" s="8">
        <v>0.17</v>
      </c>
      <c r="I100" s="8">
        <f t="shared" si="1"/>
        <v>1905.12</v>
      </c>
      <c r="J100" s="8">
        <f t="shared" si="2"/>
        <v>-323.7004</v>
      </c>
      <c r="K100" s="8" t="str">
        <f t="shared" si="3"/>
        <v>Oct</v>
      </c>
      <c r="L100" s="8">
        <f t="shared" si="4"/>
        <v>2024</v>
      </c>
      <c r="N100" s="8" t="str">
        <f t="array" ref="N100">XLOOKUP(C100,Customer_Dim!A:A,Customer_Dim!B:B,"Not Found")</f>
        <v>Joseph Richards</v>
      </c>
      <c r="O100" s="8" t="str">
        <f t="array" ref="O100">XLOOKUP(C100,Customer_Dim!A:A,Customer_Dim!E:E,"Not Found")</f>
        <v>Wigginsville</v>
      </c>
      <c r="P100" s="8" t="str">
        <f t="array" ref="P100">XLOOKUP(D100,Product_Dim!A:A,Product_Dim!B:B,"Not Found")</f>
        <v>Premium Blanket Throw</v>
      </c>
      <c r="Q100" s="8" t="str">
        <f t="array" ref="Q100">XLOOKUP(D100,Product_Dim!A:A,Product_Dim!C:C,"Not Found")</f>
        <v>Home</v>
      </c>
      <c r="R100" s="8" t="str">
        <f t="array" ref="R100">XLOOKUP(E100,Store_Dim!A:A,Store_Dim!B:B,"Not Found")</f>
        <v>South</v>
      </c>
      <c r="S100" s="8" t="str">
        <f t="array" ref="S100">XLOOKUP(E100,Store_Dim!A:A,Store_Dim!D:D,"Not Found")</f>
        <v>Online</v>
      </c>
    </row>
    <row r="101" ht="14.25" customHeight="1">
      <c r="A101" s="8" t="s">
        <v>2054</v>
      </c>
      <c r="B101" s="12">
        <v>45579.0</v>
      </c>
      <c r="C101" s="8" t="s">
        <v>1038</v>
      </c>
      <c r="D101" s="8" t="s">
        <v>1751</v>
      </c>
      <c r="E101" s="8" t="s">
        <v>1910</v>
      </c>
      <c r="F101" s="8">
        <v>3.0</v>
      </c>
      <c r="G101" s="8">
        <v>541.99</v>
      </c>
      <c r="H101" s="8">
        <v>0.24</v>
      </c>
      <c r="I101" s="8">
        <f t="shared" si="1"/>
        <v>1625.97</v>
      </c>
      <c r="J101" s="8">
        <f t="shared" si="2"/>
        <v>-389.9928</v>
      </c>
      <c r="K101" s="8" t="str">
        <f t="shared" si="3"/>
        <v>Oct</v>
      </c>
      <c r="L101" s="8">
        <f t="shared" si="4"/>
        <v>2024</v>
      </c>
      <c r="N101" s="8" t="str">
        <f t="array" ref="N101">XLOOKUP(C101,Customer_Dim!A:A,Customer_Dim!B:B,"Not Found")</f>
        <v>Andrew Smith</v>
      </c>
      <c r="O101" s="8" t="str">
        <f t="array" ref="O101">XLOOKUP(C101,Customer_Dim!A:A,Customer_Dim!E:E,"Not Found")</f>
        <v>East Matthew</v>
      </c>
      <c r="P101" s="8" t="str">
        <f t="array" ref="P101">XLOOKUP(D101,Product_Dim!A:A,Product_Dim!B:B,"Not Found")</f>
        <v>Sports Stopwatch Pro</v>
      </c>
      <c r="Q101" s="8" t="str">
        <f t="array" ref="Q101">XLOOKUP(D101,Product_Dim!A:A,Product_Dim!C:C,"Not Found")</f>
        <v>Sports</v>
      </c>
      <c r="R101" s="8" t="str">
        <f t="array" ref="R101">XLOOKUP(E101,Store_Dim!A:A,Store_Dim!B:B,"Not Found")</f>
        <v>North</v>
      </c>
      <c r="S101" s="8" t="str">
        <f t="array" ref="S101">XLOOKUP(E101,Store_Dim!A:A,Store_Dim!D:D,"Not Found")</f>
        <v>Outlet</v>
      </c>
    </row>
    <row r="102" ht="14.25" customHeight="1">
      <c r="A102" s="8" t="s">
        <v>2055</v>
      </c>
      <c r="B102" s="12">
        <v>45580.0</v>
      </c>
      <c r="C102" s="8" t="s">
        <v>1170</v>
      </c>
      <c r="D102" s="8" t="s">
        <v>1684</v>
      </c>
      <c r="E102" s="8" t="s">
        <v>1915</v>
      </c>
      <c r="F102" s="8">
        <v>2.0</v>
      </c>
      <c r="G102" s="8">
        <v>401.5</v>
      </c>
      <c r="H102" s="8">
        <v>0.18</v>
      </c>
      <c r="I102" s="8">
        <f t="shared" si="1"/>
        <v>803</v>
      </c>
      <c r="J102" s="8">
        <f t="shared" si="2"/>
        <v>-144.36</v>
      </c>
      <c r="K102" s="8" t="str">
        <f t="shared" si="3"/>
        <v>Oct</v>
      </c>
      <c r="L102" s="8">
        <f t="shared" si="4"/>
        <v>2024</v>
      </c>
      <c r="N102" s="8" t="str">
        <f t="array" ref="N102">XLOOKUP(C102,Customer_Dim!A:A,Customer_Dim!B:B,"Not Found")</f>
        <v>Gregory Allen</v>
      </c>
      <c r="O102" s="8" t="str">
        <f t="array" ref="O102">XLOOKUP(C102,Customer_Dim!A:A,Customer_Dim!E:E,"Not Found")</f>
        <v>West Bruce</v>
      </c>
      <c r="P102" s="8" t="str">
        <f t="array" ref="P102">XLOOKUP(D102,Product_Dim!A:A,Product_Dim!B:B,"Not Found")</f>
        <v>Modern Wall Clock</v>
      </c>
      <c r="Q102" s="8" t="str">
        <f t="array" ref="Q102">XLOOKUP(D102,Product_Dim!A:A,Product_Dim!C:C,"Not Found")</f>
        <v>Home</v>
      </c>
      <c r="R102" s="8" t="str">
        <f t="array" ref="R102">XLOOKUP(E102,Store_Dim!A:A,Store_Dim!B:B,"Not Found")</f>
        <v>North</v>
      </c>
      <c r="S102" s="8" t="str">
        <f t="array" ref="S102">XLOOKUP(E102,Store_Dim!A:A,Store_Dim!D:D,"Not Found")</f>
        <v>Outlet</v>
      </c>
    </row>
    <row r="103" ht="14.25" customHeight="1">
      <c r="A103" s="8" t="s">
        <v>2056</v>
      </c>
      <c r="B103" s="12">
        <v>45581.0</v>
      </c>
      <c r="C103" s="8" t="s">
        <v>314</v>
      </c>
      <c r="D103" s="8" t="s">
        <v>1659</v>
      </c>
      <c r="E103" s="8" t="s">
        <v>1931</v>
      </c>
      <c r="F103" s="8">
        <v>3.0</v>
      </c>
      <c r="G103" s="8">
        <v>359.56</v>
      </c>
      <c r="H103" s="8">
        <v>0.17</v>
      </c>
      <c r="I103" s="8">
        <f t="shared" si="1"/>
        <v>1078.68</v>
      </c>
      <c r="J103" s="8">
        <f t="shared" si="2"/>
        <v>-183.2056</v>
      </c>
      <c r="K103" s="8" t="str">
        <f t="shared" si="3"/>
        <v>Oct</v>
      </c>
      <c r="L103" s="8">
        <f t="shared" si="4"/>
        <v>2024</v>
      </c>
      <c r="N103" s="8" t="str">
        <f t="array" ref="N103">XLOOKUP(C103,Customer_Dim!A:A,Customer_Dim!B:B,"Not Found")</f>
        <v>Christy Hoffman</v>
      </c>
      <c r="O103" s="8" t="str">
        <f t="array" ref="O103">XLOOKUP(C103,Customer_Dim!A:A,Customer_Dim!E:E,"Not Found")</f>
        <v>Garyberg</v>
      </c>
      <c r="P103" s="8" t="str">
        <f t="array" ref="P103">XLOOKUP(D103,Product_Dim!A:A,Product_Dim!B:B,"Not Found")</f>
        <v>Women's Scarf Set</v>
      </c>
      <c r="Q103" s="8" t="str">
        <f t="array" ref="Q103">XLOOKUP(D103,Product_Dim!A:A,Product_Dim!C:C,"Not Found")</f>
        <v>Clothing</v>
      </c>
      <c r="R103" s="8" t="str">
        <f t="array" ref="R103">XLOOKUP(E103,Store_Dim!A:A,Store_Dim!B:B,"Not Found")</f>
        <v>East</v>
      </c>
      <c r="S103" s="8" t="str">
        <f t="array" ref="S103">XLOOKUP(E103,Store_Dim!A:A,Store_Dim!D:D,"Not Found")</f>
        <v>Flagship</v>
      </c>
    </row>
    <row r="104" ht="14.25" customHeight="1">
      <c r="A104" s="8" t="s">
        <v>2057</v>
      </c>
      <c r="B104" s="12">
        <v>45582.0</v>
      </c>
      <c r="C104" s="8" t="s">
        <v>357</v>
      </c>
      <c r="D104" s="8" t="s">
        <v>1830</v>
      </c>
      <c r="E104" s="8" t="s">
        <v>1929</v>
      </c>
      <c r="F104" s="8">
        <v>2.0</v>
      </c>
      <c r="G104" s="8">
        <v>471.88</v>
      </c>
      <c r="H104" s="8">
        <v>0.24</v>
      </c>
      <c r="I104" s="8">
        <f t="shared" si="1"/>
        <v>943.76</v>
      </c>
      <c r="J104" s="8">
        <f t="shared" si="2"/>
        <v>-226.2624</v>
      </c>
      <c r="K104" s="8" t="str">
        <f t="shared" si="3"/>
        <v>Oct</v>
      </c>
      <c r="L104" s="8">
        <f t="shared" si="4"/>
        <v>2024</v>
      </c>
      <c r="N104" s="8" t="str">
        <f t="array" ref="N104">XLOOKUP(C104,Customer_Dim!A:A,Customer_Dim!B:B,"Not Found")</f>
        <v>David Cobb</v>
      </c>
      <c r="O104" s="8" t="str">
        <f t="array" ref="O104">XLOOKUP(C104,Customer_Dim!A:A,Customer_Dim!E:E,"Not Found")</f>
        <v>Lake Thomas</v>
      </c>
      <c r="P104" s="8" t="str">
        <f t="array" ref="P104">XLOOKUP(D104,Product_Dim!A:A,Product_Dim!B:B,"Not Found")</f>
        <v>Wall-Mounted Spice Rack</v>
      </c>
      <c r="Q104" s="8" t="str">
        <f t="array" ref="Q104">XLOOKUP(D104,Product_Dim!A:A,Product_Dim!C:C,"Not Found")</f>
        <v>Home</v>
      </c>
      <c r="R104" s="8" t="str">
        <f t="array" ref="R104">XLOOKUP(E104,Store_Dim!A:A,Store_Dim!B:B,"Not Found")</f>
        <v>North</v>
      </c>
      <c r="S104" s="8" t="str">
        <f t="array" ref="S104">XLOOKUP(E104,Store_Dim!A:A,Store_Dim!D:D,"Not Found")</f>
        <v>Online</v>
      </c>
    </row>
    <row r="105" ht="14.25" customHeight="1">
      <c r="A105" s="8" t="s">
        <v>2058</v>
      </c>
      <c r="B105" s="12">
        <v>45583.0</v>
      </c>
      <c r="C105" s="8" t="s">
        <v>613</v>
      </c>
      <c r="D105" s="8" t="s">
        <v>1687</v>
      </c>
      <c r="E105" s="8" t="s">
        <v>1912</v>
      </c>
      <c r="F105" s="8">
        <v>4.0</v>
      </c>
      <c r="G105" s="8">
        <v>925.19</v>
      </c>
      <c r="H105" s="8">
        <v>0.19</v>
      </c>
      <c r="I105" s="8">
        <f t="shared" si="1"/>
        <v>3700.76</v>
      </c>
      <c r="J105" s="8">
        <f t="shared" si="2"/>
        <v>-702.9544</v>
      </c>
      <c r="K105" s="8" t="str">
        <f t="shared" si="3"/>
        <v>Oct</v>
      </c>
      <c r="L105" s="8">
        <f t="shared" si="4"/>
        <v>2024</v>
      </c>
      <c r="N105" s="8" t="str">
        <f t="array" ref="N105">XLOOKUP(C105,Customer_Dim!A:A,Customer_Dim!B:B,"Not Found")</f>
        <v>Melissa Hamilton</v>
      </c>
      <c r="O105" s="8" t="str">
        <f t="array" ref="O105">XLOOKUP(C105,Customer_Dim!A:A,Customer_Dim!E:E,"Not Found")</f>
        <v>Hutchinsonville</v>
      </c>
      <c r="P105" s="8" t="str">
        <f t="array" ref="P105">XLOOKUP(D105,Product_Dim!A:A,Product_Dim!B:B,"Not Found")</f>
        <v>Gaming Mechanical Keyboard</v>
      </c>
      <c r="Q105" s="8" t="str">
        <f t="array" ref="Q105">XLOOKUP(D105,Product_Dim!A:A,Product_Dim!C:C,"Not Found")</f>
        <v>Electronics</v>
      </c>
      <c r="R105" s="8" t="str">
        <f t="array" ref="R105">XLOOKUP(E105,Store_Dim!A:A,Store_Dim!B:B,"Not Found")</f>
        <v>South</v>
      </c>
      <c r="S105" s="8" t="str">
        <f t="array" ref="S105">XLOOKUP(E105,Store_Dim!A:A,Store_Dim!D:D,"Not Found")</f>
        <v>Online</v>
      </c>
    </row>
    <row r="106" ht="14.25" customHeight="1">
      <c r="A106" s="8" t="s">
        <v>2059</v>
      </c>
      <c r="B106" s="12">
        <v>45584.0</v>
      </c>
      <c r="C106" s="8" t="s">
        <v>131</v>
      </c>
      <c r="D106" s="8" t="s">
        <v>1848</v>
      </c>
      <c r="E106" s="8" t="s">
        <v>1928</v>
      </c>
      <c r="F106" s="8">
        <v>2.0</v>
      </c>
      <c r="G106" s="8">
        <v>879.63</v>
      </c>
      <c r="H106" s="8">
        <v>0.07</v>
      </c>
      <c r="I106" s="8">
        <f t="shared" si="1"/>
        <v>1759.26</v>
      </c>
      <c r="J106" s="8">
        <f t="shared" si="2"/>
        <v>-123.0782</v>
      </c>
      <c r="K106" s="8" t="str">
        <f t="shared" si="3"/>
        <v>Oct</v>
      </c>
      <c r="L106" s="8">
        <f t="shared" si="4"/>
        <v>2024</v>
      </c>
      <c r="N106" s="8" t="str">
        <f t="array" ref="N106">XLOOKUP(C106,Customer_Dim!A:A,Customer_Dim!B:B,"Not Found")</f>
        <v>David Arnold</v>
      </c>
      <c r="O106" s="8" t="str">
        <f t="array" ref="O106">XLOOKUP(C106,Customer_Dim!A:A,Customer_Dim!E:E,"Not Found")</f>
        <v>East Jennifer</v>
      </c>
      <c r="P106" s="8" t="str">
        <f t="array" ref="P106">XLOOKUP(D106,Product_Dim!A:A,Product_Dim!B:B,"Not Found")</f>
        <v>Kitchen Cutting Board</v>
      </c>
      <c r="Q106" s="8" t="str">
        <f t="array" ref="Q106">XLOOKUP(D106,Product_Dim!A:A,Product_Dim!C:C,"Not Found")</f>
        <v>Home</v>
      </c>
      <c r="R106" s="8" t="str">
        <f t="array" ref="R106">XLOOKUP(E106,Store_Dim!A:A,Store_Dim!B:B,"Not Found")</f>
        <v>South</v>
      </c>
      <c r="S106" s="8" t="str">
        <f t="array" ref="S106">XLOOKUP(E106,Store_Dim!A:A,Store_Dim!D:D,"Not Found")</f>
        <v>Online</v>
      </c>
    </row>
    <row r="107" ht="14.25" customHeight="1">
      <c r="A107" s="8" t="s">
        <v>2060</v>
      </c>
      <c r="B107" s="12">
        <v>45585.0</v>
      </c>
      <c r="C107" s="8" t="s">
        <v>26</v>
      </c>
      <c r="D107" s="8" t="s">
        <v>1827</v>
      </c>
      <c r="E107" s="8" t="s">
        <v>1937</v>
      </c>
      <c r="F107" s="8">
        <v>2.0</v>
      </c>
      <c r="G107" s="8">
        <v>418.23</v>
      </c>
      <c r="H107" s="8">
        <v>0.28</v>
      </c>
      <c r="I107" s="8">
        <f t="shared" si="1"/>
        <v>836.46</v>
      </c>
      <c r="J107" s="8">
        <f t="shared" si="2"/>
        <v>-233.9288</v>
      </c>
      <c r="K107" s="8" t="str">
        <f t="shared" si="3"/>
        <v>Oct</v>
      </c>
      <c r="L107" s="8">
        <f t="shared" si="4"/>
        <v>2024</v>
      </c>
      <c r="N107" s="8" t="str">
        <f t="array" ref="N107">XLOOKUP(C107,Customer_Dim!A:A,Customer_Dim!B:B,"Not Found")</f>
        <v>dr. Benjamin Price</v>
      </c>
      <c r="O107" s="8" t="str">
        <f t="array" ref="O107">XLOOKUP(C107,Customer_Dim!A:A,Customer_Dim!E:E,"Not Found")</f>
        <v>Kylebury</v>
      </c>
      <c r="P107" s="8" t="str">
        <f t="array" ref="P107">XLOOKUP(D107,Product_Dim!A:A,Product_Dim!B:B,"Not Found")</f>
        <v>Decorative Lamp Shade</v>
      </c>
      <c r="Q107" s="8" t="str">
        <f t="array" ref="Q107">XLOOKUP(D107,Product_Dim!A:A,Product_Dim!C:C,"Not Found")</f>
        <v>Home</v>
      </c>
      <c r="R107" s="8" t="str">
        <f t="array" ref="R107">XLOOKUP(E107,Store_Dim!A:A,Store_Dim!B:B,"Not Found")</f>
        <v>North</v>
      </c>
      <c r="S107" s="8" t="str">
        <f t="array" ref="S107">XLOOKUP(E107,Store_Dim!A:A,Store_Dim!D:D,"Not Found")</f>
        <v>Flagship</v>
      </c>
    </row>
    <row r="108" ht="14.25" customHeight="1">
      <c r="A108" s="8" t="s">
        <v>2061</v>
      </c>
      <c r="B108" s="12">
        <v>45586.0</v>
      </c>
      <c r="C108" s="8" t="s">
        <v>872</v>
      </c>
      <c r="D108" s="8" t="s">
        <v>1638</v>
      </c>
      <c r="E108" s="8" t="s">
        <v>1939</v>
      </c>
      <c r="F108" s="8">
        <v>3.0</v>
      </c>
      <c r="G108" s="8">
        <v>551.72</v>
      </c>
      <c r="H108" s="8">
        <v>0.03</v>
      </c>
      <c r="I108" s="8">
        <f t="shared" si="1"/>
        <v>1655.16</v>
      </c>
      <c r="J108" s="8">
        <f t="shared" si="2"/>
        <v>-49.6248</v>
      </c>
      <c r="K108" s="8" t="str">
        <f t="shared" si="3"/>
        <v>Oct</v>
      </c>
      <c r="L108" s="8">
        <f t="shared" si="4"/>
        <v>2024</v>
      </c>
      <c r="N108" s="8" t="str">
        <f t="array" ref="N108">XLOOKUP(C108,Customer_Dim!A:A,Customer_Dim!B:B,"Not Found")</f>
        <v>Tyrone Olson</v>
      </c>
      <c r="O108" s="8" t="str">
        <f t="array" ref="O108">XLOOKUP(C108,Customer_Dim!A:A,Customer_Dim!E:E,"Not Found")</f>
        <v>Emilytown</v>
      </c>
      <c r="P108" s="8" t="str">
        <f t="array" ref="P108">XLOOKUP(D108,Product_Dim!A:A,Product_Dim!B:B,"Not Found")</f>
        <v>Knee Support Brace</v>
      </c>
      <c r="Q108" s="8" t="str">
        <f t="array" ref="Q108">XLOOKUP(D108,Product_Dim!A:A,Product_Dim!C:C,"Not Found")</f>
        <v>Sports</v>
      </c>
      <c r="R108" s="8" t="str">
        <f t="array" ref="R108">XLOOKUP(E108,Store_Dim!A:A,Store_Dim!B:B,"Not Found")</f>
        <v>East</v>
      </c>
      <c r="S108" s="8" t="str">
        <f t="array" ref="S108">XLOOKUP(E108,Store_Dim!A:A,Store_Dim!D:D,"Not Found")</f>
        <v>Flagship</v>
      </c>
    </row>
    <row r="109" ht="14.25" customHeight="1">
      <c r="A109" s="8" t="s">
        <v>2062</v>
      </c>
      <c r="B109" s="12">
        <v>45587.0</v>
      </c>
      <c r="C109" s="8" t="s">
        <v>1077</v>
      </c>
      <c r="D109" s="8" t="s">
        <v>1848</v>
      </c>
      <c r="E109" s="8" t="s">
        <v>1919</v>
      </c>
      <c r="F109" s="8">
        <v>4.0</v>
      </c>
      <c r="G109" s="8">
        <v>525.61</v>
      </c>
      <c r="H109" s="8">
        <v>0.02</v>
      </c>
      <c r="I109" s="8">
        <f t="shared" si="1"/>
        <v>2102.44</v>
      </c>
      <c r="J109" s="8">
        <f t="shared" si="2"/>
        <v>-42.0288</v>
      </c>
      <c r="K109" s="8" t="str">
        <f t="shared" si="3"/>
        <v>Oct</v>
      </c>
      <c r="L109" s="8">
        <f t="shared" si="4"/>
        <v>2024</v>
      </c>
      <c r="N109" s="8" t="str">
        <f t="array" ref="N109">XLOOKUP(C109,Customer_Dim!A:A,Customer_Dim!B:B,"Not Found")</f>
        <v>Jasmine Snyder</v>
      </c>
      <c r="O109" s="8" t="str">
        <f t="array" ref="O109">XLOOKUP(C109,Customer_Dim!A:A,Customer_Dim!E:E,"Not Found")</f>
        <v>Hudsonfort</v>
      </c>
      <c r="P109" s="8" t="str">
        <f t="array" ref="P109">XLOOKUP(D109,Product_Dim!A:A,Product_Dim!B:B,"Not Found")</f>
        <v>Kitchen Cutting Board</v>
      </c>
      <c r="Q109" s="8" t="str">
        <f t="array" ref="Q109">XLOOKUP(D109,Product_Dim!A:A,Product_Dim!C:C,"Not Found")</f>
        <v>Home</v>
      </c>
      <c r="R109" s="8" t="str">
        <f t="array" ref="R109">XLOOKUP(E109,Store_Dim!A:A,Store_Dim!B:B,"Not Found")</f>
        <v>South</v>
      </c>
      <c r="S109" s="8" t="str">
        <f t="array" ref="S109">XLOOKUP(E109,Store_Dim!A:A,Store_Dim!D:D,"Not Found")</f>
        <v>Online</v>
      </c>
    </row>
    <row r="110" ht="14.25" customHeight="1">
      <c r="A110" s="8" t="s">
        <v>2063</v>
      </c>
      <c r="B110" s="12">
        <v>45588.0</v>
      </c>
      <c r="C110" s="8" t="s">
        <v>170</v>
      </c>
      <c r="D110" s="8" t="s">
        <v>1649</v>
      </c>
      <c r="E110" s="8" t="s">
        <v>1931</v>
      </c>
      <c r="F110" s="8">
        <v>3.0</v>
      </c>
      <c r="G110" s="8">
        <v>815.3</v>
      </c>
      <c r="H110" s="8">
        <v>0.03</v>
      </c>
      <c r="I110" s="8">
        <f t="shared" si="1"/>
        <v>2445.9</v>
      </c>
      <c r="J110" s="8">
        <f t="shared" si="2"/>
        <v>-73.347</v>
      </c>
      <c r="K110" s="8" t="str">
        <f t="shared" si="3"/>
        <v>Oct</v>
      </c>
      <c r="L110" s="8">
        <f t="shared" si="4"/>
        <v>2024</v>
      </c>
      <c r="N110" s="8" t="str">
        <f t="array" ref="N110">XLOOKUP(C110,Customer_Dim!A:A,Customer_Dim!B:B,"Not Found")</f>
        <v>James Gibbs</v>
      </c>
      <c r="O110" s="8" t="str">
        <f t="array" ref="O110">XLOOKUP(C110,Customer_Dim!A:A,Customer_Dim!E:E,"Not Found")</f>
        <v>Mooneyshire</v>
      </c>
      <c r="P110" s="8" t="str">
        <f t="array" ref="P110">XLOOKUP(D110,Product_Dim!A:A,Product_Dim!B:B,"Not Found")</f>
        <v>Carbon Fiber Tennis Racket</v>
      </c>
      <c r="Q110" s="8" t="str">
        <f t="array" ref="Q110">XLOOKUP(D110,Product_Dim!A:A,Product_Dim!C:C,"Not Found")</f>
        <v>Sports</v>
      </c>
      <c r="R110" s="8" t="str">
        <f t="array" ref="R110">XLOOKUP(E110,Store_Dim!A:A,Store_Dim!B:B,"Not Found")</f>
        <v>East</v>
      </c>
      <c r="S110" s="8" t="str">
        <f t="array" ref="S110">XLOOKUP(E110,Store_Dim!A:A,Store_Dim!D:D,"Not Found")</f>
        <v>Flagship</v>
      </c>
    </row>
    <row r="111" ht="14.25" customHeight="1">
      <c r="A111" s="8" t="s">
        <v>2064</v>
      </c>
      <c r="B111" s="12">
        <v>45589.0</v>
      </c>
      <c r="C111" s="8" t="s">
        <v>708</v>
      </c>
      <c r="D111" s="8" t="s">
        <v>1863</v>
      </c>
      <c r="E111" s="8" t="s">
        <v>1899</v>
      </c>
      <c r="F111" s="8">
        <v>3.0</v>
      </c>
      <c r="G111" s="8">
        <v>376.46</v>
      </c>
      <c r="H111" s="8">
        <v>0.09</v>
      </c>
      <c r="I111" s="8">
        <f t="shared" si="1"/>
        <v>1129.38</v>
      </c>
      <c r="J111" s="8">
        <f t="shared" si="2"/>
        <v>-101.5542</v>
      </c>
      <c r="K111" s="8" t="str">
        <f t="shared" si="3"/>
        <v>Oct</v>
      </c>
      <c r="L111" s="8">
        <f t="shared" si="4"/>
        <v>2024</v>
      </c>
      <c r="N111" s="8" t="str">
        <f t="array" ref="N111">XLOOKUP(C111,Customer_Dim!A:A,Customer_Dim!B:B,"Not Found")</f>
        <v>Eric Todd</v>
      </c>
      <c r="O111" s="8" t="str">
        <f t="array" ref="O111">XLOOKUP(C111,Customer_Dim!A:A,Customer_Dim!E:E,"Not Found")</f>
        <v>Danielstad</v>
      </c>
      <c r="P111" s="8" t="str">
        <f t="array" ref="P111">XLOOKUP(D111,Product_Dim!A:A,Product_Dim!B:B,"Not Found")</f>
        <v>Women's High Heels</v>
      </c>
      <c r="Q111" s="8" t="str">
        <f t="array" ref="Q111">XLOOKUP(D111,Product_Dim!A:A,Product_Dim!C:C,"Not Found")</f>
        <v>Clothing</v>
      </c>
      <c r="R111" s="8" t="str">
        <f t="array" ref="R111">XLOOKUP(E111,Store_Dim!A:A,Store_Dim!B:B,"Not Found")</f>
        <v>East</v>
      </c>
      <c r="S111" s="8" t="str">
        <f t="array" ref="S111">XLOOKUP(E111,Store_Dim!A:A,Store_Dim!D:D,"Not Found")</f>
        <v>Flagship</v>
      </c>
    </row>
    <row r="112" ht="14.25" customHeight="1">
      <c r="A112" s="8" t="s">
        <v>2065</v>
      </c>
      <c r="B112" s="12">
        <v>45590.0</v>
      </c>
      <c r="C112" s="8" t="s">
        <v>48</v>
      </c>
      <c r="D112" s="8" t="s">
        <v>1713</v>
      </c>
      <c r="E112" s="8" t="s">
        <v>1921</v>
      </c>
      <c r="F112" s="8">
        <v>4.0</v>
      </c>
      <c r="G112" s="8">
        <v>239.83</v>
      </c>
      <c r="H112" s="8">
        <v>0.08</v>
      </c>
      <c r="I112" s="8">
        <f t="shared" si="1"/>
        <v>959.32</v>
      </c>
      <c r="J112" s="8">
        <f t="shared" si="2"/>
        <v>-76.6656</v>
      </c>
      <c r="K112" s="8" t="str">
        <f t="shared" si="3"/>
        <v>Oct</v>
      </c>
      <c r="L112" s="8">
        <f t="shared" si="4"/>
        <v>2024</v>
      </c>
      <c r="N112" s="8" t="str">
        <f t="array" ref="N112">XLOOKUP(C112,Customer_Dim!A:A,Customer_Dim!B:B,"Not Found")</f>
        <v>Daniel Boyd</v>
      </c>
      <c r="O112" s="8" t="str">
        <f t="array" ref="O112">XLOOKUP(C112,Customer_Dim!A:A,Customer_Dim!E:E,"Not Found")</f>
        <v>West Pamelafurt</v>
      </c>
      <c r="P112" s="8" t="str">
        <f t="array" ref="P112">XLOOKUP(D112,Product_Dim!A:A,Product_Dim!B:B,"Not Found")</f>
        <v>Smart Home WiFi Camera</v>
      </c>
      <c r="Q112" s="8" t="str">
        <f t="array" ref="Q112">XLOOKUP(D112,Product_Dim!A:A,Product_Dim!C:C,"Not Found")</f>
        <v>Electronics</v>
      </c>
      <c r="R112" s="8" t="str">
        <f t="array" ref="R112">XLOOKUP(E112,Store_Dim!A:A,Store_Dim!B:B,"Not Found")</f>
        <v>West</v>
      </c>
      <c r="S112" s="8" t="str">
        <f t="array" ref="S112">XLOOKUP(E112,Store_Dim!A:A,Store_Dim!D:D,"Not Found")</f>
        <v>Online</v>
      </c>
    </row>
    <row r="113" ht="14.25" customHeight="1">
      <c r="A113" s="8" t="s">
        <v>2066</v>
      </c>
      <c r="B113" s="12">
        <v>45591.0</v>
      </c>
      <c r="C113" s="8" t="s">
        <v>424</v>
      </c>
      <c r="D113" s="8" t="s">
        <v>1860</v>
      </c>
      <c r="E113" s="8" t="s">
        <v>1910</v>
      </c>
      <c r="F113" s="8">
        <v>2.0</v>
      </c>
      <c r="G113" s="8">
        <v>845.71</v>
      </c>
      <c r="H113" s="8">
        <v>0.01</v>
      </c>
      <c r="I113" s="8">
        <f t="shared" si="1"/>
        <v>1691.42</v>
      </c>
      <c r="J113" s="8">
        <f t="shared" si="2"/>
        <v>-16.9042</v>
      </c>
      <c r="K113" s="8" t="str">
        <f t="shared" si="3"/>
        <v>Oct</v>
      </c>
      <c r="L113" s="8">
        <f t="shared" si="4"/>
        <v>2024</v>
      </c>
      <c r="N113" s="8" t="str">
        <f t="array" ref="N113">XLOOKUP(C113,Customer_Dim!A:A,Customer_Dim!B:B,"Not Found")</f>
        <v>Michael Jones</v>
      </c>
      <c r="O113" s="8" t="str">
        <f t="array" ref="O113">XLOOKUP(C113,Customer_Dim!A:A,Customer_Dim!E:E,"Not Found")</f>
        <v>North Edwardton</v>
      </c>
      <c r="P113" s="8" t="str">
        <f t="array" ref="P113">XLOOKUP(D113,Product_Dim!A:A,Product_Dim!B:B,"Not Found")</f>
        <v>Gaming Mouse Pad XL</v>
      </c>
      <c r="Q113" s="8" t="str">
        <f t="array" ref="Q113">XLOOKUP(D113,Product_Dim!A:A,Product_Dim!C:C,"Not Found")</f>
        <v>Electronics</v>
      </c>
      <c r="R113" s="8" t="str">
        <f t="array" ref="R113">XLOOKUP(E113,Store_Dim!A:A,Store_Dim!B:B,"Not Found")</f>
        <v>North</v>
      </c>
      <c r="S113" s="8" t="str">
        <f t="array" ref="S113">XLOOKUP(E113,Store_Dim!A:A,Store_Dim!D:D,"Not Found")</f>
        <v>Outlet</v>
      </c>
    </row>
    <row r="114" ht="14.25" customHeight="1">
      <c r="A114" s="8" t="s">
        <v>2067</v>
      </c>
      <c r="B114" s="12">
        <v>45592.0</v>
      </c>
      <c r="C114" s="8" t="s">
        <v>324</v>
      </c>
      <c r="D114" s="8" t="s">
        <v>1818</v>
      </c>
      <c r="E114" s="8" t="s">
        <v>1931</v>
      </c>
      <c r="F114" s="8">
        <v>3.0</v>
      </c>
      <c r="G114" s="8">
        <v>948.69</v>
      </c>
      <c r="H114" s="8">
        <v>0.29</v>
      </c>
      <c r="I114" s="8">
        <f t="shared" si="1"/>
        <v>2846.07</v>
      </c>
      <c r="J114" s="8">
        <f t="shared" si="2"/>
        <v>-825.0703</v>
      </c>
      <c r="K114" s="8" t="str">
        <f t="shared" si="3"/>
        <v>Oct</v>
      </c>
      <c r="L114" s="8">
        <f t="shared" si="4"/>
        <v>2024</v>
      </c>
      <c r="N114" s="8" t="str">
        <f t="array" ref="N114">XLOOKUP(C114,Customer_Dim!A:A,Customer_Dim!B:B,"Not Found")</f>
        <v>Melissa Duffy MD</v>
      </c>
      <c r="O114" s="8" t="str">
        <f t="array" ref="O114">XLOOKUP(C114,Customer_Dim!A:A,Customer_Dim!E:E,"Not Found")</f>
        <v>East Jenna</v>
      </c>
      <c r="P114" s="8" t="str">
        <f t="array" ref="P114">XLOOKUP(D114,Product_Dim!A:A,Product_Dim!B:B,"Not Found")</f>
        <v>Wireless Mouse</v>
      </c>
      <c r="Q114" s="8" t="str">
        <f t="array" ref="Q114">XLOOKUP(D114,Product_Dim!A:A,Product_Dim!C:C,"Not Found")</f>
        <v>Electronics</v>
      </c>
      <c r="R114" s="8" t="str">
        <f t="array" ref="R114">XLOOKUP(E114,Store_Dim!A:A,Store_Dim!B:B,"Not Found")</f>
        <v>East</v>
      </c>
      <c r="S114" s="8" t="str">
        <f t="array" ref="S114">XLOOKUP(E114,Store_Dim!A:A,Store_Dim!D:D,"Not Found")</f>
        <v>Flagship</v>
      </c>
    </row>
    <row r="115" ht="14.25" customHeight="1">
      <c r="A115" s="8" t="s">
        <v>2068</v>
      </c>
      <c r="B115" s="12">
        <v>45593.0</v>
      </c>
      <c r="C115" s="8" t="s">
        <v>1456</v>
      </c>
      <c r="D115" s="8" t="s">
        <v>1665</v>
      </c>
      <c r="E115" s="8" t="s">
        <v>1926</v>
      </c>
      <c r="F115" s="8">
        <v>1.0</v>
      </c>
      <c r="G115" s="8">
        <v>281.97</v>
      </c>
      <c r="H115" s="8">
        <v>0.2</v>
      </c>
      <c r="I115" s="8">
        <f t="shared" si="1"/>
        <v>281.97</v>
      </c>
      <c r="J115" s="8">
        <f t="shared" si="2"/>
        <v>-56.194</v>
      </c>
      <c r="K115" s="8" t="str">
        <f t="shared" si="3"/>
        <v>Oct</v>
      </c>
      <c r="L115" s="8">
        <f t="shared" si="4"/>
        <v>2024</v>
      </c>
      <c r="N115" s="8" t="str">
        <f t="array" ref="N115">XLOOKUP(C115,Customer_Dim!A:A,Customer_Dim!B:B,"Not Found")</f>
        <v>Michael Foley</v>
      </c>
      <c r="O115" s="8" t="str">
        <f t="array" ref="O115">XLOOKUP(C115,Customer_Dim!A:A,Customer_Dim!E:E,"Not Found")</f>
        <v>Oneillfurt</v>
      </c>
      <c r="P115" s="8" t="str">
        <f t="array" ref="P115">XLOOKUP(D115,Product_Dim!A:A,Product_Dim!B:B,"Not Found")</f>
        <v>Decorative Floor Vase</v>
      </c>
      <c r="Q115" s="8" t="str">
        <f t="array" ref="Q115">XLOOKUP(D115,Product_Dim!A:A,Product_Dim!C:C,"Not Found")</f>
        <v>Home</v>
      </c>
      <c r="R115" s="8" t="str">
        <f t="array" ref="R115">XLOOKUP(E115,Store_Dim!A:A,Store_Dim!B:B,"Not Found")</f>
        <v>East</v>
      </c>
      <c r="S115" s="8" t="str">
        <f t="array" ref="S115">XLOOKUP(E115,Store_Dim!A:A,Store_Dim!D:D,"Not Found")</f>
        <v>Online</v>
      </c>
    </row>
    <row r="116" ht="14.25" customHeight="1">
      <c r="A116" s="8" t="s">
        <v>2069</v>
      </c>
      <c r="B116" s="12">
        <v>45594.0</v>
      </c>
      <c r="C116" s="8" t="s">
        <v>523</v>
      </c>
      <c r="D116" s="8" t="s">
        <v>1863</v>
      </c>
      <c r="E116" s="8" t="s">
        <v>1912</v>
      </c>
      <c r="F116" s="8">
        <v>2.0</v>
      </c>
      <c r="G116" s="8">
        <v>731.01</v>
      </c>
      <c r="H116" s="8">
        <v>0.05</v>
      </c>
      <c r="I116" s="8">
        <f t="shared" si="1"/>
        <v>1462.02</v>
      </c>
      <c r="J116" s="8">
        <f t="shared" si="2"/>
        <v>-73.051</v>
      </c>
      <c r="K116" s="8" t="str">
        <f t="shared" si="3"/>
        <v>Oct</v>
      </c>
      <c r="L116" s="8">
        <f t="shared" si="4"/>
        <v>2024</v>
      </c>
      <c r="N116" s="8" t="str">
        <f t="array" ref="N116">XLOOKUP(C116,Customer_Dim!A:A,Customer_Dim!B:B,"Not Found")</f>
        <v>Patrick Roberts</v>
      </c>
      <c r="O116" s="8" t="str">
        <f t="array" ref="O116">XLOOKUP(C116,Customer_Dim!A:A,Customer_Dim!E:E,"Not Found")</f>
        <v>Jaredville</v>
      </c>
      <c r="P116" s="8" t="str">
        <f t="array" ref="P116">XLOOKUP(D116,Product_Dim!A:A,Product_Dim!B:B,"Not Found")</f>
        <v>Women's High Heels</v>
      </c>
      <c r="Q116" s="8" t="str">
        <f t="array" ref="Q116">XLOOKUP(D116,Product_Dim!A:A,Product_Dim!C:C,"Not Found")</f>
        <v>Clothing</v>
      </c>
      <c r="R116" s="8" t="str">
        <f t="array" ref="R116">XLOOKUP(E116,Store_Dim!A:A,Store_Dim!B:B,"Not Found")</f>
        <v>South</v>
      </c>
      <c r="S116" s="8" t="str">
        <f t="array" ref="S116">XLOOKUP(E116,Store_Dim!A:A,Store_Dim!D:D,"Not Found")</f>
        <v>Online</v>
      </c>
    </row>
    <row r="117" ht="14.25" customHeight="1">
      <c r="A117" s="8" t="s">
        <v>2070</v>
      </c>
      <c r="B117" s="12">
        <v>45595.0</v>
      </c>
      <c r="C117" s="8" t="s">
        <v>836</v>
      </c>
      <c r="D117" s="8" t="s">
        <v>1845</v>
      </c>
      <c r="E117" s="8" t="s">
        <v>1919</v>
      </c>
      <c r="F117" s="8">
        <v>4.0</v>
      </c>
      <c r="G117" s="8">
        <v>930.85</v>
      </c>
      <c r="H117" s="8">
        <v>0.13</v>
      </c>
      <c r="I117" s="8">
        <f t="shared" si="1"/>
        <v>3723.4</v>
      </c>
      <c r="J117" s="8">
        <f t="shared" si="2"/>
        <v>-483.912</v>
      </c>
      <c r="K117" s="8" t="str">
        <f t="shared" si="3"/>
        <v>Oct</v>
      </c>
      <c r="L117" s="8">
        <f t="shared" si="4"/>
        <v>2024</v>
      </c>
      <c r="N117" s="8" t="str">
        <f t="array" ref="N117">XLOOKUP(C117,Customer_Dim!A:A,Customer_Dim!B:B,"Not Found")</f>
        <v>Christopher David</v>
      </c>
      <c r="O117" s="8" t="str">
        <f t="array" ref="O117">XLOOKUP(C117,Customer_Dim!A:A,Customer_Dim!E:E,"Not Found")</f>
        <v>Karenmouth</v>
      </c>
      <c r="P117" s="8" t="str">
        <f t="array" ref="P117">XLOOKUP(D117,Product_Dim!A:A,Product_Dim!B:B,"Not Found")</f>
        <v>Women's Beanie Hat</v>
      </c>
      <c r="Q117" s="8" t="str">
        <f t="array" ref="Q117">XLOOKUP(D117,Product_Dim!A:A,Product_Dim!C:C,"Not Found")</f>
        <v>Clothing</v>
      </c>
      <c r="R117" s="8" t="str">
        <f t="array" ref="R117">XLOOKUP(E117,Store_Dim!A:A,Store_Dim!B:B,"Not Found")</f>
        <v>South</v>
      </c>
      <c r="S117" s="8" t="str">
        <f t="array" ref="S117">XLOOKUP(E117,Store_Dim!A:A,Store_Dim!D:D,"Not Found")</f>
        <v>Online</v>
      </c>
    </row>
    <row r="118" ht="14.25" customHeight="1">
      <c r="A118" s="8" t="s">
        <v>2071</v>
      </c>
      <c r="B118" s="12">
        <v>45596.0</v>
      </c>
      <c r="C118" s="8" t="s">
        <v>1317</v>
      </c>
      <c r="D118" s="8" t="s">
        <v>2052</v>
      </c>
      <c r="E118" s="8" t="s">
        <v>1921</v>
      </c>
      <c r="F118" s="8">
        <v>4.0</v>
      </c>
      <c r="G118" s="8">
        <v>770.77</v>
      </c>
      <c r="H118" s="8">
        <v>0.22</v>
      </c>
      <c r="I118" s="8">
        <f t="shared" si="1"/>
        <v>3083.08</v>
      </c>
      <c r="J118" s="8">
        <f t="shared" si="2"/>
        <v>-678.0576</v>
      </c>
      <c r="K118" s="8" t="str">
        <f t="shared" si="3"/>
        <v>Oct</v>
      </c>
      <c r="L118" s="8">
        <f t="shared" si="4"/>
        <v>2024</v>
      </c>
      <c r="N118" s="8" t="str">
        <f t="array" ref="N118">XLOOKUP(C118,Customer_Dim!A:A,Customer_Dim!B:B,"Not Found")</f>
        <v>Monica Miller</v>
      </c>
      <c r="O118" s="8" t="str">
        <f t="array" ref="O118">XLOOKUP(C118,Customer_Dim!A:A,Customer_Dim!E:E,"Not Found")</f>
        <v>Lake David</v>
      </c>
      <c r="P118" s="8" t="str">
        <f t="array" ref="P118">XLOOKUP(D118,Product_Dim!A:A,Product_Dim!B:B,"Not Found")</f>
        <v>Not Found</v>
      </c>
      <c r="Q118" s="8" t="str">
        <f t="array" ref="Q118">XLOOKUP(D118,Product_Dim!A:A,Product_Dim!C:C,"Not Found")</f>
        <v>Not Found</v>
      </c>
      <c r="R118" s="8" t="str">
        <f t="array" ref="R118">XLOOKUP(E118,Store_Dim!A:A,Store_Dim!B:B,"Not Found")</f>
        <v>West</v>
      </c>
      <c r="S118" s="8" t="str">
        <f t="array" ref="S118">XLOOKUP(E118,Store_Dim!A:A,Store_Dim!D:D,"Not Found")</f>
        <v>Online</v>
      </c>
    </row>
    <row r="119" ht="14.25" customHeight="1">
      <c r="A119" s="8" t="s">
        <v>2072</v>
      </c>
      <c r="B119" s="12">
        <v>45597.0</v>
      </c>
      <c r="C119" s="8" t="s">
        <v>257</v>
      </c>
      <c r="D119" s="8" t="s">
        <v>1725</v>
      </c>
      <c r="E119" s="8" t="s">
        <v>1912</v>
      </c>
      <c r="F119" s="8">
        <v>3.0</v>
      </c>
      <c r="G119" s="8">
        <v>479.63</v>
      </c>
      <c r="H119" s="8">
        <v>0.3</v>
      </c>
      <c r="I119" s="8">
        <f t="shared" si="1"/>
        <v>1438.89</v>
      </c>
      <c r="J119" s="8">
        <f t="shared" si="2"/>
        <v>-431.367</v>
      </c>
      <c r="K119" s="8" t="str">
        <f t="shared" si="3"/>
        <v>Nov</v>
      </c>
      <c r="L119" s="8">
        <f t="shared" si="4"/>
        <v>2024</v>
      </c>
      <c r="N119" s="8" t="str">
        <f t="array" ref="N119">XLOOKUP(C119,Customer_Dim!A:A,Customer_Dim!B:B,"Not Found")</f>
        <v>Amber Mcclain</v>
      </c>
      <c r="O119" s="8" t="str">
        <f t="array" ref="O119">XLOOKUP(C119,Customer_Dim!A:A,Customer_Dim!E:E,"Not Found")</f>
        <v>Brendaburgh</v>
      </c>
      <c r="P119" s="8" t="str">
        <f t="array" ref="P119">XLOOKUP(D119,Product_Dim!A:A,Product_Dim!B:B,"Not Found")</f>
        <v>Men's Winter Jacket</v>
      </c>
      <c r="Q119" s="8" t="str">
        <f t="array" ref="Q119">XLOOKUP(D119,Product_Dim!A:A,Product_Dim!C:C,"Not Found")</f>
        <v>Clothing</v>
      </c>
      <c r="R119" s="8" t="str">
        <f t="array" ref="R119">XLOOKUP(E119,Store_Dim!A:A,Store_Dim!B:B,"Not Found")</f>
        <v>South</v>
      </c>
      <c r="S119" s="8" t="str">
        <f t="array" ref="S119">XLOOKUP(E119,Store_Dim!A:A,Store_Dim!D:D,"Not Found")</f>
        <v>Online</v>
      </c>
    </row>
    <row r="120" ht="14.25" customHeight="1">
      <c r="A120" s="8" t="s">
        <v>2073</v>
      </c>
      <c r="B120" s="12">
        <v>45598.0</v>
      </c>
      <c r="C120" s="8" t="s">
        <v>382</v>
      </c>
      <c r="D120" s="8" t="s">
        <v>1703</v>
      </c>
      <c r="E120" s="8" t="s">
        <v>1928</v>
      </c>
      <c r="F120" s="8">
        <v>1.0</v>
      </c>
      <c r="G120" s="8">
        <v>165.0</v>
      </c>
      <c r="H120" s="8">
        <v>0.3</v>
      </c>
      <c r="I120" s="8">
        <f t="shared" si="1"/>
        <v>165</v>
      </c>
      <c r="J120" s="8">
        <f t="shared" si="2"/>
        <v>-49.2</v>
      </c>
      <c r="K120" s="8" t="str">
        <f t="shared" si="3"/>
        <v>Nov</v>
      </c>
      <c r="L120" s="8">
        <f t="shared" si="4"/>
        <v>2024</v>
      </c>
      <c r="N120" s="8" t="str">
        <f t="array" ref="N120">XLOOKUP(C120,Customer_Dim!A:A,Customer_Dim!B:B,"Not Found")</f>
        <v>Lance Baker</v>
      </c>
      <c r="O120" s="8" t="str">
        <f t="array" ref="O120">XLOOKUP(C120,Customer_Dim!A:A,Customer_Dim!E:E,"Not Found")</f>
        <v>Port Victoria</v>
      </c>
      <c r="P120" s="8" t="str">
        <f t="array" ref="P120">XLOOKUP(D120,Product_Dim!A:A,Product_Dim!B:B,"Not Found")</f>
        <v>Portable Power Bank</v>
      </c>
      <c r="Q120" s="8" t="str">
        <f t="array" ref="Q120">XLOOKUP(D120,Product_Dim!A:A,Product_Dim!C:C,"Not Found")</f>
        <v>Electronics</v>
      </c>
      <c r="R120" s="8" t="str">
        <f t="array" ref="R120">XLOOKUP(E120,Store_Dim!A:A,Store_Dim!B:B,"Not Found")</f>
        <v>South</v>
      </c>
      <c r="S120" s="8" t="str">
        <f t="array" ref="S120">XLOOKUP(E120,Store_Dim!A:A,Store_Dim!D:D,"Not Found")</f>
        <v>Online</v>
      </c>
    </row>
    <row r="121" ht="14.25" customHeight="1">
      <c r="A121" s="8" t="s">
        <v>2074</v>
      </c>
      <c r="B121" s="12">
        <v>45599.0</v>
      </c>
      <c r="C121" s="8" t="s">
        <v>541</v>
      </c>
      <c r="D121" s="8" t="s">
        <v>1638</v>
      </c>
      <c r="E121" s="8" t="s">
        <v>1921</v>
      </c>
      <c r="F121" s="8">
        <v>2.0</v>
      </c>
      <c r="G121" s="8">
        <v>151.51</v>
      </c>
      <c r="H121" s="8">
        <v>0.29</v>
      </c>
      <c r="I121" s="8">
        <f t="shared" si="1"/>
        <v>303.02</v>
      </c>
      <c r="J121" s="8">
        <f t="shared" si="2"/>
        <v>-87.5858</v>
      </c>
      <c r="K121" s="8" t="str">
        <f t="shared" si="3"/>
        <v>Nov</v>
      </c>
      <c r="L121" s="8">
        <f t="shared" si="4"/>
        <v>2024</v>
      </c>
      <c r="N121" s="8" t="str">
        <f t="array" ref="N121">XLOOKUP(C121,Customer_Dim!A:A,Customer_Dim!B:B,"Not Found")</f>
        <v>Sean Powell</v>
      </c>
      <c r="O121" s="8" t="str">
        <f t="array" ref="O121">XLOOKUP(C121,Customer_Dim!A:A,Customer_Dim!E:E,"Not Found")</f>
        <v>South Kevin</v>
      </c>
      <c r="P121" s="8" t="str">
        <f t="array" ref="P121">XLOOKUP(D121,Product_Dim!A:A,Product_Dim!B:B,"Not Found")</f>
        <v>Knee Support Brace</v>
      </c>
      <c r="Q121" s="8" t="str">
        <f t="array" ref="Q121">XLOOKUP(D121,Product_Dim!A:A,Product_Dim!C:C,"Not Found")</f>
        <v>Sports</v>
      </c>
      <c r="R121" s="8" t="str">
        <f t="array" ref="R121">XLOOKUP(E121,Store_Dim!A:A,Store_Dim!B:B,"Not Found")</f>
        <v>West</v>
      </c>
      <c r="S121" s="8" t="str">
        <f t="array" ref="S121">XLOOKUP(E121,Store_Dim!A:A,Store_Dim!D:D,"Not Found")</f>
        <v>Online</v>
      </c>
    </row>
    <row r="122" ht="14.25" customHeight="1">
      <c r="A122" s="8" t="s">
        <v>2075</v>
      </c>
      <c r="B122" s="12">
        <v>45600.0</v>
      </c>
      <c r="C122" s="8" t="s">
        <v>758</v>
      </c>
      <c r="D122" s="8" t="s">
        <v>1677</v>
      </c>
      <c r="E122" s="8" t="s">
        <v>1937</v>
      </c>
      <c r="F122" s="8">
        <v>2.0</v>
      </c>
      <c r="G122" s="8">
        <v>872.93</v>
      </c>
      <c r="H122" s="8">
        <v>0.29</v>
      </c>
      <c r="I122" s="8">
        <f t="shared" si="1"/>
        <v>1745.86</v>
      </c>
      <c r="J122" s="8">
        <f t="shared" si="2"/>
        <v>-506.0094</v>
      </c>
      <c r="K122" s="8" t="str">
        <f t="shared" si="3"/>
        <v>Nov</v>
      </c>
      <c r="L122" s="8">
        <f t="shared" si="4"/>
        <v>2024</v>
      </c>
      <c r="N122" s="8" t="str">
        <f t="array" ref="N122">XLOOKUP(C122,Customer_Dim!A:A,Customer_Dim!B:B,"Not Found")</f>
        <v>Timothy Juarez</v>
      </c>
      <c r="O122" s="8" t="str">
        <f t="array" ref="O122">XLOOKUP(C122,Customer_Dim!A:A,Customer_Dim!E:E,"Not Found")</f>
        <v>Grahamstad</v>
      </c>
      <c r="P122" s="8" t="str">
        <f t="array" ref="P122">XLOOKUP(D122,Product_Dim!A:A,Product_Dim!B:B,"Not Found")</f>
        <v>Basketball</v>
      </c>
      <c r="Q122" s="8" t="str">
        <f t="array" ref="Q122">XLOOKUP(D122,Product_Dim!A:A,Product_Dim!C:C,"Not Found")</f>
        <v>Sports</v>
      </c>
      <c r="R122" s="8" t="str">
        <f t="array" ref="R122">XLOOKUP(E122,Store_Dim!A:A,Store_Dim!B:B,"Not Found")</f>
        <v>North</v>
      </c>
      <c r="S122" s="8" t="str">
        <f t="array" ref="S122">XLOOKUP(E122,Store_Dim!A:A,Store_Dim!D:D,"Not Found")</f>
        <v>Flagship</v>
      </c>
    </row>
    <row r="123" ht="14.25" customHeight="1">
      <c r="A123" s="8" t="s">
        <v>2076</v>
      </c>
      <c r="B123" s="12">
        <v>45601.0</v>
      </c>
      <c r="C123" s="8" t="s">
        <v>857</v>
      </c>
      <c r="D123" s="8" t="s">
        <v>1649</v>
      </c>
      <c r="E123" s="8" t="s">
        <v>1926</v>
      </c>
      <c r="F123" s="8">
        <v>3.0</v>
      </c>
      <c r="G123" s="8">
        <v>432.4</v>
      </c>
      <c r="H123" s="8">
        <v>0.04</v>
      </c>
      <c r="I123" s="8">
        <f t="shared" si="1"/>
        <v>1297.2</v>
      </c>
      <c r="J123" s="8">
        <f t="shared" si="2"/>
        <v>-51.848</v>
      </c>
      <c r="K123" s="8" t="str">
        <f t="shared" si="3"/>
        <v>Nov</v>
      </c>
      <c r="L123" s="8">
        <f t="shared" si="4"/>
        <v>2024</v>
      </c>
      <c r="N123" s="8" t="str">
        <f t="array" ref="N123">XLOOKUP(C123,Customer_Dim!A:A,Customer_Dim!B:B,"Not Found")</f>
        <v>Matthew Payne</v>
      </c>
      <c r="O123" s="8" t="str">
        <f t="array" ref="O123">XLOOKUP(C123,Customer_Dim!A:A,Customer_Dim!E:E,"Not Found")</f>
        <v>Grahamfurt</v>
      </c>
      <c r="P123" s="8" t="str">
        <f t="array" ref="P123">XLOOKUP(D123,Product_Dim!A:A,Product_Dim!B:B,"Not Found")</f>
        <v>Carbon Fiber Tennis Racket</v>
      </c>
      <c r="Q123" s="8" t="str">
        <f t="array" ref="Q123">XLOOKUP(D123,Product_Dim!A:A,Product_Dim!C:C,"Not Found")</f>
        <v>Sports</v>
      </c>
      <c r="R123" s="8" t="str">
        <f t="array" ref="R123">XLOOKUP(E123,Store_Dim!A:A,Store_Dim!B:B,"Not Found")</f>
        <v>East</v>
      </c>
      <c r="S123" s="8" t="str">
        <f t="array" ref="S123">XLOOKUP(E123,Store_Dim!A:A,Store_Dim!D:D,"Not Found")</f>
        <v>Online</v>
      </c>
    </row>
    <row r="124" ht="14.25" customHeight="1">
      <c r="A124" s="8" t="s">
        <v>2077</v>
      </c>
      <c r="B124" s="12">
        <v>45602.0</v>
      </c>
      <c r="C124" s="8" t="s">
        <v>1077</v>
      </c>
      <c r="D124" s="8" t="s">
        <v>1739</v>
      </c>
      <c r="E124" s="8" t="s">
        <v>1919</v>
      </c>
      <c r="F124" s="8">
        <v>2.0</v>
      </c>
      <c r="G124" s="8">
        <v>197.76</v>
      </c>
      <c r="H124" s="8">
        <v>0.04</v>
      </c>
      <c r="I124" s="8">
        <f t="shared" si="1"/>
        <v>395.52</v>
      </c>
      <c r="J124" s="8">
        <f t="shared" si="2"/>
        <v>-15.7808</v>
      </c>
      <c r="K124" s="8" t="str">
        <f t="shared" si="3"/>
        <v>Nov</v>
      </c>
      <c r="L124" s="8">
        <f t="shared" si="4"/>
        <v>2024</v>
      </c>
      <c r="N124" s="8" t="str">
        <f t="array" ref="N124">XLOOKUP(C124,Customer_Dim!A:A,Customer_Dim!B:B,"Not Found")</f>
        <v>Jasmine Snyder</v>
      </c>
      <c r="O124" s="8" t="str">
        <f t="array" ref="O124">XLOOKUP(C124,Customer_Dim!A:A,Customer_Dim!E:E,"Not Found")</f>
        <v>Hudsonfort</v>
      </c>
      <c r="P124" s="8" t="str">
        <f t="array" ref="P124">XLOOKUP(D124,Product_Dim!A:A,Product_Dim!B:B,"Not Found")</f>
        <v>Boxing Hand Wraps</v>
      </c>
      <c r="Q124" s="8" t="str">
        <f t="array" ref="Q124">XLOOKUP(D124,Product_Dim!A:A,Product_Dim!C:C,"Not Found")</f>
        <v>Sports</v>
      </c>
      <c r="R124" s="8" t="str">
        <f t="array" ref="R124">XLOOKUP(E124,Store_Dim!A:A,Store_Dim!B:B,"Not Found")</f>
        <v>South</v>
      </c>
      <c r="S124" s="8" t="str">
        <f t="array" ref="S124">XLOOKUP(E124,Store_Dim!A:A,Store_Dim!D:D,"Not Found")</f>
        <v>Online</v>
      </c>
    </row>
    <row r="125" ht="14.25" customHeight="1">
      <c r="A125" s="8" t="s">
        <v>2078</v>
      </c>
      <c r="B125" s="12">
        <v>45603.0</v>
      </c>
      <c r="C125" s="8" t="s">
        <v>1482</v>
      </c>
      <c r="D125" s="8" t="s">
        <v>1707</v>
      </c>
      <c r="E125" s="8" t="s">
        <v>1906</v>
      </c>
      <c r="F125" s="8">
        <v>3.0</v>
      </c>
      <c r="G125" s="8">
        <v>334.6</v>
      </c>
      <c r="H125" s="8">
        <v>0.11</v>
      </c>
      <c r="I125" s="8">
        <f t="shared" si="1"/>
        <v>1003.8</v>
      </c>
      <c r="J125" s="8">
        <f t="shared" si="2"/>
        <v>-110.308</v>
      </c>
      <c r="K125" s="8" t="str">
        <f t="shared" si="3"/>
        <v>Nov</v>
      </c>
      <c r="L125" s="8">
        <f t="shared" si="4"/>
        <v>2024</v>
      </c>
      <c r="N125" s="8" t="str">
        <f t="array" ref="N125">XLOOKUP(C125,Customer_Dim!A:A,Customer_Dim!B:B,"Not Found")</f>
        <v>Elizabeth Foster</v>
      </c>
      <c r="O125" s="8" t="str">
        <f t="array" ref="O125">XLOOKUP(C125,Customer_Dim!A:A,Customer_Dim!E:E,"Not Found")</f>
        <v>Anthonymouth</v>
      </c>
      <c r="P125" s="8" t="str">
        <f t="array" ref="P125">XLOOKUP(D125,Product_Dim!A:A,Product_Dim!B:B,"Not Found")</f>
        <v>Noise-Canceling Headphones</v>
      </c>
      <c r="Q125" s="8" t="str">
        <f t="array" ref="Q125">XLOOKUP(D125,Product_Dim!A:A,Product_Dim!C:C,"Not Found")</f>
        <v>Electronics</v>
      </c>
      <c r="R125" s="8" t="str">
        <f t="array" ref="R125">XLOOKUP(E125,Store_Dim!A:A,Store_Dim!B:B,"Not Found")</f>
        <v>South</v>
      </c>
      <c r="S125" s="8" t="str">
        <f t="array" ref="S125">XLOOKUP(E125,Store_Dim!A:A,Store_Dim!D:D,"Not Found")</f>
        <v>Outlet</v>
      </c>
    </row>
    <row r="126" ht="14.25" customHeight="1">
      <c r="A126" s="8" t="s">
        <v>2079</v>
      </c>
      <c r="B126" s="12">
        <v>45604.0</v>
      </c>
      <c r="C126" s="8" t="s">
        <v>324</v>
      </c>
      <c r="D126" s="8" t="s">
        <v>1620</v>
      </c>
      <c r="E126" s="8" t="s">
        <v>1910</v>
      </c>
      <c r="F126" s="8">
        <v>2.0</v>
      </c>
      <c r="G126" s="8">
        <v>44.35</v>
      </c>
      <c r="H126" s="8">
        <v>0.2</v>
      </c>
      <c r="I126" s="8">
        <f t="shared" si="1"/>
        <v>88.7</v>
      </c>
      <c r="J126" s="8">
        <f t="shared" si="2"/>
        <v>-17.54</v>
      </c>
      <c r="K126" s="8" t="str">
        <f t="shared" si="3"/>
        <v>Nov</v>
      </c>
      <c r="L126" s="8">
        <f t="shared" si="4"/>
        <v>2024</v>
      </c>
      <c r="N126" s="8" t="str">
        <f t="array" ref="N126">XLOOKUP(C126,Customer_Dim!A:A,Customer_Dim!B:B,"Not Found")</f>
        <v>Melissa Duffy MD</v>
      </c>
      <c r="O126" s="8" t="str">
        <f t="array" ref="O126">XLOOKUP(C126,Customer_Dim!A:A,Customer_Dim!E:E,"Not Found")</f>
        <v>East Jenna</v>
      </c>
      <c r="P126" s="8" t="str">
        <f t="array" ref="P126">XLOOKUP(D126,Product_Dim!A:A,Product_Dim!B:B,"Not Found")</f>
        <v>Decorative Wall Mirror</v>
      </c>
      <c r="Q126" s="8" t="str">
        <f t="array" ref="Q126">XLOOKUP(D126,Product_Dim!A:A,Product_Dim!C:C,"Not Found")</f>
        <v>Home</v>
      </c>
      <c r="R126" s="8" t="str">
        <f t="array" ref="R126">XLOOKUP(E126,Store_Dim!A:A,Store_Dim!B:B,"Not Found")</f>
        <v>North</v>
      </c>
      <c r="S126" s="8" t="str">
        <f t="array" ref="S126">XLOOKUP(E126,Store_Dim!A:A,Store_Dim!D:D,"Not Found")</f>
        <v>Outlet</v>
      </c>
    </row>
    <row r="127" ht="14.25" customHeight="1">
      <c r="A127" s="8" t="s">
        <v>2080</v>
      </c>
      <c r="B127" s="12">
        <v>45605.0</v>
      </c>
      <c r="C127" s="8" t="s">
        <v>1546</v>
      </c>
      <c r="D127" s="8" t="s">
        <v>1597</v>
      </c>
      <c r="E127" s="8" t="s">
        <v>1917</v>
      </c>
      <c r="F127" s="8">
        <v>1.0</v>
      </c>
      <c r="G127" s="8">
        <v>846.31</v>
      </c>
      <c r="H127" s="8">
        <v>0.05</v>
      </c>
      <c r="I127" s="8">
        <f t="shared" si="1"/>
        <v>846.31</v>
      </c>
      <c r="J127" s="8">
        <f t="shared" si="2"/>
        <v>-42.2655</v>
      </c>
      <c r="K127" s="8" t="str">
        <f t="shared" si="3"/>
        <v>Nov</v>
      </c>
      <c r="L127" s="8">
        <f t="shared" si="4"/>
        <v>2024</v>
      </c>
      <c r="N127" s="8" t="str">
        <f t="array" ref="N127">XLOOKUP(C127,Customer_Dim!A:A,Customer_Dim!B:B,"Not Found")</f>
        <v>Traci Gonzalez</v>
      </c>
      <c r="O127" s="8" t="str">
        <f t="array" ref="O127">XLOOKUP(C127,Customer_Dim!A:A,Customer_Dim!E:E,"Not Found")</f>
        <v>Snyderfurt</v>
      </c>
      <c r="P127" s="8" t="str">
        <f t="array" ref="P127">XLOOKUP(D127,Product_Dim!A:A,Product_Dim!B:B,"Not Found")</f>
        <v>Wireless Bluetooth Earbuds</v>
      </c>
      <c r="Q127" s="8" t="str">
        <f t="array" ref="Q127">XLOOKUP(D127,Product_Dim!A:A,Product_Dim!C:C,"Not Found")</f>
        <v>Electronics</v>
      </c>
      <c r="R127" s="8" t="str">
        <f t="array" ref="R127">XLOOKUP(E127,Store_Dim!A:A,Store_Dim!B:B,"Not Found")</f>
        <v>East</v>
      </c>
      <c r="S127" s="8" t="str">
        <f t="array" ref="S127">XLOOKUP(E127,Store_Dim!A:A,Store_Dim!D:D,"Not Found")</f>
        <v>Online</v>
      </c>
    </row>
    <row r="128" ht="14.25" customHeight="1">
      <c r="A128" s="8" t="s">
        <v>2081</v>
      </c>
      <c r="B128" s="12">
        <v>45606.0</v>
      </c>
      <c r="C128" s="8" t="s">
        <v>461</v>
      </c>
      <c r="D128" s="8" t="s">
        <v>1690</v>
      </c>
      <c r="E128" s="8" t="s">
        <v>1929</v>
      </c>
      <c r="F128" s="8">
        <v>1.0</v>
      </c>
      <c r="G128" s="8">
        <v>996.48</v>
      </c>
      <c r="H128" s="8">
        <v>0.07</v>
      </c>
      <c r="I128" s="8">
        <f t="shared" si="1"/>
        <v>996.48</v>
      </c>
      <c r="J128" s="8">
        <f t="shared" si="2"/>
        <v>-69.6836</v>
      </c>
      <c r="K128" s="8" t="str">
        <f t="shared" si="3"/>
        <v>Nov</v>
      </c>
      <c r="L128" s="8">
        <f t="shared" si="4"/>
        <v>2024</v>
      </c>
      <c r="N128" s="8" t="str">
        <f t="array" ref="N128">XLOOKUP(C128,Customer_Dim!A:A,Customer_Dim!B:B,"Not Found")</f>
        <v>Joseph Richards</v>
      </c>
      <c r="O128" s="8" t="str">
        <f t="array" ref="O128">XLOOKUP(C128,Customer_Dim!A:A,Customer_Dim!E:E,"Not Found")</f>
        <v>Wigginsville</v>
      </c>
      <c r="P128" s="8" t="str">
        <f t="array" ref="P128">XLOOKUP(D128,Product_Dim!A:A,Product_Dim!B:B,"Not Found")</f>
        <v>Bedroom Table Lamp</v>
      </c>
      <c r="Q128" s="8" t="str">
        <f t="array" ref="Q128">XLOOKUP(D128,Product_Dim!A:A,Product_Dim!C:C,"Not Found")</f>
        <v>Home</v>
      </c>
      <c r="R128" s="8" t="str">
        <f t="array" ref="R128">XLOOKUP(E128,Store_Dim!A:A,Store_Dim!B:B,"Not Found")</f>
        <v>North</v>
      </c>
      <c r="S128" s="8" t="str">
        <f t="array" ref="S128">XLOOKUP(E128,Store_Dim!A:A,Store_Dim!D:D,"Not Found")</f>
        <v>Online</v>
      </c>
    </row>
    <row r="129" ht="14.25" customHeight="1">
      <c r="A129" s="8" t="s">
        <v>2082</v>
      </c>
      <c r="B129" s="12">
        <v>45607.0</v>
      </c>
      <c r="C129" s="8" t="s">
        <v>896</v>
      </c>
      <c r="D129" s="8" t="s">
        <v>1869</v>
      </c>
      <c r="E129" s="8" t="s">
        <v>1917</v>
      </c>
      <c r="F129" s="8">
        <v>3.0</v>
      </c>
      <c r="G129" s="8">
        <v>949.19</v>
      </c>
      <c r="H129" s="8">
        <v>0.03</v>
      </c>
      <c r="I129" s="8">
        <f t="shared" si="1"/>
        <v>2847.57</v>
      </c>
      <c r="J129" s="8">
        <f t="shared" si="2"/>
        <v>-85.3971</v>
      </c>
      <c r="K129" s="8" t="str">
        <f t="shared" si="3"/>
        <v>Nov</v>
      </c>
      <c r="L129" s="8">
        <f t="shared" si="4"/>
        <v>2024</v>
      </c>
      <c r="N129" s="8" t="str">
        <f t="array" ref="N129">XLOOKUP(C129,Customer_Dim!A:A,Customer_Dim!B:B,"Not Found")</f>
        <v>Jeffrey Gomez</v>
      </c>
      <c r="O129" s="8" t="str">
        <f t="array" ref="O129">XLOOKUP(C129,Customer_Dim!A:A,Customer_Dim!E:E,"Not Found")</f>
        <v>Lake Nicole</v>
      </c>
      <c r="P129" s="8" t="str">
        <f t="array" ref="P129">XLOOKUP(D129,Product_Dim!A:A,Product_Dim!B:B,"Not Found")</f>
        <v>USB-C Laptop Charger</v>
      </c>
      <c r="Q129" s="8" t="str">
        <f t="array" ref="Q129">XLOOKUP(D129,Product_Dim!A:A,Product_Dim!C:C,"Not Found")</f>
        <v>Electronics</v>
      </c>
      <c r="R129" s="8" t="str">
        <f t="array" ref="R129">XLOOKUP(E129,Store_Dim!A:A,Store_Dim!B:B,"Not Found")</f>
        <v>East</v>
      </c>
      <c r="S129" s="8" t="str">
        <f t="array" ref="S129">XLOOKUP(E129,Store_Dim!A:A,Store_Dim!D:D,"Not Found")</f>
        <v>Online</v>
      </c>
    </row>
    <row r="130" ht="14.25" customHeight="1">
      <c r="A130" s="8" t="s">
        <v>2083</v>
      </c>
      <c r="B130" s="12">
        <v>45608.0</v>
      </c>
      <c r="C130" s="8" t="s">
        <v>1254</v>
      </c>
      <c r="D130" s="8" t="s">
        <v>1872</v>
      </c>
      <c r="E130" s="8" t="s">
        <v>1924</v>
      </c>
      <c r="F130" s="8">
        <v>2.0</v>
      </c>
      <c r="G130" s="8">
        <v>724.97</v>
      </c>
      <c r="H130" s="8">
        <v>0.1</v>
      </c>
      <c r="I130" s="8">
        <f t="shared" si="1"/>
        <v>1449.94</v>
      </c>
      <c r="J130" s="8">
        <f t="shared" si="2"/>
        <v>-144.894</v>
      </c>
      <c r="K130" s="8" t="str">
        <f t="shared" si="3"/>
        <v>Nov</v>
      </c>
      <c r="L130" s="8">
        <f t="shared" si="4"/>
        <v>2024</v>
      </c>
      <c r="N130" s="8" t="str">
        <f t="array" ref="N130">XLOOKUP(C130,Customer_Dim!A:A,Customer_Dim!B:B,"Not Found")</f>
        <v>Charles Norman PhD</v>
      </c>
      <c r="O130" s="8" t="str">
        <f t="array" ref="O130">XLOOKUP(C130,Customer_Dim!A:A,Customer_Dim!E:E,"Not Found")</f>
        <v>East Jennifer</v>
      </c>
      <c r="P130" s="8" t="str">
        <f t="array" ref="P130">XLOOKUP(D130,Product_Dim!A:A,Product_Dim!B:B,"Not Found")</f>
        <v>Vitamin E Body Lotion</v>
      </c>
      <c r="Q130" s="8" t="str">
        <f t="array" ref="Q130">XLOOKUP(D130,Product_Dim!A:A,Product_Dim!C:C,"Not Found")</f>
        <v>Beauty</v>
      </c>
      <c r="R130" s="8" t="str">
        <f t="array" ref="R130">XLOOKUP(E130,Store_Dim!A:A,Store_Dim!B:B,"Not Found")</f>
        <v>South</v>
      </c>
      <c r="S130" s="8" t="str">
        <f t="array" ref="S130">XLOOKUP(E130,Store_Dim!A:A,Store_Dim!D:D,"Not Found")</f>
        <v>Flagship</v>
      </c>
    </row>
    <row r="131" ht="14.25" customHeight="1">
      <c r="A131" s="8" t="s">
        <v>2084</v>
      </c>
      <c r="B131" s="12">
        <v>45609.0</v>
      </c>
      <c r="C131" s="8" t="s">
        <v>1008</v>
      </c>
      <c r="D131" s="8" t="s">
        <v>1567</v>
      </c>
      <c r="E131" s="8" t="s">
        <v>1935</v>
      </c>
      <c r="F131" s="8">
        <v>1.0</v>
      </c>
      <c r="G131" s="8">
        <v>783.25</v>
      </c>
      <c r="H131" s="8">
        <v>0.3</v>
      </c>
      <c r="I131" s="8">
        <f t="shared" si="1"/>
        <v>783.25</v>
      </c>
      <c r="J131" s="8">
        <f t="shared" si="2"/>
        <v>-234.675</v>
      </c>
      <c r="K131" s="8" t="str">
        <f t="shared" si="3"/>
        <v>Nov</v>
      </c>
      <c r="L131" s="8">
        <f t="shared" si="4"/>
        <v>2024</v>
      </c>
      <c r="N131" s="8" t="str">
        <f t="array" ref="N131">XLOOKUP(C131,Customer_Dim!A:A,Customer_Dim!B:B,"Not Found")</f>
        <v>William Rodriguez</v>
      </c>
      <c r="O131" s="8" t="str">
        <f t="array" ref="O131">XLOOKUP(C131,Customer_Dim!A:A,Customer_Dim!E:E,"Not Found")</f>
        <v>Port Chad</v>
      </c>
      <c r="P131" s="8" t="str">
        <f t="array" ref="P131">XLOOKUP(D131,Product_Dim!A:A,Product_Dim!B:B,"Not Found")</f>
        <v>Men's Graphic T-Shirt</v>
      </c>
      <c r="Q131" s="8" t="str">
        <f t="array" ref="Q131">XLOOKUP(D131,Product_Dim!A:A,Product_Dim!C:C,"Not Found")</f>
        <v>Clothing</v>
      </c>
      <c r="R131" s="8" t="str">
        <f t="array" ref="R131">XLOOKUP(E131,Store_Dim!A:A,Store_Dim!B:B,"Not Found")</f>
        <v>West</v>
      </c>
      <c r="S131" s="8" t="str">
        <f t="array" ref="S131">XLOOKUP(E131,Store_Dim!A:A,Store_Dim!D:D,"Not Found")</f>
        <v>Flagship</v>
      </c>
    </row>
    <row r="132" ht="14.25" customHeight="1">
      <c r="A132" s="8" t="s">
        <v>2085</v>
      </c>
      <c r="B132" s="12">
        <v>45610.0</v>
      </c>
      <c r="C132" s="8" t="s">
        <v>1092</v>
      </c>
      <c r="D132" s="8" t="s">
        <v>1632</v>
      </c>
      <c r="E132" s="8" t="s">
        <v>1910</v>
      </c>
      <c r="F132" s="8">
        <v>1.0</v>
      </c>
      <c r="G132" s="8">
        <v>942.38</v>
      </c>
      <c r="H132" s="8">
        <v>0.17</v>
      </c>
      <c r="I132" s="8">
        <f t="shared" si="1"/>
        <v>942.38</v>
      </c>
      <c r="J132" s="8">
        <f t="shared" si="2"/>
        <v>-160.0346</v>
      </c>
      <c r="K132" s="8" t="str">
        <f t="shared" si="3"/>
        <v>Nov</v>
      </c>
      <c r="L132" s="8">
        <f t="shared" si="4"/>
        <v>2024</v>
      </c>
      <c r="N132" s="8" t="str">
        <f t="array" ref="N132">XLOOKUP(C132,Customer_Dim!A:A,Customer_Dim!B:B,"Not Found")</f>
        <v>Ryan Moore</v>
      </c>
      <c r="O132" s="8" t="str">
        <f t="array" ref="O132">XLOOKUP(C132,Customer_Dim!A:A,Customer_Dim!E:E,"Not Found")</f>
        <v>Cartershire</v>
      </c>
      <c r="P132" s="8" t="str">
        <f t="array" ref="P132">XLOOKUP(D132,Product_Dim!A:A,Product_Dim!B:B,"Not Found")</f>
        <v>Soccer Training Cone Set</v>
      </c>
      <c r="Q132" s="8" t="str">
        <f t="array" ref="Q132">XLOOKUP(D132,Product_Dim!A:A,Product_Dim!C:C,"Not Found")</f>
        <v>Sports</v>
      </c>
      <c r="R132" s="8" t="str">
        <f t="array" ref="R132">XLOOKUP(E132,Store_Dim!A:A,Store_Dim!B:B,"Not Found")</f>
        <v>North</v>
      </c>
      <c r="S132" s="8" t="str">
        <f t="array" ref="S132">XLOOKUP(E132,Store_Dim!A:A,Store_Dim!D:D,"Not Found")</f>
        <v>Outlet</v>
      </c>
    </row>
    <row r="133" ht="14.25" customHeight="1">
      <c r="A133" s="8" t="s">
        <v>2086</v>
      </c>
      <c r="B133" s="12">
        <v>45611.0</v>
      </c>
      <c r="C133" s="8" t="s">
        <v>1540</v>
      </c>
      <c r="D133" s="8" t="s">
        <v>1742</v>
      </c>
      <c r="E133" s="8" t="s">
        <v>1928</v>
      </c>
      <c r="F133" s="8">
        <v>3.0</v>
      </c>
      <c r="G133" s="8">
        <v>298.35</v>
      </c>
      <c r="H133" s="8">
        <v>0.05</v>
      </c>
      <c r="I133" s="8">
        <f t="shared" si="1"/>
        <v>895.05</v>
      </c>
      <c r="J133" s="8">
        <f t="shared" si="2"/>
        <v>-44.7025</v>
      </c>
      <c r="K133" s="8" t="str">
        <f t="shared" si="3"/>
        <v>Nov</v>
      </c>
      <c r="L133" s="8">
        <f t="shared" si="4"/>
        <v>2024</v>
      </c>
      <c r="N133" s="8" t="str">
        <f t="array" ref="N133">XLOOKUP(C133,Customer_Dim!A:A,Customer_Dim!B:B,"Not Found")</f>
        <v>Christopher Ford</v>
      </c>
      <c r="O133" s="8" t="str">
        <f t="array" ref="O133">XLOOKUP(C133,Customer_Dim!A:A,Customer_Dim!E:E,"Not Found")</f>
        <v>North Seanfurt</v>
      </c>
      <c r="P133" s="8" t="str">
        <f t="array" ref="P133">XLOOKUP(D133,Product_Dim!A:A,Product_Dim!B:B,"Not Found")</f>
        <v>HDMI Cable – 2m</v>
      </c>
      <c r="Q133" s="8" t="str">
        <f t="array" ref="Q133">XLOOKUP(D133,Product_Dim!A:A,Product_Dim!C:C,"Not Found")</f>
        <v>Electronics</v>
      </c>
      <c r="R133" s="8" t="str">
        <f t="array" ref="R133">XLOOKUP(E133,Store_Dim!A:A,Store_Dim!B:B,"Not Found")</f>
        <v>South</v>
      </c>
      <c r="S133" s="8" t="str">
        <f t="array" ref="S133">XLOOKUP(E133,Store_Dim!A:A,Store_Dim!D:D,"Not Found")</f>
        <v>Online</v>
      </c>
    </row>
    <row r="134" ht="14.25" customHeight="1">
      <c r="A134" s="8" t="s">
        <v>2087</v>
      </c>
      <c r="B134" s="12">
        <v>45612.0</v>
      </c>
      <c r="C134" s="8" t="s">
        <v>559</v>
      </c>
      <c r="D134" s="8" t="s">
        <v>1732</v>
      </c>
      <c r="E134" s="8" t="s">
        <v>1929</v>
      </c>
      <c r="F134" s="8">
        <v>4.0</v>
      </c>
      <c r="G134" s="8">
        <v>950.04</v>
      </c>
      <c r="H134" s="8">
        <v>0.13</v>
      </c>
      <c r="I134" s="8">
        <f t="shared" si="1"/>
        <v>3800.16</v>
      </c>
      <c r="J134" s="8">
        <f t="shared" si="2"/>
        <v>-493.8908</v>
      </c>
      <c r="K134" s="8" t="str">
        <f t="shared" si="3"/>
        <v>Nov</v>
      </c>
      <c r="L134" s="8">
        <f t="shared" si="4"/>
        <v>2024</v>
      </c>
      <c r="N134" s="8" t="str">
        <f t="array" ref="N134">XLOOKUP(C134,Customer_Dim!A:A,Customer_Dim!B:B,"Not Found")</f>
        <v>Daniel Rivas</v>
      </c>
      <c r="O134" s="8" t="str">
        <f t="array" ref="O134">XLOOKUP(C134,Customer_Dim!A:A,Customer_Dim!E:E,"Not Found")</f>
        <v>Dominiquefort</v>
      </c>
      <c r="P134" s="8" t="str">
        <f t="array" ref="P134">XLOOKUP(D134,Product_Dim!A:A,Product_Dim!B:B,"Not Found")</f>
        <v>Car Dashboard Phone Holder</v>
      </c>
      <c r="Q134" s="8" t="str">
        <f t="array" ref="Q134">XLOOKUP(D134,Product_Dim!A:A,Product_Dim!C:C,"Not Found")</f>
        <v>Electronics</v>
      </c>
      <c r="R134" s="8" t="str">
        <f t="array" ref="R134">XLOOKUP(E134,Store_Dim!A:A,Store_Dim!B:B,"Not Found")</f>
        <v>North</v>
      </c>
      <c r="S134" s="8" t="str">
        <f t="array" ref="S134">XLOOKUP(E134,Store_Dim!A:A,Store_Dim!D:D,"Not Found")</f>
        <v>Online</v>
      </c>
    </row>
    <row r="135" ht="14.25" customHeight="1">
      <c r="A135" s="8" t="s">
        <v>2088</v>
      </c>
      <c r="B135" s="12">
        <v>45613.0</v>
      </c>
      <c r="C135" s="8" t="s">
        <v>1050</v>
      </c>
      <c r="D135" s="8" t="s">
        <v>1760</v>
      </c>
      <c r="E135" s="8" t="s">
        <v>1912</v>
      </c>
      <c r="F135" s="8">
        <v>2.0</v>
      </c>
      <c r="G135" s="8">
        <v>267.19</v>
      </c>
      <c r="H135" s="8">
        <v>0.07</v>
      </c>
      <c r="I135" s="8">
        <f t="shared" si="1"/>
        <v>534.38</v>
      </c>
      <c r="J135" s="8">
        <f t="shared" si="2"/>
        <v>-37.3366</v>
      </c>
      <c r="K135" s="8" t="str">
        <f t="shared" si="3"/>
        <v>Nov</v>
      </c>
      <c r="L135" s="8">
        <f t="shared" si="4"/>
        <v>2024</v>
      </c>
      <c r="N135" s="8" t="str">
        <f t="array" ref="N135">XLOOKUP(C135,Customer_Dim!A:A,Customer_Dim!B:B,"Not Found")</f>
        <v>Victor Mcintosh</v>
      </c>
      <c r="O135" s="8" t="str">
        <f t="array" ref="O135">XLOOKUP(C135,Customer_Dim!A:A,Customer_Dim!E:E,"Not Found")</f>
        <v>Tiffanyshire</v>
      </c>
      <c r="P135" s="8" t="str">
        <f t="array" ref="P135">XLOOKUP(D135,Product_Dim!A:A,Product_Dim!B:B,"Not Found")</f>
        <v>Foam Roller</v>
      </c>
      <c r="Q135" s="8" t="str">
        <f t="array" ref="Q135">XLOOKUP(D135,Product_Dim!A:A,Product_Dim!C:C,"Not Found")</f>
        <v>Sports</v>
      </c>
      <c r="R135" s="8" t="str">
        <f t="array" ref="R135">XLOOKUP(E135,Store_Dim!A:A,Store_Dim!B:B,"Not Found")</f>
        <v>South</v>
      </c>
      <c r="S135" s="8" t="str">
        <f t="array" ref="S135">XLOOKUP(E135,Store_Dim!A:A,Store_Dim!D:D,"Not Found")</f>
        <v>Online</v>
      </c>
    </row>
    <row r="136" ht="14.25" customHeight="1">
      <c r="A136" s="8" t="s">
        <v>2089</v>
      </c>
      <c r="B136" s="12">
        <v>45614.0</v>
      </c>
      <c r="C136" s="8" t="s">
        <v>669</v>
      </c>
      <c r="D136" s="8" t="s">
        <v>1851</v>
      </c>
      <c r="E136" s="8" t="s">
        <v>1933</v>
      </c>
      <c r="F136" s="8">
        <v>4.0</v>
      </c>
      <c r="G136" s="8">
        <v>72.63</v>
      </c>
      <c r="H136" s="8">
        <v>0.06</v>
      </c>
      <c r="I136" s="8">
        <f t="shared" si="1"/>
        <v>290.52</v>
      </c>
      <c r="J136" s="8">
        <f t="shared" si="2"/>
        <v>-17.3712</v>
      </c>
      <c r="K136" s="8" t="str">
        <f t="shared" si="3"/>
        <v>Nov</v>
      </c>
      <c r="L136" s="8">
        <f t="shared" si="4"/>
        <v>2024</v>
      </c>
      <c r="N136" s="8" t="str">
        <f t="array" ref="N136">XLOOKUP(C136,Customer_Dim!A:A,Customer_Dim!B:B,"Not Found")</f>
        <v>Mary Boyd</v>
      </c>
      <c r="O136" s="8" t="str">
        <f t="array" ref="O136">XLOOKUP(C136,Customer_Dim!A:A,Customer_Dim!E:E,"Not Found")</f>
        <v>New Logan</v>
      </c>
      <c r="P136" s="8" t="str">
        <f t="array" ref="P136">XLOOKUP(D136,Product_Dim!A:A,Product_Dim!B:B,"Not Found")</f>
        <v>LED Bedside Lamp</v>
      </c>
      <c r="Q136" s="8" t="str">
        <f t="array" ref="Q136">XLOOKUP(D136,Product_Dim!A:A,Product_Dim!C:C,"Not Found")</f>
        <v>Home</v>
      </c>
      <c r="R136" s="8" t="str">
        <f t="array" ref="R136">XLOOKUP(E136,Store_Dim!A:A,Store_Dim!B:B,"Not Found")</f>
        <v>North</v>
      </c>
      <c r="S136" s="8" t="str">
        <f t="array" ref="S136">XLOOKUP(E136,Store_Dim!A:A,Store_Dim!D:D,"Not Found")</f>
        <v>Flagship</v>
      </c>
    </row>
    <row r="137" ht="14.25" customHeight="1">
      <c r="A137" s="8" t="s">
        <v>2090</v>
      </c>
      <c r="B137" s="12">
        <v>45615.0</v>
      </c>
      <c r="C137" s="8" t="s">
        <v>1341</v>
      </c>
      <c r="D137" s="8" t="s">
        <v>1748</v>
      </c>
      <c r="E137" s="8" t="s">
        <v>1915</v>
      </c>
      <c r="F137" s="8">
        <v>3.0</v>
      </c>
      <c r="G137" s="8">
        <v>576.52</v>
      </c>
      <c r="H137" s="8">
        <v>0.22</v>
      </c>
      <c r="I137" s="8">
        <f t="shared" si="1"/>
        <v>1729.56</v>
      </c>
      <c r="J137" s="8">
        <f t="shared" si="2"/>
        <v>-380.2832</v>
      </c>
      <c r="K137" s="8" t="str">
        <f t="shared" si="3"/>
        <v>Nov</v>
      </c>
      <c r="L137" s="8">
        <f t="shared" si="4"/>
        <v>2024</v>
      </c>
      <c r="N137" s="8" t="str">
        <f t="array" ref="N137">XLOOKUP(C137,Customer_Dim!A:A,Customer_Dim!B:B,"Not Found")</f>
        <v>Jose Stewart</v>
      </c>
      <c r="O137" s="8" t="str">
        <f t="array" ref="O137">XLOOKUP(C137,Customer_Dim!A:A,Customer_Dim!E:E,"Not Found")</f>
        <v>South Robert</v>
      </c>
      <c r="P137" s="8" t="str">
        <f t="array" ref="P137">XLOOKUP(D137,Product_Dim!A:A,Product_Dim!B:B,"Not Found")</f>
        <v>Men's Track Pants</v>
      </c>
      <c r="Q137" s="8" t="str">
        <f t="array" ref="Q137">XLOOKUP(D137,Product_Dim!A:A,Product_Dim!C:C,"Not Found")</f>
        <v>Clothing</v>
      </c>
      <c r="R137" s="8" t="str">
        <f t="array" ref="R137">XLOOKUP(E137,Store_Dim!A:A,Store_Dim!B:B,"Not Found")</f>
        <v>North</v>
      </c>
      <c r="S137" s="8" t="str">
        <f t="array" ref="S137">XLOOKUP(E137,Store_Dim!A:A,Store_Dim!D:D,"Not Found")</f>
        <v>Outlet</v>
      </c>
    </row>
    <row r="138" ht="14.25" customHeight="1">
      <c r="A138" s="8" t="s">
        <v>2091</v>
      </c>
      <c r="B138" s="12">
        <v>45616.0</v>
      </c>
      <c r="C138" s="8" t="s">
        <v>1110</v>
      </c>
      <c r="D138" s="8" t="s">
        <v>1803</v>
      </c>
      <c r="E138" s="8" t="s">
        <v>1924</v>
      </c>
      <c r="F138" s="8">
        <v>3.0</v>
      </c>
      <c r="G138" s="8">
        <v>849.36</v>
      </c>
      <c r="H138" s="8">
        <v>0.03</v>
      </c>
      <c r="I138" s="8">
        <f t="shared" si="1"/>
        <v>2548.08</v>
      </c>
      <c r="J138" s="8">
        <f t="shared" si="2"/>
        <v>-76.4124</v>
      </c>
      <c r="K138" s="8" t="str">
        <f t="shared" si="3"/>
        <v>Nov</v>
      </c>
      <c r="L138" s="8">
        <f t="shared" si="4"/>
        <v>2024</v>
      </c>
      <c r="N138" s="8" t="str">
        <f t="array" ref="N138">XLOOKUP(C138,Customer_Dim!A:A,Customer_Dim!B:B,"Not Found")</f>
        <v>Heather Valenzuela</v>
      </c>
      <c r="O138" s="8" t="str">
        <f t="array" ref="O138">XLOOKUP(C138,Customer_Dim!A:A,Customer_Dim!E:E,"Not Found")</f>
        <v>New Angiefurt</v>
      </c>
      <c r="P138" s="8" t="str">
        <f t="array" ref="P138">XLOOKUP(D138,Product_Dim!A:A,Product_Dim!B:B,"Not Found")</f>
        <v>Hair Repair Oil Treatment</v>
      </c>
      <c r="Q138" s="8" t="str">
        <f t="array" ref="Q138">XLOOKUP(D138,Product_Dim!A:A,Product_Dim!C:C,"Not Found")</f>
        <v>Beauty</v>
      </c>
      <c r="R138" s="8" t="str">
        <f t="array" ref="R138">XLOOKUP(E138,Store_Dim!A:A,Store_Dim!B:B,"Not Found")</f>
        <v>South</v>
      </c>
      <c r="S138" s="8" t="str">
        <f t="array" ref="S138">XLOOKUP(E138,Store_Dim!A:A,Store_Dim!D:D,"Not Found")</f>
        <v>Flagship</v>
      </c>
    </row>
    <row r="139" ht="14.25" customHeight="1">
      <c r="A139" s="8" t="s">
        <v>2092</v>
      </c>
      <c r="B139" s="12">
        <v>45617.0</v>
      </c>
      <c r="C139" s="8" t="s">
        <v>1474</v>
      </c>
      <c r="D139" s="8" t="s">
        <v>1739</v>
      </c>
      <c r="E139" s="8" t="s">
        <v>1917</v>
      </c>
      <c r="F139" s="8">
        <v>1.0</v>
      </c>
      <c r="G139" s="8">
        <v>245.85</v>
      </c>
      <c r="H139" s="8">
        <v>0.18</v>
      </c>
      <c r="I139" s="8">
        <f t="shared" si="1"/>
        <v>245.85</v>
      </c>
      <c r="J139" s="8">
        <f t="shared" si="2"/>
        <v>-44.073</v>
      </c>
      <c r="K139" s="8" t="str">
        <f t="shared" si="3"/>
        <v>Nov</v>
      </c>
      <c r="L139" s="8">
        <f t="shared" si="4"/>
        <v>2024</v>
      </c>
      <c r="N139" s="8" t="str">
        <f t="array" ref="N139">XLOOKUP(C139,Customer_Dim!A:A,Customer_Dim!B:B,"Not Found")</f>
        <v>Laura Mathews</v>
      </c>
      <c r="O139" s="8" t="str">
        <f t="array" ref="O139">XLOOKUP(C139,Customer_Dim!A:A,Customer_Dim!E:E,"Not Found")</f>
        <v>Chambersfurt</v>
      </c>
      <c r="P139" s="8" t="str">
        <f t="array" ref="P139">XLOOKUP(D139,Product_Dim!A:A,Product_Dim!B:B,"Not Found")</f>
        <v>Boxing Hand Wraps</v>
      </c>
      <c r="Q139" s="8" t="str">
        <f t="array" ref="Q139">XLOOKUP(D139,Product_Dim!A:A,Product_Dim!C:C,"Not Found")</f>
        <v>Sports</v>
      </c>
      <c r="R139" s="8" t="str">
        <f t="array" ref="R139">XLOOKUP(E139,Store_Dim!A:A,Store_Dim!B:B,"Not Found")</f>
        <v>East</v>
      </c>
      <c r="S139" s="8" t="str">
        <f t="array" ref="S139">XLOOKUP(E139,Store_Dim!A:A,Store_Dim!D:D,"Not Found")</f>
        <v>Online</v>
      </c>
    </row>
    <row r="140" ht="14.25" customHeight="1">
      <c r="A140" s="8" t="s">
        <v>2093</v>
      </c>
      <c r="B140" s="12">
        <v>45618.0</v>
      </c>
      <c r="C140" s="8" t="s">
        <v>601</v>
      </c>
      <c r="D140" s="8" t="s">
        <v>1881</v>
      </c>
      <c r="E140" s="8" t="s">
        <v>1926</v>
      </c>
      <c r="F140" s="8">
        <v>3.0</v>
      </c>
      <c r="G140" s="8">
        <v>237.68</v>
      </c>
      <c r="H140" s="8">
        <v>0.1</v>
      </c>
      <c r="I140" s="8">
        <f t="shared" si="1"/>
        <v>713.04</v>
      </c>
      <c r="J140" s="8">
        <f t="shared" si="2"/>
        <v>-71.204</v>
      </c>
      <c r="K140" s="8" t="str">
        <f t="shared" si="3"/>
        <v>Nov</v>
      </c>
      <c r="L140" s="8">
        <f t="shared" si="4"/>
        <v>2024</v>
      </c>
      <c r="N140" s="8" t="str">
        <f t="array" ref="N140">XLOOKUP(C140,Customer_Dim!A:A,Customer_Dim!B:B,"Not Found")</f>
        <v>Michelle Myers</v>
      </c>
      <c r="O140" s="8" t="str">
        <f t="array" ref="O140">XLOOKUP(C140,Customer_Dim!A:A,Customer_Dim!E:E,"Not Found")</f>
        <v>West Daniel</v>
      </c>
      <c r="P140" s="8" t="str">
        <f t="array" ref="P140">XLOOKUP(D140,Product_Dim!A:A,Product_Dim!B:B,"Not Found")</f>
        <v>Cricket Bat</v>
      </c>
      <c r="Q140" s="8" t="str">
        <f t="array" ref="Q140">XLOOKUP(D140,Product_Dim!A:A,Product_Dim!C:C,"Not Found")</f>
        <v>Sports</v>
      </c>
      <c r="R140" s="8" t="str">
        <f t="array" ref="R140">XLOOKUP(E140,Store_Dim!A:A,Store_Dim!B:B,"Not Found")</f>
        <v>East</v>
      </c>
      <c r="S140" s="8" t="str">
        <f t="array" ref="S140">XLOOKUP(E140,Store_Dim!A:A,Store_Dim!D:D,"Not Found")</f>
        <v>Online</v>
      </c>
    </row>
    <row r="141" ht="14.25" customHeight="1">
      <c r="A141" s="8" t="s">
        <v>2094</v>
      </c>
      <c r="B141" s="12">
        <v>45619.0</v>
      </c>
      <c r="C141" s="8" t="s">
        <v>1074</v>
      </c>
      <c r="D141" s="8" t="s">
        <v>1803</v>
      </c>
      <c r="E141" s="8" t="s">
        <v>1932</v>
      </c>
      <c r="F141" s="8">
        <v>4.0</v>
      </c>
      <c r="G141" s="8">
        <v>715.85</v>
      </c>
      <c r="H141" s="8">
        <v>0.25</v>
      </c>
      <c r="I141" s="8">
        <f t="shared" si="1"/>
        <v>2863.4</v>
      </c>
      <c r="J141" s="8">
        <f t="shared" si="2"/>
        <v>-715.6</v>
      </c>
      <c r="K141" s="8" t="str">
        <f t="shared" si="3"/>
        <v>Nov</v>
      </c>
      <c r="L141" s="8">
        <f t="shared" si="4"/>
        <v>2024</v>
      </c>
      <c r="N141" s="8" t="str">
        <f t="array" ref="N141">XLOOKUP(C141,Customer_Dim!A:A,Customer_Dim!B:B,"Not Found")</f>
        <v>Carol Lewis</v>
      </c>
      <c r="O141" s="8" t="str">
        <f t="array" ref="O141">XLOOKUP(C141,Customer_Dim!A:A,Customer_Dim!E:E,"Not Found")</f>
        <v>Ryanport</v>
      </c>
      <c r="P141" s="8" t="str">
        <f t="array" ref="P141">XLOOKUP(D141,Product_Dim!A:A,Product_Dim!B:B,"Not Found")</f>
        <v>Hair Repair Oil Treatment</v>
      </c>
      <c r="Q141" s="8" t="str">
        <f t="array" ref="Q141">XLOOKUP(D141,Product_Dim!A:A,Product_Dim!C:C,"Not Found")</f>
        <v>Beauty</v>
      </c>
      <c r="R141" s="8" t="str">
        <f t="array" ref="R141">XLOOKUP(E141,Store_Dim!A:A,Store_Dim!B:B,"Not Found")</f>
        <v>South</v>
      </c>
      <c r="S141" s="8" t="str">
        <f t="array" ref="S141">XLOOKUP(E141,Store_Dim!A:A,Store_Dim!D:D,"Not Found")</f>
        <v>Outlet</v>
      </c>
    </row>
    <row r="142" ht="14.25" customHeight="1">
      <c r="A142" s="8" t="s">
        <v>2095</v>
      </c>
      <c r="B142" s="12">
        <v>45620.0</v>
      </c>
      <c r="C142" s="8" t="s">
        <v>580</v>
      </c>
      <c r="D142" s="8" t="s">
        <v>1860</v>
      </c>
      <c r="E142" s="8" t="s">
        <v>1915</v>
      </c>
      <c r="F142" s="8">
        <v>2.0</v>
      </c>
      <c r="G142" s="8">
        <v>478.85</v>
      </c>
      <c r="H142" s="8">
        <v>0.01</v>
      </c>
      <c r="I142" s="8">
        <f t="shared" si="1"/>
        <v>957.7</v>
      </c>
      <c r="J142" s="8">
        <f t="shared" si="2"/>
        <v>-9.567</v>
      </c>
      <c r="K142" s="8" t="str">
        <f t="shared" si="3"/>
        <v>Nov</v>
      </c>
      <c r="L142" s="8">
        <f t="shared" si="4"/>
        <v>2024</v>
      </c>
      <c r="N142" s="8" t="str">
        <f t="array" ref="N142">XLOOKUP(C142,Customer_Dim!A:A,Customer_Dim!B:B,"Not Found")</f>
        <v>Amy Wilson</v>
      </c>
      <c r="O142" s="8" t="str">
        <f t="array" ref="O142">XLOOKUP(C142,Customer_Dim!A:A,Customer_Dim!E:E,"Not Found")</f>
        <v>Morrisburgh</v>
      </c>
      <c r="P142" s="8" t="str">
        <f t="array" ref="P142">XLOOKUP(D142,Product_Dim!A:A,Product_Dim!B:B,"Not Found")</f>
        <v>Gaming Mouse Pad XL</v>
      </c>
      <c r="Q142" s="8" t="str">
        <f t="array" ref="Q142">XLOOKUP(D142,Product_Dim!A:A,Product_Dim!C:C,"Not Found")</f>
        <v>Electronics</v>
      </c>
      <c r="R142" s="8" t="str">
        <f t="array" ref="R142">XLOOKUP(E142,Store_Dim!A:A,Store_Dim!B:B,"Not Found")</f>
        <v>North</v>
      </c>
      <c r="S142" s="8" t="str">
        <f t="array" ref="S142">XLOOKUP(E142,Store_Dim!A:A,Store_Dim!D:D,"Not Found")</f>
        <v>Outlet</v>
      </c>
    </row>
    <row r="143" ht="14.25" customHeight="1">
      <c r="A143" s="8" t="s">
        <v>2096</v>
      </c>
      <c r="B143" s="12">
        <v>45621.0</v>
      </c>
      <c r="C143" s="8" t="s">
        <v>406</v>
      </c>
      <c r="D143" s="8" t="s">
        <v>1728</v>
      </c>
      <c r="E143" s="8" t="s">
        <v>1899</v>
      </c>
      <c r="F143" s="8">
        <v>1.0</v>
      </c>
      <c r="G143" s="8">
        <v>503.95</v>
      </c>
      <c r="H143" s="8">
        <v>0.26</v>
      </c>
      <c r="I143" s="8">
        <f t="shared" si="1"/>
        <v>503.95</v>
      </c>
      <c r="J143" s="8">
        <f t="shared" si="2"/>
        <v>-130.767</v>
      </c>
      <c r="K143" s="8" t="str">
        <f t="shared" si="3"/>
        <v>Nov</v>
      </c>
      <c r="L143" s="8">
        <f t="shared" si="4"/>
        <v>2024</v>
      </c>
      <c r="N143" s="8" t="str">
        <f t="array" ref="N143">XLOOKUP(C143,Customer_Dim!A:A,Customer_Dim!B:B,"Not Found")</f>
        <v>Edward Hall</v>
      </c>
      <c r="O143" s="8" t="str">
        <f t="array" ref="O143">XLOOKUP(C143,Customer_Dim!A:A,Customer_Dim!E:E,"Not Found")</f>
        <v>New William</v>
      </c>
      <c r="P143" s="8" t="str">
        <f t="array" ref="P143">XLOOKUP(D143,Product_Dim!A:A,Product_Dim!B:B,"Not Found")</f>
        <v>Makeup Brush Set</v>
      </c>
      <c r="Q143" s="8" t="str">
        <f t="array" ref="Q143">XLOOKUP(D143,Product_Dim!A:A,Product_Dim!C:C,"Not Found")</f>
        <v>Beauty</v>
      </c>
      <c r="R143" s="8" t="str">
        <f t="array" ref="R143">XLOOKUP(E143,Store_Dim!A:A,Store_Dim!B:B,"Not Found")</f>
        <v>East</v>
      </c>
      <c r="S143" s="8" t="str">
        <f t="array" ref="S143">XLOOKUP(E143,Store_Dim!A:A,Store_Dim!D:D,"Not Found")</f>
        <v>Flagship</v>
      </c>
    </row>
    <row r="144" ht="14.25" customHeight="1">
      <c r="A144" s="8" t="s">
        <v>2097</v>
      </c>
      <c r="B144" s="12">
        <v>45622.0</v>
      </c>
      <c r="C144" s="8" t="s">
        <v>1259</v>
      </c>
      <c r="D144" s="8" t="s">
        <v>1787</v>
      </c>
      <c r="E144" s="8" t="s">
        <v>1929</v>
      </c>
      <c r="F144" s="8">
        <v>2.0</v>
      </c>
      <c r="G144" s="8">
        <v>975.48</v>
      </c>
      <c r="H144" s="8">
        <v>0.26</v>
      </c>
      <c r="I144" s="8">
        <f t="shared" si="1"/>
        <v>1950.96</v>
      </c>
      <c r="J144" s="8">
        <f t="shared" si="2"/>
        <v>-506.9896</v>
      </c>
      <c r="K144" s="8" t="str">
        <f t="shared" si="3"/>
        <v>Nov</v>
      </c>
      <c r="L144" s="8">
        <f t="shared" si="4"/>
        <v>2024</v>
      </c>
      <c r="N144" s="8" t="str">
        <f t="array" ref="N144">XLOOKUP(C144,Customer_Dim!A:A,Customer_Dim!B:B,"Not Found")</f>
        <v>John Donaldson</v>
      </c>
      <c r="O144" s="8" t="str">
        <f t="array" ref="O144">XLOOKUP(C144,Customer_Dim!A:A,Customer_Dim!E:E,"Not Found")</f>
        <v>New Edward</v>
      </c>
      <c r="P144" s="8" t="str">
        <f t="array" ref="P144">XLOOKUP(D144,Product_Dim!A:A,Product_Dim!B:B,"Not Found")</f>
        <v>Women's Hair Dryer Brush</v>
      </c>
      <c r="Q144" s="8" t="str">
        <f t="array" ref="Q144">XLOOKUP(D144,Product_Dim!A:A,Product_Dim!C:C,"Not Found")</f>
        <v>Beauty</v>
      </c>
      <c r="R144" s="8" t="str">
        <f t="array" ref="R144">XLOOKUP(E144,Store_Dim!A:A,Store_Dim!B:B,"Not Found")</f>
        <v>North</v>
      </c>
      <c r="S144" s="8" t="str">
        <f t="array" ref="S144">XLOOKUP(E144,Store_Dim!A:A,Store_Dim!D:D,"Not Found")</f>
        <v>Online</v>
      </c>
    </row>
    <row r="145" ht="14.25" customHeight="1">
      <c r="A145" s="8" t="s">
        <v>2098</v>
      </c>
      <c r="B145" s="12">
        <v>45623.0</v>
      </c>
      <c r="C145" s="8" t="s">
        <v>1265</v>
      </c>
      <c r="D145" s="8" t="s">
        <v>1687</v>
      </c>
      <c r="E145" s="8" t="s">
        <v>1935</v>
      </c>
      <c r="F145" s="8">
        <v>4.0</v>
      </c>
      <c r="G145" s="8">
        <v>450.12</v>
      </c>
      <c r="H145" s="8">
        <v>0.29</v>
      </c>
      <c r="I145" s="8">
        <f t="shared" si="1"/>
        <v>1800.48</v>
      </c>
      <c r="J145" s="8">
        <f t="shared" si="2"/>
        <v>-521.8492</v>
      </c>
      <c r="K145" s="8" t="str">
        <f t="shared" si="3"/>
        <v>Nov</v>
      </c>
      <c r="L145" s="8">
        <f t="shared" si="4"/>
        <v>2024</v>
      </c>
      <c r="N145" s="8" t="str">
        <f t="array" ref="N145">XLOOKUP(C145,Customer_Dim!A:A,Customer_Dim!B:B,"Not Found")</f>
        <v>Terry Moses</v>
      </c>
      <c r="O145" s="8" t="str">
        <f t="array" ref="O145">XLOOKUP(C145,Customer_Dim!A:A,Customer_Dim!E:E,"Not Found")</f>
        <v>Leahmouth</v>
      </c>
      <c r="P145" s="8" t="str">
        <f t="array" ref="P145">XLOOKUP(D145,Product_Dim!A:A,Product_Dim!B:B,"Not Found")</f>
        <v>Gaming Mechanical Keyboard</v>
      </c>
      <c r="Q145" s="8" t="str">
        <f t="array" ref="Q145">XLOOKUP(D145,Product_Dim!A:A,Product_Dim!C:C,"Not Found")</f>
        <v>Electronics</v>
      </c>
      <c r="R145" s="8" t="str">
        <f t="array" ref="R145">XLOOKUP(E145,Store_Dim!A:A,Store_Dim!B:B,"Not Found")</f>
        <v>West</v>
      </c>
      <c r="S145" s="8" t="str">
        <f t="array" ref="S145">XLOOKUP(E145,Store_Dim!A:A,Store_Dim!D:D,"Not Found")</f>
        <v>Flagship</v>
      </c>
    </row>
    <row r="146" ht="14.25" customHeight="1">
      <c r="A146" s="8" t="s">
        <v>2099</v>
      </c>
      <c r="B146" s="12">
        <v>45624.0</v>
      </c>
      <c r="C146" s="8" t="s">
        <v>1365</v>
      </c>
      <c r="D146" s="8" t="s">
        <v>1693</v>
      </c>
      <c r="E146" s="8" t="s">
        <v>1921</v>
      </c>
      <c r="F146" s="8">
        <v>3.0</v>
      </c>
      <c r="G146" s="8">
        <v>237.24</v>
      </c>
      <c r="H146" s="8">
        <v>0.24</v>
      </c>
      <c r="I146" s="8">
        <f t="shared" si="1"/>
        <v>711.72</v>
      </c>
      <c r="J146" s="8">
        <f t="shared" si="2"/>
        <v>-170.5728</v>
      </c>
      <c r="K146" s="8" t="str">
        <f t="shared" si="3"/>
        <v>Nov</v>
      </c>
      <c r="L146" s="8">
        <f t="shared" si="4"/>
        <v>2024</v>
      </c>
      <c r="N146" s="8" t="str">
        <f t="array" ref="N146">XLOOKUP(C146,Customer_Dim!A:A,Customer_Dim!B:B,"Not Found")</f>
        <v>Lindsay Beasley</v>
      </c>
      <c r="O146" s="8" t="str">
        <f t="array" ref="O146">XLOOKUP(C146,Customer_Dim!A:A,Customer_Dim!E:E,"Not Found")</f>
        <v>Wesleyhaven</v>
      </c>
      <c r="P146" s="8" t="str">
        <f t="array" ref="P146">XLOOKUP(D146,Product_Dim!A:A,Product_Dim!B:B,"Not Found")</f>
        <v>Women's Summer Dress</v>
      </c>
      <c r="Q146" s="8" t="str">
        <f t="array" ref="Q146">XLOOKUP(D146,Product_Dim!A:A,Product_Dim!C:C,"Not Found")</f>
        <v>Clothing</v>
      </c>
      <c r="R146" s="8" t="str">
        <f t="array" ref="R146">XLOOKUP(E146,Store_Dim!A:A,Store_Dim!B:B,"Not Found")</f>
        <v>West</v>
      </c>
      <c r="S146" s="8" t="str">
        <f t="array" ref="S146">XLOOKUP(E146,Store_Dim!A:A,Store_Dim!D:D,"Not Found")</f>
        <v>Online</v>
      </c>
    </row>
    <row r="147" ht="14.25" customHeight="1">
      <c r="A147" s="8" t="s">
        <v>2100</v>
      </c>
      <c r="B147" s="12">
        <v>45625.0</v>
      </c>
      <c r="C147" s="8" t="s">
        <v>1433</v>
      </c>
      <c r="D147" s="8" t="s">
        <v>1751</v>
      </c>
      <c r="E147" s="8" t="s">
        <v>1933</v>
      </c>
      <c r="F147" s="8">
        <v>2.0</v>
      </c>
      <c r="G147" s="8">
        <v>536.84</v>
      </c>
      <c r="H147" s="8">
        <v>0.09</v>
      </c>
      <c r="I147" s="8">
        <f t="shared" si="1"/>
        <v>1073.68</v>
      </c>
      <c r="J147" s="8">
        <f t="shared" si="2"/>
        <v>-96.5412</v>
      </c>
      <c r="K147" s="8" t="str">
        <f t="shared" si="3"/>
        <v>Nov</v>
      </c>
      <c r="L147" s="8">
        <f t="shared" si="4"/>
        <v>2024</v>
      </c>
      <c r="N147" s="8" t="str">
        <f t="array" ref="N147">XLOOKUP(C147,Customer_Dim!A:A,Customer_Dim!B:B,"Not Found")</f>
        <v>John Perez</v>
      </c>
      <c r="O147" s="8" t="str">
        <f t="array" ref="O147">XLOOKUP(C147,Customer_Dim!A:A,Customer_Dim!E:E,"Not Found")</f>
        <v>Brandontown</v>
      </c>
      <c r="P147" s="8" t="str">
        <f t="array" ref="P147">XLOOKUP(D147,Product_Dim!A:A,Product_Dim!B:B,"Not Found")</f>
        <v>Sports Stopwatch Pro</v>
      </c>
      <c r="Q147" s="8" t="str">
        <f t="array" ref="Q147">XLOOKUP(D147,Product_Dim!A:A,Product_Dim!C:C,"Not Found")</f>
        <v>Sports</v>
      </c>
      <c r="R147" s="8" t="str">
        <f t="array" ref="R147">XLOOKUP(E147,Store_Dim!A:A,Store_Dim!B:B,"Not Found")</f>
        <v>North</v>
      </c>
      <c r="S147" s="8" t="str">
        <f t="array" ref="S147">XLOOKUP(E147,Store_Dim!A:A,Store_Dim!D:D,"Not Found")</f>
        <v>Flagship</v>
      </c>
    </row>
    <row r="148" ht="14.25" customHeight="1">
      <c r="A148" s="8" t="s">
        <v>2101</v>
      </c>
      <c r="B148" s="12">
        <v>45626.0</v>
      </c>
      <c r="C148" s="8" t="s">
        <v>1387</v>
      </c>
      <c r="D148" s="8" t="s">
        <v>1693</v>
      </c>
      <c r="E148" s="8" t="s">
        <v>1941</v>
      </c>
      <c r="F148" s="8">
        <v>3.0</v>
      </c>
      <c r="G148" s="8">
        <v>584.41</v>
      </c>
      <c r="H148" s="8">
        <v>0.0</v>
      </c>
      <c r="I148" s="8">
        <f t="shared" si="1"/>
        <v>1753.23</v>
      </c>
      <c r="J148" s="8">
        <f t="shared" si="2"/>
        <v>0</v>
      </c>
      <c r="K148" s="8" t="str">
        <f t="shared" si="3"/>
        <v>Nov</v>
      </c>
      <c r="L148" s="8">
        <f t="shared" si="4"/>
        <v>2024</v>
      </c>
      <c r="N148" s="8" t="str">
        <f t="array" ref="N148">XLOOKUP(C148,Customer_Dim!A:A,Customer_Dim!B:B,"Not Found")</f>
        <v>Adam Castro</v>
      </c>
      <c r="O148" s="8" t="str">
        <f t="array" ref="O148">XLOOKUP(C148,Customer_Dim!A:A,Customer_Dim!E:E,"Not Found")</f>
        <v>New Donnabury</v>
      </c>
      <c r="P148" s="8" t="str">
        <f t="array" ref="P148">XLOOKUP(D148,Product_Dim!A:A,Product_Dim!B:B,"Not Found")</f>
        <v>Women's Summer Dress</v>
      </c>
      <c r="Q148" s="8" t="str">
        <f t="array" ref="Q148">XLOOKUP(D148,Product_Dim!A:A,Product_Dim!C:C,"Not Found")</f>
        <v>Clothing</v>
      </c>
      <c r="R148" s="8" t="str">
        <f t="array" ref="R148">XLOOKUP(E148,Store_Dim!A:A,Store_Dim!B:B,"Not Found")</f>
        <v>East</v>
      </c>
      <c r="S148" s="8" t="str">
        <f t="array" ref="S148">XLOOKUP(E148,Store_Dim!A:A,Store_Dim!D:D,"Not Found")</f>
        <v>Online</v>
      </c>
    </row>
    <row r="149" ht="14.25" customHeight="1">
      <c r="A149" s="8" t="s">
        <v>2102</v>
      </c>
      <c r="B149" s="12">
        <v>45627.0</v>
      </c>
      <c r="C149" s="8" t="s">
        <v>947</v>
      </c>
      <c r="D149" s="8" t="s">
        <v>1836</v>
      </c>
      <c r="E149" s="8" t="s">
        <v>1941</v>
      </c>
      <c r="F149" s="8">
        <v>1.0</v>
      </c>
      <c r="G149" s="8">
        <v>653.87</v>
      </c>
      <c r="H149" s="8">
        <v>0.14</v>
      </c>
      <c r="I149" s="8">
        <f t="shared" si="1"/>
        <v>653.87</v>
      </c>
      <c r="J149" s="8">
        <f t="shared" si="2"/>
        <v>-91.4018</v>
      </c>
      <c r="K149" s="8" t="str">
        <f t="shared" si="3"/>
        <v>Dec</v>
      </c>
      <c r="L149" s="8">
        <f t="shared" si="4"/>
        <v>2024</v>
      </c>
      <c r="N149" s="8" t="str">
        <f t="array" ref="N149">XLOOKUP(C149,Customer_Dim!A:A,Customer_Dim!B:B,"Not Found")</f>
        <v>Lisa Chandler</v>
      </c>
      <c r="O149" s="8" t="str">
        <f t="array" ref="O149">XLOOKUP(C149,Customer_Dim!A:A,Customer_Dim!E:E,"Not Found")</f>
        <v>Port Richard</v>
      </c>
      <c r="P149" s="8" t="str">
        <f t="array" ref="P149">XLOOKUP(D149,Product_Dim!A:A,Product_Dim!B:B,"Not Found")</f>
        <v>Fitness Resistance Bands</v>
      </c>
      <c r="Q149" s="8" t="str">
        <f t="array" ref="Q149">XLOOKUP(D149,Product_Dim!A:A,Product_Dim!C:C,"Not Found")</f>
        <v>Sports</v>
      </c>
      <c r="R149" s="8" t="str">
        <f t="array" ref="R149">XLOOKUP(E149,Store_Dim!A:A,Store_Dim!B:B,"Not Found")</f>
        <v>East</v>
      </c>
      <c r="S149" s="8" t="str">
        <f t="array" ref="S149">XLOOKUP(E149,Store_Dim!A:A,Store_Dim!D:D,"Not Found")</f>
        <v>Online</v>
      </c>
    </row>
    <row r="150" ht="14.25" customHeight="1">
      <c r="A150" s="8" t="s">
        <v>2103</v>
      </c>
      <c r="B150" s="12">
        <v>45628.0</v>
      </c>
      <c r="C150" s="8" t="s">
        <v>1532</v>
      </c>
      <c r="D150" s="8" t="s">
        <v>1851</v>
      </c>
      <c r="E150" s="8" t="s">
        <v>1899</v>
      </c>
      <c r="F150" s="8">
        <v>1.0</v>
      </c>
      <c r="G150" s="8">
        <v>652.03</v>
      </c>
      <c r="H150" s="8">
        <v>0.27</v>
      </c>
      <c r="I150" s="8">
        <f t="shared" si="1"/>
        <v>652.03</v>
      </c>
      <c r="J150" s="8">
        <f t="shared" si="2"/>
        <v>-175.7781</v>
      </c>
      <c r="K150" s="8" t="str">
        <f t="shared" si="3"/>
        <v>Dec</v>
      </c>
      <c r="L150" s="8">
        <f t="shared" si="4"/>
        <v>2024</v>
      </c>
      <c r="N150" s="8" t="str">
        <f t="array" ref="N150">XLOOKUP(C150,Customer_Dim!A:A,Customer_Dim!B:B,"Not Found")</f>
        <v>Amanda Powell</v>
      </c>
      <c r="O150" s="8" t="str">
        <f t="array" ref="O150">XLOOKUP(C150,Customer_Dim!A:A,Customer_Dim!E:E,"Not Found")</f>
        <v>South William</v>
      </c>
      <c r="P150" s="8" t="str">
        <f t="array" ref="P150">XLOOKUP(D150,Product_Dim!A:A,Product_Dim!B:B,"Not Found")</f>
        <v>LED Bedside Lamp</v>
      </c>
      <c r="Q150" s="8" t="str">
        <f t="array" ref="Q150">XLOOKUP(D150,Product_Dim!A:A,Product_Dim!C:C,"Not Found")</f>
        <v>Home</v>
      </c>
      <c r="R150" s="8" t="str">
        <f t="array" ref="R150">XLOOKUP(E150,Store_Dim!A:A,Store_Dim!B:B,"Not Found")</f>
        <v>East</v>
      </c>
      <c r="S150" s="8" t="str">
        <f t="array" ref="S150">XLOOKUP(E150,Store_Dim!A:A,Store_Dim!D:D,"Not Found")</f>
        <v>Flagship</v>
      </c>
    </row>
    <row r="151" ht="14.25" customHeight="1">
      <c r="A151" s="8" t="s">
        <v>2104</v>
      </c>
      <c r="B151" s="12">
        <v>45629.0</v>
      </c>
      <c r="C151" s="8" t="s">
        <v>345</v>
      </c>
      <c r="D151" s="8" t="s">
        <v>1583</v>
      </c>
      <c r="E151" s="8" t="s">
        <v>1929</v>
      </c>
      <c r="F151" s="8">
        <v>3.0</v>
      </c>
      <c r="G151" s="8">
        <v>513.36</v>
      </c>
      <c r="H151" s="8">
        <v>0.07</v>
      </c>
      <c r="I151" s="8">
        <f t="shared" si="1"/>
        <v>1540.08</v>
      </c>
      <c r="J151" s="8">
        <f t="shared" si="2"/>
        <v>-107.7356</v>
      </c>
      <c r="K151" s="8" t="str">
        <f t="shared" si="3"/>
        <v>Dec</v>
      </c>
      <c r="L151" s="8">
        <f t="shared" si="4"/>
        <v>2024</v>
      </c>
      <c r="N151" s="8" t="str">
        <f t="array" ref="N151">XLOOKUP(C151,Customer_Dim!A:A,Customer_Dim!B:B,"Not Found")</f>
        <v>Christy Vasquez</v>
      </c>
      <c r="O151" s="8" t="str">
        <f t="array" ref="O151">XLOOKUP(C151,Customer_Dim!A:A,Customer_Dim!E:E,"Not Found")</f>
        <v>Port Travisstad</v>
      </c>
      <c r="P151" s="8" t="str">
        <f t="array" ref="P151">XLOOKUP(D151,Product_Dim!A:A,Product_Dim!B:B,"Not Found")</f>
        <v>Men's Leather Belt</v>
      </c>
      <c r="Q151" s="8" t="str">
        <f t="array" ref="Q151">XLOOKUP(D151,Product_Dim!A:A,Product_Dim!C:C,"Not Found")</f>
        <v>Clothing</v>
      </c>
      <c r="R151" s="8" t="str">
        <f t="array" ref="R151">XLOOKUP(E151,Store_Dim!A:A,Store_Dim!B:B,"Not Found")</f>
        <v>North</v>
      </c>
      <c r="S151" s="8" t="str">
        <f t="array" ref="S151">XLOOKUP(E151,Store_Dim!A:A,Store_Dim!D:D,"Not Found")</f>
        <v>Online</v>
      </c>
    </row>
    <row r="152" ht="14.25" customHeight="1">
      <c r="A152" s="8" t="s">
        <v>2105</v>
      </c>
      <c r="B152" s="12">
        <v>45630.0</v>
      </c>
      <c r="C152" s="8" t="s">
        <v>261</v>
      </c>
      <c r="D152" s="8" t="s">
        <v>1745</v>
      </c>
      <c r="E152" s="8" t="s">
        <v>1915</v>
      </c>
      <c r="F152" s="8">
        <v>4.0</v>
      </c>
      <c r="G152" s="8">
        <v>355.64</v>
      </c>
      <c r="H152" s="8">
        <v>0.16</v>
      </c>
      <c r="I152" s="8">
        <f t="shared" si="1"/>
        <v>1422.56</v>
      </c>
      <c r="J152" s="8">
        <f t="shared" si="2"/>
        <v>-227.4496</v>
      </c>
      <c r="K152" s="8" t="str">
        <f t="shared" si="3"/>
        <v>Dec</v>
      </c>
      <c r="L152" s="8">
        <f t="shared" si="4"/>
        <v>2024</v>
      </c>
      <c r="N152" s="8" t="str">
        <f t="array" ref="N152">XLOOKUP(C152,Customer_Dim!A:A,Customer_Dim!B:B,"Not Found")</f>
        <v>Mr. Mark Beasley</v>
      </c>
      <c r="O152" s="8" t="str">
        <f t="array" ref="O152">XLOOKUP(C152,Customer_Dim!A:A,Customer_Dim!E:E,"Not Found")</f>
        <v>West Johnchester</v>
      </c>
      <c r="P152" s="8" t="str">
        <f t="array" ref="P152">XLOOKUP(D152,Product_Dim!A:A,Product_Dim!B:B,"Not Found")</f>
        <v>Rugby Ball</v>
      </c>
      <c r="Q152" s="8" t="str">
        <f t="array" ref="Q152">XLOOKUP(D152,Product_Dim!A:A,Product_Dim!C:C,"Not Found")</f>
        <v>Sports</v>
      </c>
      <c r="R152" s="8" t="str">
        <f t="array" ref="R152">XLOOKUP(E152,Store_Dim!A:A,Store_Dim!B:B,"Not Found")</f>
        <v>North</v>
      </c>
      <c r="S152" s="8" t="str">
        <f t="array" ref="S152">XLOOKUP(E152,Store_Dim!A:A,Store_Dim!D:D,"Not Found")</f>
        <v>Outlet</v>
      </c>
    </row>
    <row r="153" ht="14.25" customHeight="1">
      <c r="A153" s="8" t="s">
        <v>2106</v>
      </c>
      <c r="B153" s="12">
        <v>45631.0</v>
      </c>
      <c r="C153" s="8" t="s">
        <v>106</v>
      </c>
      <c r="D153" s="8" t="s">
        <v>1617</v>
      </c>
      <c r="E153" s="8" t="s">
        <v>1921</v>
      </c>
      <c r="F153" s="8">
        <v>4.0</v>
      </c>
      <c r="G153" s="8">
        <v>535.4</v>
      </c>
      <c r="H153" s="8">
        <v>0.26</v>
      </c>
      <c r="I153" s="8">
        <f t="shared" si="1"/>
        <v>2141.6</v>
      </c>
      <c r="J153" s="8">
        <f t="shared" si="2"/>
        <v>-556.556</v>
      </c>
      <c r="K153" s="8" t="str">
        <f t="shared" si="3"/>
        <v>Dec</v>
      </c>
      <c r="L153" s="8">
        <f t="shared" si="4"/>
        <v>2024</v>
      </c>
      <c r="N153" s="8" t="str">
        <f t="array" ref="N153">XLOOKUP(C153,Customer_Dim!A:A,Customer_Dim!B:B,"Not Found")</f>
        <v>   paul fox</v>
      </c>
      <c r="O153" s="8" t="str">
        <f t="array" ref="O153">XLOOKUP(C153,Customer_Dim!A:A,Customer_Dim!E:E,"Not Found")</f>
        <v>Michaelton</v>
      </c>
      <c r="P153" s="8" t="str">
        <f t="array" ref="P153">XLOOKUP(D153,Product_Dim!A:A,Product_Dim!B:B,"Not Found")</f>
        <v>USB-C Fast Charger</v>
      </c>
      <c r="Q153" s="8" t="str">
        <f t="array" ref="Q153">XLOOKUP(D153,Product_Dim!A:A,Product_Dim!C:C,"Not Found")</f>
        <v>Electronics</v>
      </c>
      <c r="R153" s="8" t="str">
        <f t="array" ref="R153">XLOOKUP(E153,Store_Dim!A:A,Store_Dim!B:B,"Not Found")</f>
        <v>West</v>
      </c>
      <c r="S153" s="8" t="str">
        <f t="array" ref="S153">XLOOKUP(E153,Store_Dim!A:A,Store_Dim!D:D,"Not Found")</f>
        <v>Online</v>
      </c>
    </row>
    <row r="154" ht="14.25" customHeight="1">
      <c r="A154" s="8" t="s">
        <v>2107</v>
      </c>
      <c r="B154" s="12">
        <v>45632.0</v>
      </c>
      <c r="C154" s="8" t="s">
        <v>794</v>
      </c>
      <c r="D154" s="8" t="s">
        <v>1797</v>
      </c>
      <c r="E154" s="8" t="s">
        <v>1941</v>
      </c>
      <c r="F154" s="8">
        <v>2.0</v>
      </c>
      <c r="G154" s="8">
        <v>108.74</v>
      </c>
      <c r="H154" s="8">
        <v>0.11</v>
      </c>
      <c r="I154" s="8">
        <f t="shared" si="1"/>
        <v>217.48</v>
      </c>
      <c r="J154" s="8">
        <f t="shared" si="2"/>
        <v>-23.8128</v>
      </c>
      <c r="K154" s="8" t="str">
        <f t="shared" si="3"/>
        <v>Dec</v>
      </c>
      <c r="L154" s="8">
        <f t="shared" si="4"/>
        <v>2024</v>
      </c>
      <c r="N154" s="8" t="str">
        <f t="array" ref="N154">XLOOKUP(C154,Customer_Dim!A:A,Customer_Dim!B:B,"Not Found")</f>
        <v>Brian Hammond</v>
      </c>
      <c r="O154" s="8" t="str">
        <f t="array" ref="O154">XLOOKUP(C154,Customer_Dim!A:A,Customer_Dim!E:E,"Not Found")</f>
        <v>North Nicholas</v>
      </c>
      <c r="P154" s="8" t="str">
        <f t="array" ref="P154">XLOOKUP(D154,Product_Dim!A:A,Product_Dim!B:B,"Not Found")</f>
        <v>Men's Sports Shorts</v>
      </c>
      <c r="Q154" s="8" t="str">
        <f t="array" ref="Q154">XLOOKUP(D154,Product_Dim!A:A,Product_Dim!C:C,"Not Found")</f>
        <v>Clothing</v>
      </c>
      <c r="R154" s="8" t="str">
        <f t="array" ref="R154">XLOOKUP(E154,Store_Dim!A:A,Store_Dim!B:B,"Not Found")</f>
        <v>East</v>
      </c>
      <c r="S154" s="8" t="str">
        <f t="array" ref="S154">XLOOKUP(E154,Store_Dim!A:A,Store_Dim!D:D,"Not Found")</f>
        <v>Online</v>
      </c>
    </row>
    <row r="155" ht="14.25" customHeight="1">
      <c r="A155" s="8" t="s">
        <v>2108</v>
      </c>
      <c r="B155" s="12">
        <v>45633.0</v>
      </c>
      <c r="C155" s="8" t="s">
        <v>1005</v>
      </c>
      <c r="D155" s="8" t="s">
        <v>1610</v>
      </c>
      <c r="E155" s="8" t="s">
        <v>1941</v>
      </c>
      <c r="F155" s="8">
        <v>3.0</v>
      </c>
      <c r="G155" s="8">
        <v>591.98</v>
      </c>
      <c r="H155" s="8">
        <v>0.16</v>
      </c>
      <c r="I155" s="8">
        <f t="shared" si="1"/>
        <v>1775.94</v>
      </c>
      <c r="J155" s="8">
        <f t="shared" si="2"/>
        <v>-283.9904</v>
      </c>
      <c r="K155" s="8" t="str">
        <f t="shared" si="3"/>
        <v>Dec</v>
      </c>
      <c r="L155" s="8">
        <f t="shared" si="4"/>
        <v>2024</v>
      </c>
      <c r="N155" s="8" t="str">
        <f t="array" ref="N155">XLOOKUP(C155,Customer_Dim!A:A,Customer_Dim!B:B,"Not Found")</f>
        <v>Elizabeth Johnson</v>
      </c>
      <c r="O155" s="8" t="str">
        <f t="array" ref="O155">XLOOKUP(C155,Customer_Dim!A:A,Customer_Dim!E:E,"Not Found")</f>
        <v>Anitaland</v>
      </c>
      <c r="P155" s="8" t="str">
        <f t="array" ref="P155">XLOOKUP(D155,Product_Dim!A:A,Product_Dim!B:B,"Not Found")</f>
        <v>HD Smart TV Stick</v>
      </c>
      <c r="Q155" s="8" t="str">
        <f t="array" ref="Q155">XLOOKUP(D155,Product_Dim!A:A,Product_Dim!C:C,"Not Found")</f>
        <v>Electronics</v>
      </c>
      <c r="R155" s="8" t="str">
        <f t="array" ref="R155">XLOOKUP(E155,Store_Dim!A:A,Store_Dim!B:B,"Not Found")</f>
        <v>East</v>
      </c>
      <c r="S155" s="8" t="str">
        <f t="array" ref="S155">XLOOKUP(E155,Store_Dim!A:A,Store_Dim!D:D,"Not Found")</f>
        <v>Online</v>
      </c>
    </row>
    <row r="156" ht="14.25" customHeight="1">
      <c r="A156" s="8" t="s">
        <v>2109</v>
      </c>
      <c r="B156" s="12">
        <v>45634.0</v>
      </c>
      <c r="C156" s="8" t="s">
        <v>1276</v>
      </c>
      <c r="D156" s="8" t="s">
        <v>1732</v>
      </c>
      <c r="E156" s="8" t="s">
        <v>1906</v>
      </c>
      <c r="F156" s="8">
        <v>1.0</v>
      </c>
      <c r="G156" s="8">
        <v>345.06</v>
      </c>
      <c r="H156" s="8">
        <v>0.13</v>
      </c>
      <c r="I156" s="8">
        <f t="shared" si="1"/>
        <v>345.06</v>
      </c>
      <c r="J156" s="8">
        <f t="shared" si="2"/>
        <v>-44.7278</v>
      </c>
      <c r="K156" s="8" t="str">
        <f t="shared" si="3"/>
        <v>Dec</v>
      </c>
      <c r="L156" s="8">
        <f t="shared" si="4"/>
        <v>2024</v>
      </c>
      <c r="N156" s="8" t="str">
        <f t="array" ref="N156">XLOOKUP(C156,Customer_Dim!A:A,Customer_Dim!B:B,"Not Found")</f>
        <v>Eric Wolfe</v>
      </c>
      <c r="O156" s="8" t="str">
        <f t="array" ref="O156">XLOOKUP(C156,Customer_Dim!A:A,Customer_Dim!E:E,"Not Found")</f>
        <v>Garciaview</v>
      </c>
      <c r="P156" s="8" t="str">
        <f t="array" ref="P156">XLOOKUP(D156,Product_Dim!A:A,Product_Dim!B:B,"Not Found")</f>
        <v>Car Dashboard Phone Holder</v>
      </c>
      <c r="Q156" s="8" t="str">
        <f t="array" ref="Q156">XLOOKUP(D156,Product_Dim!A:A,Product_Dim!C:C,"Not Found")</f>
        <v>Electronics</v>
      </c>
      <c r="R156" s="8" t="str">
        <f t="array" ref="R156">XLOOKUP(E156,Store_Dim!A:A,Store_Dim!B:B,"Not Found")</f>
        <v>South</v>
      </c>
      <c r="S156" s="8" t="str">
        <f t="array" ref="S156">XLOOKUP(E156,Store_Dim!A:A,Store_Dim!D:D,"Not Found")</f>
        <v>Outlet</v>
      </c>
    </row>
    <row r="157" ht="14.25" customHeight="1">
      <c r="A157" s="8" t="s">
        <v>2110</v>
      </c>
      <c r="B157" s="12">
        <v>45635.0</v>
      </c>
      <c r="C157" s="8" t="s">
        <v>984</v>
      </c>
      <c r="D157" s="8" t="s">
        <v>1869</v>
      </c>
      <c r="E157" s="8" t="s">
        <v>1929</v>
      </c>
      <c r="F157" s="8">
        <v>4.0</v>
      </c>
      <c r="G157" s="8">
        <v>986.41</v>
      </c>
      <c r="H157" s="8">
        <v>0.22</v>
      </c>
      <c r="I157" s="8">
        <f t="shared" si="1"/>
        <v>3945.64</v>
      </c>
      <c r="J157" s="8">
        <f t="shared" si="2"/>
        <v>-867.8208</v>
      </c>
      <c r="K157" s="8" t="str">
        <f t="shared" si="3"/>
        <v>Dec</v>
      </c>
      <c r="L157" s="8">
        <f t="shared" si="4"/>
        <v>2024</v>
      </c>
      <c r="N157" s="8" t="str">
        <f t="array" ref="N157">XLOOKUP(C157,Customer_Dim!A:A,Customer_Dim!B:B,"Not Found")</f>
        <v>Brandy Thompson</v>
      </c>
      <c r="O157" s="8" t="str">
        <f t="array" ref="O157">XLOOKUP(C157,Customer_Dim!A:A,Customer_Dim!E:E,"Not Found")</f>
        <v>West Patriciaview</v>
      </c>
      <c r="P157" s="8" t="str">
        <f t="array" ref="P157">XLOOKUP(D157,Product_Dim!A:A,Product_Dim!B:B,"Not Found")</f>
        <v>USB-C Laptop Charger</v>
      </c>
      <c r="Q157" s="8" t="str">
        <f t="array" ref="Q157">XLOOKUP(D157,Product_Dim!A:A,Product_Dim!C:C,"Not Found")</f>
        <v>Electronics</v>
      </c>
      <c r="R157" s="8" t="str">
        <f t="array" ref="R157">XLOOKUP(E157,Store_Dim!A:A,Store_Dim!B:B,"Not Found")</f>
        <v>North</v>
      </c>
      <c r="S157" s="8" t="str">
        <f t="array" ref="S157">XLOOKUP(E157,Store_Dim!A:A,Store_Dim!D:D,"Not Found")</f>
        <v>Online</v>
      </c>
    </row>
    <row r="158" ht="14.25" customHeight="1">
      <c r="A158" s="8" t="s">
        <v>2111</v>
      </c>
      <c r="B158" s="12">
        <v>45636.0</v>
      </c>
      <c r="C158" s="8" t="s">
        <v>1020</v>
      </c>
      <c r="D158" s="8" t="s">
        <v>1735</v>
      </c>
      <c r="E158" s="8" t="s">
        <v>1899</v>
      </c>
      <c r="F158" s="8">
        <v>2.0</v>
      </c>
      <c r="G158" s="8">
        <v>921.52</v>
      </c>
      <c r="H158" s="8">
        <v>0.0</v>
      </c>
      <c r="I158" s="8">
        <f t="shared" si="1"/>
        <v>1843.04</v>
      </c>
      <c r="J158" s="8">
        <f t="shared" si="2"/>
        <v>0</v>
      </c>
      <c r="K158" s="8" t="str">
        <f t="shared" si="3"/>
        <v>Dec</v>
      </c>
      <c r="L158" s="8">
        <f t="shared" si="4"/>
        <v>2024</v>
      </c>
      <c r="N158" s="8" t="str">
        <f t="array" ref="N158">XLOOKUP(C158,Customer_Dim!A:A,Customer_Dim!B:B,"Not Found")</f>
        <v>Casey Simpson</v>
      </c>
      <c r="O158" s="8" t="str">
        <f t="array" ref="O158">XLOOKUP(C158,Customer_Dim!A:A,Customer_Dim!E:E,"Not Found")</f>
        <v>West Mathewside</v>
      </c>
      <c r="P158" s="8" t="str">
        <f t="array" ref="P158">XLOOKUP(D158,Product_Dim!A:A,Product_Dim!B:B,"Not Found")</f>
        <v>Men's Roll-On Perfume</v>
      </c>
      <c r="Q158" s="8" t="str">
        <f t="array" ref="Q158">XLOOKUP(D158,Product_Dim!A:A,Product_Dim!C:C,"Not Found")</f>
        <v>Beauty</v>
      </c>
      <c r="R158" s="8" t="str">
        <f t="array" ref="R158">XLOOKUP(E158,Store_Dim!A:A,Store_Dim!B:B,"Not Found")</f>
        <v>East</v>
      </c>
      <c r="S158" s="8" t="str">
        <f t="array" ref="S158">XLOOKUP(E158,Store_Dim!A:A,Store_Dim!D:D,"Not Found")</f>
        <v>Flagship</v>
      </c>
    </row>
    <row r="159" ht="14.25" customHeight="1">
      <c r="A159" s="8" t="s">
        <v>2112</v>
      </c>
      <c r="B159" s="12">
        <v>45637.0</v>
      </c>
      <c r="C159" s="8" t="s">
        <v>357</v>
      </c>
      <c r="D159" s="8" t="s">
        <v>1754</v>
      </c>
      <c r="E159" s="8" t="s">
        <v>1915</v>
      </c>
      <c r="F159" s="8">
        <v>1.0</v>
      </c>
      <c r="G159" s="8">
        <v>83.1</v>
      </c>
      <c r="H159" s="8">
        <v>0.04</v>
      </c>
      <c r="I159" s="8">
        <f t="shared" si="1"/>
        <v>83.1</v>
      </c>
      <c r="J159" s="8">
        <f t="shared" si="2"/>
        <v>-3.284</v>
      </c>
      <c r="K159" s="8" t="str">
        <f t="shared" si="3"/>
        <v>Dec</v>
      </c>
      <c r="L159" s="8">
        <f t="shared" si="4"/>
        <v>2024</v>
      </c>
      <c r="N159" s="8" t="str">
        <f t="array" ref="N159">XLOOKUP(C159,Customer_Dim!A:A,Customer_Dim!B:B,"Not Found")</f>
        <v>David Cobb</v>
      </c>
      <c r="O159" s="8" t="str">
        <f t="array" ref="O159">XLOOKUP(C159,Customer_Dim!A:A,Customer_Dim!E:E,"Not Found")</f>
        <v>Lake Thomas</v>
      </c>
      <c r="P159" s="8" t="str">
        <f t="array" ref="P159">XLOOKUP(D159,Product_Dim!A:A,Product_Dim!B:B,"Not Found")</f>
        <v>Ceramic Plant Pot</v>
      </c>
      <c r="Q159" s="8" t="str">
        <f t="array" ref="Q159">XLOOKUP(D159,Product_Dim!A:A,Product_Dim!C:C,"Not Found")</f>
        <v>Home</v>
      </c>
      <c r="R159" s="8" t="str">
        <f t="array" ref="R159">XLOOKUP(E159,Store_Dim!A:A,Store_Dim!B:B,"Not Found")</f>
        <v>North</v>
      </c>
      <c r="S159" s="8" t="str">
        <f t="array" ref="S159">XLOOKUP(E159,Store_Dim!A:A,Store_Dim!D:D,"Not Found")</f>
        <v>Outlet</v>
      </c>
    </row>
    <row r="160" ht="14.25" customHeight="1">
      <c r="A160" s="8" t="s">
        <v>2113</v>
      </c>
      <c r="B160" s="12">
        <v>45638.0</v>
      </c>
      <c r="C160" s="8" t="s">
        <v>1170</v>
      </c>
      <c r="D160" s="8" t="s">
        <v>1668</v>
      </c>
      <c r="E160" s="8" t="s">
        <v>1928</v>
      </c>
      <c r="F160" s="8">
        <v>2.0</v>
      </c>
      <c r="G160" s="8">
        <v>60.98</v>
      </c>
      <c r="H160" s="8">
        <v>0.23</v>
      </c>
      <c r="I160" s="8">
        <f t="shared" si="1"/>
        <v>121.96</v>
      </c>
      <c r="J160" s="8">
        <f t="shared" si="2"/>
        <v>-27.8208</v>
      </c>
      <c r="K160" s="8" t="str">
        <f t="shared" si="3"/>
        <v>Dec</v>
      </c>
      <c r="L160" s="8">
        <f t="shared" si="4"/>
        <v>2024</v>
      </c>
      <c r="N160" s="8" t="str">
        <f t="array" ref="N160">XLOOKUP(C160,Customer_Dim!A:A,Customer_Dim!B:B,"Not Found")</f>
        <v>Gregory Allen</v>
      </c>
      <c r="O160" s="8" t="str">
        <f t="array" ref="O160">XLOOKUP(C160,Customer_Dim!A:A,Customer_Dim!E:E,"Not Found")</f>
        <v>West Bruce</v>
      </c>
      <c r="P160" s="8" t="str">
        <f t="array" ref="P160">XLOOKUP(D160,Product_Dim!A:A,Product_Dim!B:B,"Not Found")</f>
        <v>Sports Stopwatch Timer</v>
      </c>
      <c r="Q160" s="8" t="str">
        <f t="array" ref="Q160">XLOOKUP(D160,Product_Dim!A:A,Product_Dim!C:C,"Not Found")</f>
        <v>Sports</v>
      </c>
      <c r="R160" s="8" t="str">
        <f t="array" ref="R160">XLOOKUP(E160,Store_Dim!A:A,Store_Dim!B:B,"Not Found")</f>
        <v>South</v>
      </c>
      <c r="S160" s="8" t="str">
        <f t="array" ref="S160">XLOOKUP(E160,Store_Dim!A:A,Store_Dim!D:D,"Not Found")</f>
        <v>Online</v>
      </c>
    </row>
    <row r="161" ht="14.25" customHeight="1">
      <c r="A161" s="8" t="s">
        <v>2114</v>
      </c>
      <c r="B161" s="12">
        <v>45639.0</v>
      </c>
      <c r="C161" s="8" t="s">
        <v>1245</v>
      </c>
      <c r="D161" s="8" t="s">
        <v>1857</v>
      </c>
      <c r="E161" s="8" t="s">
        <v>1935</v>
      </c>
      <c r="F161" s="8">
        <v>2.0</v>
      </c>
      <c r="G161" s="8">
        <v>122.23</v>
      </c>
      <c r="H161" s="8">
        <v>0.21</v>
      </c>
      <c r="I161" s="8">
        <f t="shared" si="1"/>
        <v>244.46</v>
      </c>
      <c r="J161" s="8">
        <f t="shared" si="2"/>
        <v>-51.1266</v>
      </c>
      <c r="K161" s="8" t="str">
        <f t="shared" si="3"/>
        <v>Dec</v>
      </c>
      <c r="L161" s="8">
        <f t="shared" si="4"/>
        <v>2024</v>
      </c>
      <c r="N161" s="8" t="str">
        <f t="array" ref="N161">XLOOKUP(C161,Customer_Dim!A:A,Customer_Dim!B:B,"Not Found")</f>
        <v>Alejandro Evans</v>
      </c>
      <c r="O161" s="8" t="str">
        <f t="array" ref="O161">XLOOKUP(C161,Customer_Dim!A:A,Customer_Dim!E:E,"Not Found")</f>
        <v>Cannonberg</v>
      </c>
      <c r="P161" s="8" t="str">
        <f t="array" ref="P161">XLOOKUP(D161,Product_Dim!A:A,Product_Dim!B:B,"Not Found")</f>
        <v>Face Foundation Kit</v>
      </c>
      <c r="Q161" s="8" t="str">
        <f t="array" ref="Q161">XLOOKUP(D161,Product_Dim!A:A,Product_Dim!C:C,"Not Found")</f>
        <v>Beauty</v>
      </c>
      <c r="R161" s="8" t="str">
        <f t="array" ref="R161">XLOOKUP(E161,Store_Dim!A:A,Store_Dim!B:B,"Not Found")</f>
        <v>West</v>
      </c>
      <c r="S161" s="8" t="str">
        <f t="array" ref="S161">XLOOKUP(E161,Store_Dim!A:A,Store_Dim!D:D,"Not Found")</f>
        <v>Flagship</v>
      </c>
    </row>
    <row r="162" ht="14.25" customHeight="1">
      <c r="A162" s="8" t="s">
        <v>2115</v>
      </c>
      <c r="B162" s="12">
        <v>45640.0</v>
      </c>
      <c r="C162" s="8" t="s">
        <v>98</v>
      </c>
      <c r="D162" s="8" t="s">
        <v>1800</v>
      </c>
      <c r="E162" s="8" t="s">
        <v>1939</v>
      </c>
      <c r="F162" s="8">
        <v>2.0</v>
      </c>
      <c r="G162" s="8">
        <v>623.38</v>
      </c>
      <c r="H162" s="8">
        <v>0.13</v>
      </c>
      <c r="I162" s="8">
        <f t="shared" si="1"/>
        <v>1246.76</v>
      </c>
      <c r="J162" s="8">
        <f t="shared" si="2"/>
        <v>-161.9488</v>
      </c>
      <c r="K162" s="8" t="str">
        <f t="shared" si="3"/>
        <v>Dec</v>
      </c>
      <c r="L162" s="8">
        <f t="shared" si="4"/>
        <v>2024</v>
      </c>
      <c r="N162" s="8" t="str">
        <f t="array" ref="N162">XLOOKUP(C162,Customer_Dim!A:A,Customer_Dim!B:B,"Not Found")</f>
        <v>Bridget Allen</v>
      </c>
      <c r="O162" s="8" t="str">
        <f t="array" ref="O162">XLOOKUP(C162,Customer_Dim!A:A,Customer_Dim!E:E,"Not Found")</f>
        <v>Lake Shaneburgh</v>
      </c>
      <c r="P162" s="8" t="str">
        <f t="array" ref="P162">XLOOKUP(D162,Product_Dim!A:A,Product_Dim!B:B,"Not Found")</f>
        <v>Kitchen Storage Rack</v>
      </c>
      <c r="Q162" s="8" t="str">
        <f t="array" ref="Q162">XLOOKUP(D162,Product_Dim!A:A,Product_Dim!C:C,"Not Found")</f>
        <v>Home</v>
      </c>
      <c r="R162" s="8" t="str">
        <f t="array" ref="R162">XLOOKUP(E162,Store_Dim!A:A,Store_Dim!B:B,"Not Found")</f>
        <v>East</v>
      </c>
      <c r="S162" s="8" t="str">
        <f t="array" ref="S162">XLOOKUP(E162,Store_Dim!A:A,Store_Dim!D:D,"Not Found")</f>
        <v>Flagship</v>
      </c>
    </row>
    <row r="163" ht="14.25" customHeight="1">
      <c r="A163" s="8" t="s">
        <v>2116</v>
      </c>
      <c r="B163" s="12">
        <v>45641.0</v>
      </c>
      <c r="C163" s="8" t="s">
        <v>228</v>
      </c>
      <c r="D163" s="8" t="s">
        <v>1800</v>
      </c>
      <c r="E163" s="8" t="s">
        <v>1899</v>
      </c>
      <c r="F163" s="8">
        <v>1.0</v>
      </c>
      <c r="G163" s="8">
        <v>479.58</v>
      </c>
      <c r="H163" s="8">
        <v>0.05</v>
      </c>
      <c r="I163" s="8">
        <f t="shared" si="1"/>
        <v>479.58</v>
      </c>
      <c r="J163" s="8">
        <f t="shared" si="2"/>
        <v>-23.929</v>
      </c>
      <c r="K163" s="8" t="str">
        <f t="shared" si="3"/>
        <v>Dec</v>
      </c>
      <c r="L163" s="8">
        <f t="shared" si="4"/>
        <v>2024</v>
      </c>
      <c r="N163" s="8" t="str">
        <f t="array" ref="N163">XLOOKUP(C163,Customer_Dim!A:A,Customer_Dim!B:B,"Not Found")</f>
        <v>Cheryl Copeland</v>
      </c>
      <c r="O163" s="8" t="str">
        <f t="array" ref="O163">XLOOKUP(C163,Customer_Dim!A:A,Customer_Dim!E:E,"Not Found")</f>
        <v>Snowmouth</v>
      </c>
      <c r="P163" s="8" t="str">
        <f t="array" ref="P163">XLOOKUP(D163,Product_Dim!A:A,Product_Dim!B:B,"Not Found")</f>
        <v>Kitchen Storage Rack</v>
      </c>
      <c r="Q163" s="8" t="str">
        <f t="array" ref="Q163">XLOOKUP(D163,Product_Dim!A:A,Product_Dim!C:C,"Not Found")</f>
        <v>Home</v>
      </c>
      <c r="R163" s="8" t="str">
        <f t="array" ref="R163">XLOOKUP(E163,Store_Dim!A:A,Store_Dim!B:B,"Not Found")</f>
        <v>East</v>
      </c>
      <c r="S163" s="8" t="str">
        <f t="array" ref="S163">XLOOKUP(E163,Store_Dim!A:A,Store_Dim!D:D,"Not Found")</f>
        <v>Flagship</v>
      </c>
    </row>
    <row r="164" ht="14.25" customHeight="1">
      <c r="A164" s="8" t="s">
        <v>2117</v>
      </c>
      <c r="B164" s="12">
        <v>45642.0</v>
      </c>
      <c r="C164" s="8" t="s">
        <v>957</v>
      </c>
      <c r="D164" s="8" t="s">
        <v>1809</v>
      </c>
      <c r="E164" s="8" t="s">
        <v>1917</v>
      </c>
      <c r="F164" s="8">
        <v>3.0</v>
      </c>
      <c r="G164" s="8">
        <v>369.32</v>
      </c>
      <c r="H164" s="8">
        <v>0.14</v>
      </c>
      <c r="I164" s="8">
        <f t="shared" si="1"/>
        <v>1107.96</v>
      </c>
      <c r="J164" s="8">
        <f t="shared" si="2"/>
        <v>-154.9744</v>
      </c>
      <c r="K164" s="8" t="str">
        <f t="shared" si="3"/>
        <v>Dec</v>
      </c>
      <c r="L164" s="8">
        <f t="shared" si="4"/>
        <v>2024</v>
      </c>
      <c r="N164" s="8" t="str">
        <f t="array" ref="N164">XLOOKUP(C164,Customer_Dim!A:A,Customer_Dim!B:B,"Not Found")</f>
        <v>Tracy Stephens</v>
      </c>
      <c r="O164" s="8" t="str">
        <f t="array" ref="O164">XLOOKUP(C164,Customer_Dim!A:A,Customer_Dim!E:E,"Not Found")</f>
        <v>New Joshuatown</v>
      </c>
      <c r="P164" s="8" t="str">
        <f t="array" ref="P164">XLOOKUP(D164,Product_Dim!A:A,Product_Dim!B:B,"Not Found")</f>
        <v>Shin Guards – Adult</v>
      </c>
      <c r="Q164" s="8" t="str">
        <f t="array" ref="Q164">XLOOKUP(D164,Product_Dim!A:A,Product_Dim!C:C,"Not Found")</f>
        <v>Sports</v>
      </c>
      <c r="R164" s="8" t="str">
        <f t="array" ref="R164">XLOOKUP(E164,Store_Dim!A:A,Store_Dim!B:B,"Not Found")</f>
        <v>East</v>
      </c>
      <c r="S164" s="8" t="str">
        <f t="array" ref="S164">XLOOKUP(E164,Store_Dim!A:A,Store_Dim!D:D,"Not Found")</f>
        <v>Online</v>
      </c>
    </row>
    <row r="165" ht="14.25" customHeight="1">
      <c r="A165" s="8" t="s">
        <v>2118</v>
      </c>
      <c r="B165" s="12">
        <v>45643.0</v>
      </c>
      <c r="C165" s="8" t="s">
        <v>288</v>
      </c>
      <c r="D165" s="8" t="s">
        <v>1681</v>
      </c>
      <c r="E165" s="8" t="s">
        <v>1903</v>
      </c>
      <c r="F165" s="8">
        <v>1.0</v>
      </c>
      <c r="G165" s="8">
        <v>488.31</v>
      </c>
      <c r="H165" s="8">
        <v>0.03</v>
      </c>
      <c r="I165" s="8">
        <f t="shared" si="1"/>
        <v>488.31</v>
      </c>
      <c r="J165" s="8">
        <f t="shared" si="2"/>
        <v>-14.6193</v>
      </c>
      <c r="K165" s="8" t="str">
        <f t="shared" si="3"/>
        <v>Dec</v>
      </c>
      <c r="L165" s="8">
        <f t="shared" si="4"/>
        <v>2024</v>
      </c>
      <c r="N165" s="8" t="str">
        <f t="array" ref="N165">XLOOKUP(C165,Customer_Dim!A:A,Customer_Dim!B:B,"Not Found")</f>
        <v>Nathan Campbell</v>
      </c>
      <c r="O165" s="8" t="str">
        <f t="array" ref="O165">XLOOKUP(C165,Customer_Dim!A:A,Customer_Dim!E:E,"Not Found")</f>
        <v>Rodrigueztown</v>
      </c>
      <c r="P165" s="8" t="str">
        <f t="array" ref="P165">XLOOKUP(D165,Product_Dim!A:A,Product_Dim!B:B,"Not Found")</f>
        <v>Vitamin C Face Serum</v>
      </c>
      <c r="Q165" s="8" t="str">
        <f t="array" ref="Q165">XLOOKUP(D165,Product_Dim!A:A,Product_Dim!C:C,"Not Found")</f>
        <v>Beauty</v>
      </c>
      <c r="R165" s="8" t="str">
        <f t="array" ref="R165">XLOOKUP(E165,Store_Dim!A:A,Store_Dim!B:B,"Not Found")</f>
        <v>North</v>
      </c>
      <c r="S165" s="8" t="str">
        <f t="array" ref="S165">XLOOKUP(E165,Store_Dim!A:A,Store_Dim!D:D,"Not Found")</f>
        <v>Flagship</v>
      </c>
    </row>
    <row r="166" ht="14.25" customHeight="1">
      <c r="A166" s="8" t="s">
        <v>2119</v>
      </c>
      <c r="B166" s="12">
        <v>45644.0</v>
      </c>
      <c r="C166" s="8" t="s">
        <v>893</v>
      </c>
      <c r="D166" s="8" t="s">
        <v>1751</v>
      </c>
      <c r="E166" s="8" t="s">
        <v>1929</v>
      </c>
      <c r="F166" s="8">
        <v>4.0</v>
      </c>
      <c r="G166" s="8">
        <v>164.04</v>
      </c>
      <c r="H166" s="8">
        <v>0.26</v>
      </c>
      <c r="I166" s="8">
        <f t="shared" si="1"/>
        <v>656.16</v>
      </c>
      <c r="J166" s="8">
        <f t="shared" si="2"/>
        <v>-170.3416</v>
      </c>
      <c r="K166" s="8" t="str">
        <f t="shared" si="3"/>
        <v>Dec</v>
      </c>
      <c r="L166" s="8">
        <f t="shared" si="4"/>
        <v>2024</v>
      </c>
      <c r="N166" s="8" t="str">
        <f t="array" ref="N166">XLOOKUP(C166,Customer_Dim!A:A,Customer_Dim!B:B,"Not Found")</f>
        <v>Arthur Warren</v>
      </c>
      <c r="O166" s="8" t="str">
        <f t="array" ref="O166">XLOOKUP(C166,Customer_Dim!A:A,Customer_Dim!E:E,"Not Found")</f>
        <v>Ericshire</v>
      </c>
      <c r="P166" s="8" t="str">
        <f t="array" ref="P166">XLOOKUP(D166,Product_Dim!A:A,Product_Dim!B:B,"Not Found")</f>
        <v>Sports Stopwatch Pro</v>
      </c>
      <c r="Q166" s="8" t="str">
        <f t="array" ref="Q166">XLOOKUP(D166,Product_Dim!A:A,Product_Dim!C:C,"Not Found")</f>
        <v>Sports</v>
      </c>
      <c r="R166" s="8" t="str">
        <f t="array" ref="R166">XLOOKUP(E166,Store_Dim!A:A,Store_Dim!B:B,"Not Found")</f>
        <v>North</v>
      </c>
      <c r="S166" s="8" t="str">
        <f t="array" ref="S166">XLOOKUP(E166,Store_Dim!A:A,Store_Dim!D:D,"Not Found")</f>
        <v>Online</v>
      </c>
    </row>
    <row r="167" ht="14.25" customHeight="1">
      <c r="A167" s="8" t="s">
        <v>2120</v>
      </c>
      <c r="B167" s="12">
        <v>45645.0</v>
      </c>
      <c r="C167" s="8" t="s">
        <v>278</v>
      </c>
      <c r="D167" s="8" t="s">
        <v>1606</v>
      </c>
      <c r="E167" s="8" t="s">
        <v>1937</v>
      </c>
      <c r="F167" s="8">
        <v>3.0</v>
      </c>
      <c r="G167" s="8">
        <v>707.95</v>
      </c>
      <c r="H167" s="8">
        <v>0.18</v>
      </c>
      <c r="I167" s="8">
        <f t="shared" si="1"/>
        <v>2123.85</v>
      </c>
      <c r="J167" s="8">
        <f t="shared" si="2"/>
        <v>-382.113</v>
      </c>
      <c r="K167" s="8" t="str">
        <f t="shared" si="3"/>
        <v>Dec</v>
      </c>
      <c r="L167" s="8">
        <f t="shared" si="4"/>
        <v>2024</v>
      </c>
      <c r="N167" s="8" t="str">
        <f t="array" ref="N167">XLOOKUP(C167,Customer_Dim!A:A,Customer_Dim!B:B,"Not Found")</f>
        <v>Christopher Brown</v>
      </c>
      <c r="O167" s="8" t="str">
        <f t="array" ref="O167">XLOOKUP(C167,Customer_Dim!A:A,Customer_Dim!E:E,"Not Found")</f>
        <v>Sandrastad</v>
      </c>
      <c r="P167" s="8" t="str">
        <f t="array" ref="P167">XLOOKUP(D167,Product_Dim!A:A,Product_Dim!B:B,"Not Found")</f>
        <v>Ceramic Kitchen Bowl Set</v>
      </c>
      <c r="Q167" s="8" t="str">
        <f t="array" ref="Q167">XLOOKUP(D167,Product_Dim!A:A,Product_Dim!C:C,"Not Found")</f>
        <v>Home</v>
      </c>
      <c r="R167" s="8" t="str">
        <f t="array" ref="R167">XLOOKUP(E167,Store_Dim!A:A,Store_Dim!B:B,"Not Found")</f>
        <v>North</v>
      </c>
      <c r="S167" s="8" t="str">
        <f t="array" ref="S167">XLOOKUP(E167,Store_Dim!A:A,Store_Dim!D:D,"Not Found")</f>
        <v>Flagship</v>
      </c>
    </row>
    <row r="168" ht="14.25" customHeight="1">
      <c r="A168" s="8" t="s">
        <v>2121</v>
      </c>
      <c r="B168" s="12">
        <v>45646.0</v>
      </c>
      <c r="C168" s="8" t="s">
        <v>949</v>
      </c>
      <c r="D168" s="8" t="s">
        <v>1797</v>
      </c>
      <c r="E168" s="8" t="s">
        <v>1921</v>
      </c>
      <c r="F168" s="8">
        <v>4.0</v>
      </c>
      <c r="G168" s="8">
        <v>714.47</v>
      </c>
      <c r="H168" s="8">
        <v>0.18</v>
      </c>
      <c r="I168" s="8">
        <f t="shared" si="1"/>
        <v>2857.88</v>
      </c>
      <c r="J168" s="8">
        <f t="shared" si="2"/>
        <v>-514.2384</v>
      </c>
      <c r="K168" s="8" t="str">
        <f t="shared" si="3"/>
        <v>Dec</v>
      </c>
      <c r="L168" s="8">
        <f t="shared" si="4"/>
        <v>2024</v>
      </c>
      <c r="N168" s="8" t="str">
        <f t="array" ref="N168">XLOOKUP(C168,Customer_Dim!A:A,Customer_Dim!B:B,"Not Found")</f>
        <v>Crystal Waters</v>
      </c>
      <c r="O168" s="8" t="str">
        <f t="array" ref="O168">XLOOKUP(C168,Customer_Dim!A:A,Customer_Dim!E:E,"Not Found")</f>
        <v>North Michelleport</v>
      </c>
      <c r="P168" s="8" t="str">
        <f t="array" ref="P168">XLOOKUP(D168,Product_Dim!A:A,Product_Dim!B:B,"Not Found")</f>
        <v>Men's Sports Shorts</v>
      </c>
      <c r="Q168" s="8" t="str">
        <f t="array" ref="Q168">XLOOKUP(D168,Product_Dim!A:A,Product_Dim!C:C,"Not Found")</f>
        <v>Clothing</v>
      </c>
      <c r="R168" s="8" t="str">
        <f t="array" ref="R168">XLOOKUP(E168,Store_Dim!A:A,Store_Dim!B:B,"Not Found")</f>
        <v>West</v>
      </c>
      <c r="S168" s="8" t="str">
        <f t="array" ref="S168">XLOOKUP(E168,Store_Dim!A:A,Store_Dim!D:D,"Not Found")</f>
        <v>Online</v>
      </c>
    </row>
    <row r="169" ht="14.25" customHeight="1">
      <c r="A169" s="8" t="s">
        <v>2122</v>
      </c>
      <c r="B169" s="12">
        <v>45647.0</v>
      </c>
      <c r="C169" s="8" t="s">
        <v>1305</v>
      </c>
      <c r="D169" s="8" t="s">
        <v>1827</v>
      </c>
      <c r="E169" s="8" t="s">
        <v>1919</v>
      </c>
      <c r="F169" s="8">
        <v>4.0</v>
      </c>
      <c r="G169" s="8">
        <v>422.09</v>
      </c>
      <c r="H169" s="8">
        <v>0.04</v>
      </c>
      <c r="I169" s="8">
        <f t="shared" si="1"/>
        <v>1688.36</v>
      </c>
      <c r="J169" s="8">
        <f t="shared" si="2"/>
        <v>-67.4944</v>
      </c>
      <c r="K169" s="8" t="str">
        <f t="shared" si="3"/>
        <v>Dec</v>
      </c>
      <c r="L169" s="8">
        <f t="shared" si="4"/>
        <v>2024</v>
      </c>
      <c r="N169" s="8" t="str">
        <f t="array" ref="N169">XLOOKUP(C169,Customer_Dim!A:A,Customer_Dim!B:B,"Not Found")</f>
        <v>Tyler Cook</v>
      </c>
      <c r="O169" s="8" t="str">
        <f t="array" ref="O169">XLOOKUP(C169,Customer_Dim!A:A,Customer_Dim!E:E,"Not Found")</f>
        <v>Kramerview</v>
      </c>
      <c r="P169" s="8" t="str">
        <f t="array" ref="P169">XLOOKUP(D169,Product_Dim!A:A,Product_Dim!B:B,"Not Found")</f>
        <v>Decorative Lamp Shade</v>
      </c>
      <c r="Q169" s="8" t="str">
        <f t="array" ref="Q169">XLOOKUP(D169,Product_Dim!A:A,Product_Dim!C:C,"Not Found")</f>
        <v>Home</v>
      </c>
      <c r="R169" s="8" t="str">
        <f t="array" ref="R169">XLOOKUP(E169,Store_Dim!A:A,Store_Dim!B:B,"Not Found")</f>
        <v>South</v>
      </c>
      <c r="S169" s="8" t="str">
        <f t="array" ref="S169">XLOOKUP(E169,Store_Dim!A:A,Store_Dim!D:D,"Not Found")</f>
        <v>Online</v>
      </c>
    </row>
    <row r="170" ht="14.25" customHeight="1">
      <c r="A170" s="8" t="s">
        <v>2123</v>
      </c>
      <c r="B170" s="12">
        <v>45648.0</v>
      </c>
      <c r="C170" s="8" t="s">
        <v>391</v>
      </c>
      <c r="D170" s="8" t="s">
        <v>1674</v>
      </c>
      <c r="E170" s="8" t="s">
        <v>1924</v>
      </c>
      <c r="F170" s="8">
        <v>1.0</v>
      </c>
      <c r="G170" s="8">
        <v>998.19</v>
      </c>
      <c r="H170" s="8">
        <v>0.2</v>
      </c>
      <c r="I170" s="8">
        <f t="shared" si="1"/>
        <v>998.19</v>
      </c>
      <c r="J170" s="8">
        <f t="shared" si="2"/>
        <v>-199.438</v>
      </c>
      <c r="K170" s="8" t="str">
        <f t="shared" si="3"/>
        <v>Dec</v>
      </c>
      <c r="L170" s="8">
        <f t="shared" si="4"/>
        <v>2024</v>
      </c>
      <c r="N170" s="8" t="str">
        <f t="array" ref="N170">XLOOKUP(C170,Customer_Dim!A:A,Customer_Dim!B:B,"Not Found")</f>
        <v>Travis Holland</v>
      </c>
      <c r="O170" s="8" t="str">
        <f t="array" ref="O170">XLOOKUP(C170,Customer_Dim!A:A,Customer_Dim!E:E,"Not Found")</f>
        <v>Webstermouth</v>
      </c>
      <c r="P170" s="8" t="str">
        <f t="array" ref="P170">XLOOKUP(D170,Product_Dim!A:A,Product_Dim!B:B,"Not Found")</f>
        <v>Stainless Steel Cutlery Set</v>
      </c>
      <c r="Q170" s="8" t="str">
        <f t="array" ref="Q170">XLOOKUP(D170,Product_Dim!A:A,Product_Dim!C:C,"Not Found")</f>
        <v>Home</v>
      </c>
      <c r="R170" s="8" t="str">
        <f t="array" ref="R170">XLOOKUP(E170,Store_Dim!A:A,Store_Dim!B:B,"Not Found")</f>
        <v>South</v>
      </c>
      <c r="S170" s="8" t="str">
        <f t="array" ref="S170">XLOOKUP(E170,Store_Dim!A:A,Store_Dim!D:D,"Not Found")</f>
        <v>Flagship</v>
      </c>
    </row>
    <row r="171" ht="14.25" customHeight="1">
      <c r="A171" s="8" t="s">
        <v>2124</v>
      </c>
      <c r="B171" s="12">
        <v>45649.0</v>
      </c>
      <c r="C171" s="8" t="s">
        <v>1182</v>
      </c>
      <c r="D171" s="8" t="s">
        <v>1806</v>
      </c>
      <c r="E171" s="8" t="s">
        <v>1919</v>
      </c>
      <c r="F171" s="8">
        <v>2.0</v>
      </c>
      <c r="G171" s="8">
        <v>343.42</v>
      </c>
      <c r="H171" s="8">
        <v>0.12</v>
      </c>
      <c r="I171" s="8">
        <f t="shared" si="1"/>
        <v>686.84</v>
      </c>
      <c r="J171" s="8">
        <f t="shared" si="2"/>
        <v>-82.3008</v>
      </c>
      <c r="K171" s="8" t="str">
        <f t="shared" si="3"/>
        <v>Dec</v>
      </c>
      <c r="L171" s="8">
        <f t="shared" si="4"/>
        <v>2024</v>
      </c>
      <c r="N171" s="8" t="str">
        <f t="array" ref="N171">XLOOKUP(C171,Customer_Dim!A:A,Customer_Dim!B:B,"Not Found")</f>
        <v>James Orozco</v>
      </c>
      <c r="O171" s="8" t="str">
        <f t="array" ref="O171">XLOOKUP(C171,Customer_Dim!A:A,Customer_Dim!E:E,"Not Found")</f>
        <v>Simpsonfort</v>
      </c>
      <c r="P171" s="8" t="str">
        <f t="array" ref="P171">XLOOKUP(D171,Product_Dim!A:A,Product_Dim!B:B,"Not Found")</f>
        <v>Professional Jump Rope</v>
      </c>
      <c r="Q171" s="8" t="str">
        <f t="array" ref="Q171">XLOOKUP(D171,Product_Dim!A:A,Product_Dim!C:C,"Not Found")</f>
        <v>Sports</v>
      </c>
      <c r="R171" s="8" t="str">
        <f t="array" ref="R171">XLOOKUP(E171,Store_Dim!A:A,Store_Dim!B:B,"Not Found")</f>
        <v>South</v>
      </c>
      <c r="S171" s="8" t="str">
        <f t="array" ref="S171">XLOOKUP(E171,Store_Dim!A:A,Store_Dim!D:D,"Not Found")</f>
        <v>Online</v>
      </c>
    </row>
    <row r="172" ht="14.25" customHeight="1">
      <c r="A172" s="8" t="s">
        <v>2125</v>
      </c>
      <c r="B172" s="12">
        <v>45650.0</v>
      </c>
      <c r="C172" s="8" t="s">
        <v>833</v>
      </c>
      <c r="D172" s="8" t="s">
        <v>1687</v>
      </c>
      <c r="E172" s="8" t="s">
        <v>1917</v>
      </c>
      <c r="F172" s="8">
        <v>1.0</v>
      </c>
      <c r="G172" s="8">
        <v>152.17</v>
      </c>
      <c r="H172" s="8">
        <v>0.28</v>
      </c>
      <c r="I172" s="8">
        <f t="shared" si="1"/>
        <v>152.17</v>
      </c>
      <c r="J172" s="8">
        <f t="shared" si="2"/>
        <v>-42.3276</v>
      </c>
      <c r="K172" s="8" t="str">
        <f t="shared" si="3"/>
        <v>Dec</v>
      </c>
      <c r="L172" s="8">
        <f t="shared" si="4"/>
        <v>2024</v>
      </c>
      <c r="N172" s="8" t="str">
        <f t="array" ref="N172">XLOOKUP(C172,Customer_Dim!A:A,Customer_Dim!B:B,"Not Found")</f>
        <v>Kristen Fischer</v>
      </c>
      <c r="O172" s="8" t="str">
        <f t="array" ref="O172">XLOOKUP(C172,Customer_Dim!A:A,Customer_Dim!E:E,"Not Found")</f>
        <v>Lake Christopher</v>
      </c>
      <c r="P172" s="8" t="str">
        <f t="array" ref="P172">XLOOKUP(D172,Product_Dim!A:A,Product_Dim!B:B,"Not Found")</f>
        <v>Gaming Mechanical Keyboard</v>
      </c>
      <c r="Q172" s="8" t="str">
        <f t="array" ref="Q172">XLOOKUP(D172,Product_Dim!A:A,Product_Dim!C:C,"Not Found")</f>
        <v>Electronics</v>
      </c>
      <c r="R172" s="8" t="str">
        <f t="array" ref="R172">XLOOKUP(E172,Store_Dim!A:A,Store_Dim!B:B,"Not Found")</f>
        <v>East</v>
      </c>
      <c r="S172" s="8" t="str">
        <f t="array" ref="S172">XLOOKUP(E172,Store_Dim!A:A,Store_Dim!D:D,"Not Found")</f>
        <v>Online</v>
      </c>
    </row>
    <row r="173" ht="14.25" customHeight="1">
      <c r="A173" s="8" t="s">
        <v>2126</v>
      </c>
      <c r="B173" s="12">
        <v>45651.0</v>
      </c>
      <c r="C173" s="8" t="s">
        <v>591</v>
      </c>
      <c r="D173" s="8" t="s">
        <v>1735</v>
      </c>
      <c r="E173" s="8" t="s">
        <v>1928</v>
      </c>
      <c r="F173" s="8">
        <v>1.0</v>
      </c>
      <c r="G173" s="8">
        <v>325.08</v>
      </c>
      <c r="H173" s="8">
        <v>0.26</v>
      </c>
      <c r="I173" s="8">
        <f t="shared" si="1"/>
        <v>325.08</v>
      </c>
      <c r="J173" s="8">
        <f t="shared" si="2"/>
        <v>-84.2608</v>
      </c>
      <c r="K173" s="8" t="str">
        <f t="shared" si="3"/>
        <v>Dec</v>
      </c>
      <c r="L173" s="8">
        <f t="shared" si="4"/>
        <v>2024</v>
      </c>
      <c r="N173" s="8" t="str">
        <f t="array" ref="N173">XLOOKUP(C173,Customer_Dim!A:A,Customer_Dim!B:B,"Not Found")</f>
        <v>Michelle Rogers</v>
      </c>
      <c r="O173" s="8" t="str">
        <f t="array" ref="O173">XLOOKUP(C173,Customer_Dim!A:A,Customer_Dim!E:E,"Not Found")</f>
        <v>East Jessicaborough</v>
      </c>
      <c r="P173" s="8" t="str">
        <f t="array" ref="P173">XLOOKUP(D173,Product_Dim!A:A,Product_Dim!B:B,"Not Found")</f>
        <v>Men's Roll-On Perfume</v>
      </c>
      <c r="Q173" s="8" t="str">
        <f t="array" ref="Q173">XLOOKUP(D173,Product_Dim!A:A,Product_Dim!C:C,"Not Found")</f>
        <v>Beauty</v>
      </c>
      <c r="R173" s="8" t="str">
        <f t="array" ref="R173">XLOOKUP(E173,Store_Dim!A:A,Store_Dim!B:B,"Not Found")</f>
        <v>South</v>
      </c>
      <c r="S173" s="8" t="str">
        <f t="array" ref="S173">XLOOKUP(E173,Store_Dim!A:A,Store_Dim!D:D,"Not Found")</f>
        <v>Online</v>
      </c>
    </row>
    <row r="174" ht="14.25" customHeight="1">
      <c r="A174" s="8" t="s">
        <v>2127</v>
      </c>
      <c r="B174" s="12">
        <v>45652.0</v>
      </c>
      <c r="C174" s="8" t="s">
        <v>1095</v>
      </c>
      <c r="D174" s="8" t="s">
        <v>1857</v>
      </c>
      <c r="E174" s="8" t="s">
        <v>1926</v>
      </c>
      <c r="F174" s="8">
        <v>2.0</v>
      </c>
      <c r="G174" s="8">
        <v>827.92</v>
      </c>
      <c r="H174" s="8">
        <v>0.25</v>
      </c>
      <c r="I174" s="8">
        <f t="shared" si="1"/>
        <v>1655.84</v>
      </c>
      <c r="J174" s="8">
        <f t="shared" si="2"/>
        <v>-413.71</v>
      </c>
      <c r="K174" s="8" t="str">
        <f t="shared" si="3"/>
        <v>Dec</v>
      </c>
      <c r="L174" s="8">
        <f t="shared" si="4"/>
        <v>2024</v>
      </c>
      <c r="N174" s="8" t="str">
        <f t="array" ref="N174">XLOOKUP(C174,Customer_Dim!A:A,Customer_Dim!B:B,"Not Found")</f>
        <v>Evelyn Brown</v>
      </c>
      <c r="O174" s="8" t="str">
        <f t="array" ref="O174">XLOOKUP(C174,Customer_Dim!A:A,Customer_Dim!E:E,"Not Found")</f>
        <v>West Victoriaborough</v>
      </c>
      <c r="P174" s="8" t="str">
        <f t="array" ref="P174">XLOOKUP(D174,Product_Dim!A:A,Product_Dim!B:B,"Not Found")</f>
        <v>Face Foundation Kit</v>
      </c>
      <c r="Q174" s="8" t="str">
        <f t="array" ref="Q174">XLOOKUP(D174,Product_Dim!A:A,Product_Dim!C:C,"Not Found")</f>
        <v>Beauty</v>
      </c>
      <c r="R174" s="8" t="str">
        <f t="array" ref="R174">XLOOKUP(E174,Store_Dim!A:A,Store_Dim!B:B,"Not Found")</f>
        <v>East</v>
      </c>
      <c r="S174" s="8" t="str">
        <f t="array" ref="S174">XLOOKUP(E174,Store_Dim!A:A,Store_Dim!D:D,"Not Found")</f>
        <v>Online</v>
      </c>
    </row>
    <row r="175" ht="14.25" customHeight="1">
      <c r="A175" s="8" t="s">
        <v>2128</v>
      </c>
      <c r="B175" s="12">
        <v>45653.0</v>
      </c>
      <c r="C175" s="8" t="s">
        <v>1508</v>
      </c>
      <c r="D175" s="8" t="s">
        <v>1662</v>
      </c>
      <c r="E175" s="8" t="s">
        <v>1906</v>
      </c>
      <c r="F175" s="8">
        <v>2.0</v>
      </c>
      <c r="G175" s="8">
        <v>593.47</v>
      </c>
      <c r="H175" s="8">
        <v>0.1</v>
      </c>
      <c r="I175" s="8">
        <f t="shared" si="1"/>
        <v>1186.94</v>
      </c>
      <c r="J175" s="8">
        <f t="shared" si="2"/>
        <v>-118.594</v>
      </c>
      <c r="K175" s="8" t="str">
        <f t="shared" si="3"/>
        <v>Dec</v>
      </c>
      <c r="L175" s="8">
        <f t="shared" si="4"/>
        <v>2024</v>
      </c>
      <c r="N175" s="8" t="str">
        <f t="array" ref="N175">XLOOKUP(C175,Customer_Dim!A:A,Customer_Dim!B:B,"Not Found")</f>
        <v>Sara Ingram</v>
      </c>
      <c r="O175" s="8" t="str">
        <f t="array" ref="O175">XLOOKUP(C175,Customer_Dim!A:A,Customer_Dim!E:E,"Not Found")</f>
        <v>East Dillonview</v>
      </c>
      <c r="P175" s="8" t="str">
        <f t="array" ref="P175">XLOOKUP(D175,Product_Dim!A:A,Product_Dim!B:B,"Not Found")</f>
        <v>Wireless Bluetooth Speaker</v>
      </c>
      <c r="Q175" s="8" t="str">
        <f t="array" ref="Q175">XLOOKUP(D175,Product_Dim!A:A,Product_Dim!C:C,"Not Found")</f>
        <v>Electronics</v>
      </c>
      <c r="R175" s="8" t="str">
        <f t="array" ref="R175">XLOOKUP(E175,Store_Dim!A:A,Store_Dim!B:B,"Not Found")</f>
        <v>South</v>
      </c>
      <c r="S175" s="8" t="str">
        <f t="array" ref="S175">XLOOKUP(E175,Store_Dim!A:A,Store_Dim!D:D,"Not Found")</f>
        <v>Outlet</v>
      </c>
    </row>
    <row r="176" ht="14.25" customHeight="1">
      <c r="A176" s="8" t="s">
        <v>2129</v>
      </c>
      <c r="B176" s="12">
        <v>45654.0</v>
      </c>
      <c r="C176" s="8" t="s">
        <v>944</v>
      </c>
      <c r="D176" s="8" t="s">
        <v>1642</v>
      </c>
      <c r="E176" s="8" t="s">
        <v>1919</v>
      </c>
      <c r="F176" s="8">
        <v>4.0</v>
      </c>
      <c r="G176" s="8">
        <v>756.28</v>
      </c>
      <c r="H176" s="8">
        <v>0.05</v>
      </c>
      <c r="I176" s="8">
        <f t="shared" si="1"/>
        <v>3025.12</v>
      </c>
      <c r="J176" s="8">
        <f t="shared" si="2"/>
        <v>-151.206</v>
      </c>
      <c r="K176" s="8" t="str">
        <f t="shared" si="3"/>
        <v>Dec</v>
      </c>
      <c r="L176" s="8">
        <f t="shared" si="4"/>
        <v>2024</v>
      </c>
      <c r="N176" s="8" t="str">
        <f t="array" ref="N176">XLOOKUP(C176,Customer_Dim!A:A,Customer_Dim!B:B,"Not Found")</f>
        <v>Gloria Taylor</v>
      </c>
      <c r="O176" s="8" t="str">
        <f t="array" ref="O176">XLOOKUP(C176,Customer_Dim!A:A,Customer_Dim!E:E,"Not Found")</f>
        <v>North Daniel</v>
      </c>
      <c r="P176" s="8" t="str">
        <f t="array" ref="P176">XLOOKUP(D176,Product_Dim!A:A,Product_Dim!B:B,"Not Found")</f>
        <v>Outdoor Sports Water Bottle</v>
      </c>
      <c r="Q176" s="8" t="str">
        <f t="array" ref="Q176">XLOOKUP(D176,Product_Dim!A:A,Product_Dim!C:C,"Not Found")</f>
        <v>Sports</v>
      </c>
      <c r="R176" s="8" t="str">
        <f t="array" ref="R176">XLOOKUP(E176,Store_Dim!A:A,Store_Dim!B:B,"Not Found")</f>
        <v>South</v>
      </c>
      <c r="S176" s="8" t="str">
        <f t="array" ref="S176">XLOOKUP(E176,Store_Dim!A:A,Store_Dim!D:D,"Not Found")</f>
        <v>Online</v>
      </c>
    </row>
    <row r="177" ht="14.25" customHeight="1">
      <c r="A177" s="8" t="s">
        <v>2130</v>
      </c>
      <c r="B177" s="12">
        <v>45655.0</v>
      </c>
      <c r="C177" s="8" t="s">
        <v>1194</v>
      </c>
      <c r="D177" s="8" t="s">
        <v>1866</v>
      </c>
      <c r="E177" s="8" t="s">
        <v>1903</v>
      </c>
      <c r="F177" s="8">
        <v>2.0</v>
      </c>
      <c r="G177" s="8">
        <v>707.65</v>
      </c>
      <c r="H177" s="8">
        <v>0.14</v>
      </c>
      <c r="I177" s="8">
        <f t="shared" si="1"/>
        <v>1415.3</v>
      </c>
      <c r="J177" s="8">
        <f t="shared" si="2"/>
        <v>-198.002</v>
      </c>
      <c r="K177" s="8" t="str">
        <f t="shared" si="3"/>
        <v>Dec</v>
      </c>
      <c r="L177" s="8">
        <f t="shared" si="4"/>
        <v>2024</v>
      </c>
      <c r="N177" s="8" t="str">
        <f t="array" ref="N177">XLOOKUP(C177,Customer_Dim!A:A,Customer_Dim!B:B,"Not Found")</f>
        <v>Charles Conley</v>
      </c>
      <c r="O177" s="8" t="str">
        <f t="array" ref="O177">XLOOKUP(C177,Customer_Dim!A:A,Customer_Dim!E:E,"Not Found")</f>
        <v>Nathanshire</v>
      </c>
      <c r="P177" s="8" t="str">
        <f t="array" ref="P177">XLOOKUP(D177,Product_Dim!A:A,Product_Dim!B:B,"Not Found")</f>
        <v>Microwave Oven</v>
      </c>
      <c r="Q177" s="8" t="str">
        <f t="array" ref="Q177">XLOOKUP(D177,Product_Dim!A:A,Product_Dim!C:C,"Not Found")</f>
        <v>Home</v>
      </c>
      <c r="R177" s="8" t="str">
        <f t="array" ref="R177">XLOOKUP(E177,Store_Dim!A:A,Store_Dim!B:B,"Not Found")</f>
        <v>North</v>
      </c>
      <c r="S177" s="8" t="str">
        <f t="array" ref="S177">XLOOKUP(E177,Store_Dim!A:A,Store_Dim!D:D,"Not Found")</f>
        <v>Flagship</v>
      </c>
    </row>
    <row r="178" ht="14.25" customHeight="1">
      <c r="A178" s="8" t="s">
        <v>2131</v>
      </c>
      <c r="B178" s="12">
        <v>45656.0</v>
      </c>
      <c r="C178" s="8" t="s">
        <v>452</v>
      </c>
      <c r="D178" s="8" t="s">
        <v>1659</v>
      </c>
      <c r="E178" s="8" t="s">
        <v>1933</v>
      </c>
      <c r="F178" s="8">
        <v>1.0</v>
      </c>
      <c r="G178" s="8">
        <v>857.35</v>
      </c>
      <c r="H178" s="8">
        <v>0.28</v>
      </c>
      <c r="I178" s="8">
        <f t="shared" si="1"/>
        <v>857.35</v>
      </c>
      <c r="J178" s="8">
        <f t="shared" si="2"/>
        <v>-239.778</v>
      </c>
      <c r="K178" s="8" t="str">
        <f t="shared" si="3"/>
        <v>Dec</v>
      </c>
      <c r="L178" s="8">
        <f t="shared" si="4"/>
        <v>2024</v>
      </c>
      <c r="N178" s="8" t="str">
        <f t="array" ref="N178">XLOOKUP(C178,Customer_Dim!A:A,Customer_Dim!B:B,"Not Found")</f>
        <v>Susan Mcdonald</v>
      </c>
      <c r="O178" s="8" t="str">
        <f t="array" ref="O178">XLOOKUP(C178,Customer_Dim!A:A,Customer_Dim!E:E,"Not Found")</f>
        <v>East Ellen</v>
      </c>
      <c r="P178" s="8" t="str">
        <f t="array" ref="P178">XLOOKUP(D178,Product_Dim!A:A,Product_Dim!B:B,"Not Found")</f>
        <v>Women's Scarf Set</v>
      </c>
      <c r="Q178" s="8" t="str">
        <f t="array" ref="Q178">XLOOKUP(D178,Product_Dim!A:A,Product_Dim!C:C,"Not Found")</f>
        <v>Clothing</v>
      </c>
      <c r="R178" s="8" t="str">
        <f t="array" ref="R178">XLOOKUP(E178,Store_Dim!A:A,Store_Dim!B:B,"Not Found")</f>
        <v>North</v>
      </c>
      <c r="S178" s="8" t="str">
        <f t="array" ref="S178">XLOOKUP(E178,Store_Dim!A:A,Store_Dim!D:D,"Not Found")</f>
        <v>Flagship</v>
      </c>
    </row>
    <row r="179" ht="14.25" customHeight="1">
      <c r="A179" s="8" t="s">
        <v>2132</v>
      </c>
      <c r="B179" s="12">
        <v>45657.0</v>
      </c>
      <c r="C179" s="8" t="s">
        <v>1549</v>
      </c>
      <c r="D179" s="8" t="s">
        <v>1754</v>
      </c>
      <c r="E179" s="8" t="s">
        <v>1921</v>
      </c>
      <c r="F179" s="8">
        <v>1.0</v>
      </c>
      <c r="G179" s="8">
        <v>79.0</v>
      </c>
      <c r="H179" s="8">
        <v>0.04</v>
      </c>
      <c r="I179" s="8">
        <f t="shared" si="1"/>
        <v>79</v>
      </c>
      <c r="J179" s="8">
        <f t="shared" si="2"/>
        <v>-3.12</v>
      </c>
      <c r="K179" s="8" t="str">
        <f t="shared" si="3"/>
        <v>Dec</v>
      </c>
      <c r="L179" s="8">
        <f t="shared" si="4"/>
        <v>2024</v>
      </c>
      <c r="N179" s="8" t="str">
        <f t="array" ref="N179">XLOOKUP(C179,Customer_Dim!A:A,Customer_Dim!B:B,"Not Found")</f>
        <v>Philip Pennington</v>
      </c>
      <c r="O179" s="8" t="str">
        <f t="array" ref="O179">XLOOKUP(C179,Customer_Dim!A:A,Customer_Dim!E:E,"Not Found")</f>
        <v>East Valerieview</v>
      </c>
      <c r="P179" s="8" t="str">
        <f t="array" ref="P179">XLOOKUP(D179,Product_Dim!A:A,Product_Dim!B:B,"Not Found")</f>
        <v>Ceramic Plant Pot</v>
      </c>
      <c r="Q179" s="8" t="str">
        <f t="array" ref="Q179">XLOOKUP(D179,Product_Dim!A:A,Product_Dim!C:C,"Not Found")</f>
        <v>Home</v>
      </c>
      <c r="R179" s="8" t="str">
        <f t="array" ref="R179">XLOOKUP(E179,Store_Dim!A:A,Store_Dim!B:B,"Not Found")</f>
        <v>West</v>
      </c>
      <c r="S179" s="8" t="str">
        <f t="array" ref="S179">XLOOKUP(E179,Store_Dim!A:A,Store_Dim!D:D,"Not Found")</f>
        <v>Online</v>
      </c>
    </row>
    <row r="180" ht="14.25" customHeight="1">
      <c r="A180" s="8" t="s">
        <v>2133</v>
      </c>
      <c r="B180" s="12">
        <v>45658.0</v>
      </c>
      <c r="C180" s="8" t="s">
        <v>254</v>
      </c>
      <c r="D180" s="8" t="s">
        <v>1872</v>
      </c>
      <c r="E180" s="8" t="s">
        <v>1915</v>
      </c>
      <c r="F180" s="8">
        <v>4.0</v>
      </c>
      <c r="G180" s="8">
        <v>638.91</v>
      </c>
      <c r="H180" s="8">
        <v>0.0</v>
      </c>
      <c r="I180" s="8">
        <f t="shared" si="1"/>
        <v>2555.64</v>
      </c>
      <c r="J180" s="8">
        <f t="shared" si="2"/>
        <v>0</v>
      </c>
      <c r="K180" s="8" t="str">
        <f t="shared" si="3"/>
        <v>Jan</v>
      </c>
      <c r="L180" s="8">
        <f t="shared" si="4"/>
        <v>2025</v>
      </c>
      <c r="N180" s="8" t="str">
        <f t="array" ref="N180">XLOOKUP(C180,Customer_Dim!A:A,Customer_Dim!B:B,"Not Found")</f>
        <v>Cody Diaz</v>
      </c>
      <c r="O180" s="8" t="str">
        <f t="array" ref="O180">XLOOKUP(C180,Customer_Dim!A:A,Customer_Dim!E:E,"Not Found")</f>
        <v>South Aaronside</v>
      </c>
      <c r="P180" s="8" t="str">
        <f t="array" ref="P180">XLOOKUP(D180,Product_Dim!A:A,Product_Dim!B:B,"Not Found")</f>
        <v>Vitamin E Body Lotion</v>
      </c>
      <c r="Q180" s="8" t="str">
        <f t="array" ref="Q180">XLOOKUP(D180,Product_Dim!A:A,Product_Dim!C:C,"Not Found")</f>
        <v>Beauty</v>
      </c>
      <c r="R180" s="8" t="str">
        <f t="array" ref="R180">XLOOKUP(E180,Store_Dim!A:A,Store_Dim!B:B,"Not Found")</f>
        <v>North</v>
      </c>
      <c r="S180" s="8" t="str">
        <f t="array" ref="S180">XLOOKUP(E180,Store_Dim!A:A,Store_Dim!D:D,"Not Found")</f>
        <v>Outlet</v>
      </c>
    </row>
    <row r="181" ht="14.25" customHeight="1">
      <c r="A181" s="8" t="s">
        <v>2134</v>
      </c>
      <c r="B181" s="12">
        <v>45659.0</v>
      </c>
      <c r="C181" s="8" t="s">
        <v>305</v>
      </c>
      <c r="D181" s="8" t="s">
        <v>1722</v>
      </c>
      <c r="E181" s="8" t="s">
        <v>1899</v>
      </c>
      <c r="F181" s="8">
        <v>2.0</v>
      </c>
      <c r="G181" s="8">
        <v>522.17</v>
      </c>
      <c r="H181" s="8">
        <v>0.27</v>
      </c>
      <c r="I181" s="8">
        <f t="shared" si="1"/>
        <v>1044.34</v>
      </c>
      <c r="J181" s="8">
        <f t="shared" si="2"/>
        <v>-281.7018</v>
      </c>
      <c r="K181" s="8" t="str">
        <f t="shared" si="3"/>
        <v>Jan</v>
      </c>
      <c r="L181" s="8">
        <f t="shared" si="4"/>
        <v>2025</v>
      </c>
      <c r="N181" s="8" t="str">
        <f t="array" ref="N181">XLOOKUP(C181,Customer_Dim!A:A,Customer_Dim!B:B,"Not Found")</f>
        <v>Krystal Ford</v>
      </c>
      <c r="O181" s="8" t="str">
        <f t="array" ref="O181">XLOOKUP(C181,Customer_Dim!A:A,Customer_Dim!E:E,"Not Found")</f>
        <v>South David</v>
      </c>
      <c r="P181" s="8" t="str">
        <f t="array" ref="P181">XLOOKUP(D181,Product_Dim!A:A,Product_Dim!B:B,"Not Found")</f>
        <v>High-Grip Football</v>
      </c>
      <c r="Q181" s="8" t="str">
        <f t="array" ref="Q181">XLOOKUP(D181,Product_Dim!A:A,Product_Dim!C:C,"Not Found")</f>
        <v>Sports</v>
      </c>
      <c r="R181" s="8" t="str">
        <f t="array" ref="R181">XLOOKUP(E181,Store_Dim!A:A,Store_Dim!B:B,"Not Found")</f>
        <v>East</v>
      </c>
      <c r="S181" s="8" t="str">
        <f t="array" ref="S181">XLOOKUP(E181,Store_Dim!A:A,Store_Dim!D:D,"Not Found")</f>
        <v>Flagship</v>
      </c>
    </row>
    <row r="182" ht="14.25" customHeight="1">
      <c r="A182" s="8" t="s">
        <v>2135</v>
      </c>
      <c r="B182" s="12">
        <v>45660.0</v>
      </c>
      <c r="C182" s="8" t="s">
        <v>1488</v>
      </c>
      <c r="D182" s="8" t="s">
        <v>1703</v>
      </c>
      <c r="E182" s="8" t="s">
        <v>1929</v>
      </c>
      <c r="F182" s="8">
        <v>3.0</v>
      </c>
      <c r="G182" s="8">
        <v>954.29</v>
      </c>
      <c r="H182" s="8">
        <v>0.27</v>
      </c>
      <c r="I182" s="8">
        <f t="shared" si="1"/>
        <v>2862.87</v>
      </c>
      <c r="J182" s="8">
        <f t="shared" si="2"/>
        <v>-772.7049</v>
      </c>
      <c r="K182" s="8" t="str">
        <f t="shared" si="3"/>
        <v>Jan</v>
      </c>
      <c r="L182" s="8">
        <f t="shared" si="4"/>
        <v>2025</v>
      </c>
      <c r="N182" s="8" t="str">
        <f t="array" ref="N182">XLOOKUP(C182,Customer_Dim!A:A,Customer_Dim!B:B,"Not Found")</f>
        <v>Earl Smith DDS</v>
      </c>
      <c r="O182" s="8" t="str">
        <f t="array" ref="O182">XLOOKUP(C182,Customer_Dim!A:A,Customer_Dim!E:E,"Not Found")</f>
        <v>West Sarah</v>
      </c>
      <c r="P182" s="8" t="str">
        <f t="array" ref="P182">XLOOKUP(D182,Product_Dim!A:A,Product_Dim!B:B,"Not Found")</f>
        <v>Portable Power Bank</v>
      </c>
      <c r="Q182" s="8" t="str">
        <f t="array" ref="Q182">XLOOKUP(D182,Product_Dim!A:A,Product_Dim!C:C,"Not Found")</f>
        <v>Electronics</v>
      </c>
      <c r="R182" s="8" t="str">
        <f t="array" ref="R182">XLOOKUP(E182,Store_Dim!A:A,Store_Dim!B:B,"Not Found")</f>
        <v>North</v>
      </c>
      <c r="S182" s="8" t="str">
        <f t="array" ref="S182">XLOOKUP(E182,Store_Dim!A:A,Store_Dim!D:D,"Not Found")</f>
        <v>Online</v>
      </c>
    </row>
    <row r="183" ht="14.25" customHeight="1">
      <c r="A183" s="8" t="s">
        <v>2136</v>
      </c>
      <c r="B183" s="12">
        <v>45661.0</v>
      </c>
      <c r="C183" s="8" t="s">
        <v>1441</v>
      </c>
      <c r="D183" s="8" t="s">
        <v>1684</v>
      </c>
      <c r="E183" s="8" t="s">
        <v>1931</v>
      </c>
      <c r="F183" s="8">
        <v>3.0</v>
      </c>
      <c r="G183" s="8">
        <v>53.92</v>
      </c>
      <c r="H183" s="8">
        <v>0.15</v>
      </c>
      <c r="I183" s="8">
        <f t="shared" si="1"/>
        <v>161.76</v>
      </c>
      <c r="J183" s="8">
        <f t="shared" si="2"/>
        <v>-24.114</v>
      </c>
      <c r="K183" s="8" t="str">
        <f t="shared" si="3"/>
        <v>Jan</v>
      </c>
      <c r="L183" s="8">
        <f t="shared" si="4"/>
        <v>2025</v>
      </c>
      <c r="N183" s="8" t="str">
        <f t="array" ref="N183">XLOOKUP(C183,Customer_Dim!A:A,Customer_Dim!B:B,"Not Found")</f>
        <v>Beth Martin</v>
      </c>
      <c r="O183" s="8" t="str">
        <f t="array" ref="O183">XLOOKUP(C183,Customer_Dim!A:A,Customer_Dim!E:E,"Not Found")</f>
        <v>Burkefurt</v>
      </c>
      <c r="P183" s="8" t="str">
        <f t="array" ref="P183">XLOOKUP(D183,Product_Dim!A:A,Product_Dim!B:B,"Not Found")</f>
        <v>Modern Wall Clock</v>
      </c>
      <c r="Q183" s="8" t="str">
        <f t="array" ref="Q183">XLOOKUP(D183,Product_Dim!A:A,Product_Dim!C:C,"Not Found")</f>
        <v>Home</v>
      </c>
      <c r="R183" s="8" t="str">
        <f t="array" ref="R183">XLOOKUP(E183,Store_Dim!A:A,Store_Dim!B:B,"Not Found")</f>
        <v>East</v>
      </c>
      <c r="S183" s="8" t="str">
        <f t="array" ref="S183">XLOOKUP(E183,Store_Dim!A:A,Store_Dim!D:D,"Not Found")</f>
        <v>Flagship</v>
      </c>
    </row>
    <row r="184" ht="14.25" customHeight="1">
      <c r="A184" s="8" t="s">
        <v>2137</v>
      </c>
      <c r="B184" s="12">
        <v>45662.0</v>
      </c>
      <c r="C184" s="8" t="s">
        <v>1251</v>
      </c>
      <c r="D184" s="8" t="s">
        <v>1687</v>
      </c>
      <c r="E184" s="8" t="s">
        <v>1899</v>
      </c>
      <c r="F184" s="8">
        <v>4.0</v>
      </c>
      <c r="G184" s="8">
        <v>741.88</v>
      </c>
      <c r="H184" s="8">
        <v>0.02</v>
      </c>
      <c r="I184" s="8">
        <f t="shared" si="1"/>
        <v>2967.52</v>
      </c>
      <c r="J184" s="8">
        <f t="shared" si="2"/>
        <v>-59.3304</v>
      </c>
      <c r="K184" s="8" t="str">
        <f t="shared" si="3"/>
        <v>Jan</v>
      </c>
      <c r="L184" s="8">
        <f t="shared" si="4"/>
        <v>2025</v>
      </c>
      <c r="N184" s="8" t="str">
        <f t="array" ref="N184">XLOOKUP(C184,Customer_Dim!A:A,Customer_Dim!B:B,"Not Found")</f>
        <v>Alexander Byrd</v>
      </c>
      <c r="O184" s="8" t="str">
        <f t="array" ref="O184">XLOOKUP(C184,Customer_Dim!A:A,Customer_Dim!E:E,"Not Found")</f>
        <v>Parkerview</v>
      </c>
      <c r="P184" s="8" t="str">
        <f t="array" ref="P184">XLOOKUP(D184,Product_Dim!A:A,Product_Dim!B:B,"Not Found")</f>
        <v>Gaming Mechanical Keyboard</v>
      </c>
      <c r="Q184" s="8" t="str">
        <f t="array" ref="Q184">XLOOKUP(D184,Product_Dim!A:A,Product_Dim!C:C,"Not Found")</f>
        <v>Electronics</v>
      </c>
      <c r="R184" s="8" t="str">
        <f t="array" ref="R184">XLOOKUP(E184,Store_Dim!A:A,Store_Dim!B:B,"Not Found")</f>
        <v>East</v>
      </c>
      <c r="S184" s="8" t="str">
        <f t="array" ref="S184">XLOOKUP(E184,Store_Dim!A:A,Store_Dim!D:D,"Not Found")</f>
        <v>Flagship</v>
      </c>
    </row>
    <row r="185" ht="14.25" customHeight="1">
      <c r="A185" s="8" t="s">
        <v>2138</v>
      </c>
      <c r="B185" s="12">
        <v>45663.0</v>
      </c>
      <c r="C185" s="8" t="s">
        <v>144</v>
      </c>
      <c r="D185" s="8" t="s">
        <v>1725</v>
      </c>
      <c r="E185" s="8" t="s">
        <v>1910</v>
      </c>
      <c r="F185" s="8">
        <v>1.0</v>
      </c>
      <c r="G185" s="8">
        <v>547.09</v>
      </c>
      <c r="H185" s="8">
        <v>0.01</v>
      </c>
      <c r="I185" s="8">
        <f t="shared" si="1"/>
        <v>547.09</v>
      </c>
      <c r="J185" s="8">
        <f t="shared" si="2"/>
        <v>-5.4609</v>
      </c>
      <c r="K185" s="8" t="str">
        <f t="shared" si="3"/>
        <v>Jan</v>
      </c>
      <c r="L185" s="8">
        <f t="shared" si="4"/>
        <v>2025</v>
      </c>
      <c r="N185" s="8" t="str">
        <f t="array" ref="N185">XLOOKUP(C185,Customer_Dim!A:A,Customer_Dim!B:B,"Not Found")</f>
        <v>Robert Jones DDS</v>
      </c>
      <c r="O185" s="8" t="str">
        <f t="array" ref="O185">XLOOKUP(C185,Customer_Dim!A:A,Customer_Dim!E:E,"Not Found")</f>
        <v>Tristanton</v>
      </c>
      <c r="P185" s="8" t="str">
        <f t="array" ref="P185">XLOOKUP(D185,Product_Dim!A:A,Product_Dim!B:B,"Not Found")</f>
        <v>Men's Winter Jacket</v>
      </c>
      <c r="Q185" s="8" t="str">
        <f t="array" ref="Q185">XLOOKUP(D185,Product_Dim!A:A,Product_Dim!C:C,"Not Found")</f>
        <v>Clothing</v>
      </c>
      <c r="R185" s="8" t="str">
        <f t="array" ref="R185">XLOOKUP(E185,Store_Dim!A:A,Store_Dim!B:B,"Not Found")</f>
        <v>North</v>
      </c>
      <c r="S185" s="8" t="str">
        <f t="array" ref="S185">XLOOKUP(E185,Store_Dim!A:A,Store_Dim!D:D,"Not Found")</f>
        <v>Outlet</v>
      </c>
    </row>
    <row r="186" ht="14.25" customHeight="1">
      <c r="A186" s="8" t="s">
        <v>2139</v>
      </c>
      <c r="B186" s="12">
        <v>45664.0</v>
      </c>
      <c r="C186" s="8" t="s">
        <v>1520</v>
      </c>
      <c r="D186" s="8" t="s">
        <v>1857</v>
      </c>
      <c r="E186" s="8" t="s">
        <v>1910</v>
      </c>
      <c r="F186" s="8">
        <v>1.0</v>
      </c>
      <c r="G186" s="8">
        <v>789.35</v>
      </c>
      <c r="H186" s="8">
        <v>0.14</v>
      </c>
      <c r="I186" s="8">
        <f t="shared" si="1"/>
        <v>789.35</v>
      </c>
      <c r="J186" s="8">
        <f t="shared" si="2"/>
        <v>-110.369</v>
      </c>
      <c r="K186" s="8" t="str">
        <f t="shared" si="3"/>
        <v>Jan</v>
      </c>
      <c r="L186" s="8">
        <f t="shared" si="4"/>
        <v>2025</v>
      </c>
      <c r="N186" s="8" t="str">
        <f t="array" ref="N186">XLOOKUP(C186,Customer_Dim!A:A,Customer_Dim!B:B,"Not Found")</f>
        <v>Melinda Thomas</v>
      </c>
      <c r="O186" s="8" t="str">
        <f t="array" ref="O186">XLOOKUP(C186,Customer_Dim!A:A,Customer_Dim!E:E,"Not Found")</f>
        <v>Lake Elizabethside</v>
      </c>
      <c r="P186" s="8" t="str">
        <f t="array" ref="P186">XLOOKUP(D186,Product_Dim!A:A,Product_Dim!B:B,"Not Found")</f>
        <v>Face Foundation Kit</v>
      </c>
      <c r="Q186" s="8" t="str">
        <f t="array" ref="Q186">XLOOKUP(D186,Product_Dim!A:A,Product_Dim!C:C,"Not Found")</f>
        <v>Beauty</v>
      </c>
      <c r="R186" s="8" t="str">
        <f t="array" ref="R186">XLOOKUP(E186,Store_Dim!A:A,Store_Dim!B:B,"Not Found")</f>
        <v>North</v>
      </c>
      <c r="S186" s="8" t="str">
        <f t="array" ref="S186">XLOOKUP(E186,Store_Dim!A:A,Store_Dim!D:D,"Not Found")</f>
        <v>Outlet</v>
      </c>
    </row>
    <row r="187" ht="14.25" customHeight="1">
      <c r="A187" s="8" t="s">
        <v>2140</v>
      </c>
      <c r="B187" s="12">
        <v>45665.0</v>
      </c>
      <c r="C187" s="8" t="s">
        <v>1344</v>
      </c>
      <c r="D187" s="8" t="s">
        <v>1778</v>
      </c>
      <c r="E187" s="8" t="s">
        <v>1910</v>
      </c>
      <c r="F187" s="8">
        <v>3.0</v>
      </c>
      <c r="G187" s="8">
        <v>476.78</v>
      </c>
      <c r="H187" s="8">
        <v>0.09</v>
      </c>
      <c r="I187" s="8">
        <f t="shared" si="1"/>
        <v>1430.34</v>
      </c>
      <c r="J187" s="8">
        <f t="shared" si="2"/>
        <v>-128.6406</v>
      </c>
      <c r="K187" s="8" t="str">
        <f t="shared" si="3"/>
        <v>Jan</v>
      </c>
      <c r="L187" s="8">
        <f t="shared" si="4"/>
        <v>2025</v>
      </c>
      <c r="N187" s="8" t="str">
        <f t="array" ref="N187">XLOOKUP(C187,Customer_Dim!A:A,Customer_Dim!B:B,"Not Found")</f>
        <v>Samuel Mullins</v>
      </c>
      <c r="O187" s="8" t="str">
        <f t="array" ref="O187">XLOOKUP(C187,Customer_Dim!A:A,Customer_Dim!E:E,"Not Found")</f>
        <v>Hartmouth</v>
      </c>
      <c r="P187" s="8" t="str">
        <f t="array" ref="P187">XLOOKUP(D187,Product_Dim!A:A,Product_Dim!B:B,"Not Found")</f>
        <v>Organic Sunscreen Lotion</v>
      </c>
      <c r="Q187" s="8" t="str">
        <f t="array" ref="Q187">XLOOKUP(D187,Product_Dim!A:A,Product_Dim!C:C,"Not Found")</f>
        <v>Beauty</v>
      </c>
      <c r="R187" s="8" t="str">
        <f t="array" ref="R187">XLOOKUP(E187,Store_Dim!A:A,Store_Dim!B:B,"Not Found")</f>
        <v>North</v>
      </c>
      <c r="S187" s="8" t="str">
        <f t="array" ref="S187">XLOOKUP(E187,Store_Dim!A:A,Store_Dim!D:D,"Not Found")</f>
        <v>Outlet</v>
      </c>
    </row>
    <row r="188" ht="14.25" customHeight="1">
      <c r="A188" s="8" t="s">
        <v>2141</v>
      </c>
      <c r="B188" s="12">
        <v>45666.0</v>
      </c>
      <c r="C188" s="8" t="s">
        <v>1416</v>
      </c>
      <c r="D188" s="8" t="s">
        <v>1827</v>
      </c>
      <c r="E188" s="8" t="s">
        <v>1939</v>
      </c>
      <c r="F188" s="8">
        <v>2.0</v>
      </c>
      <c r="G188" s="8">
        <v>504.26</v>
      </c>
      <c r="H188" s="8">
        <v>0.04</v>
      </c>
      <c r="I188" s="8">
        <f t="shared" si="1"/>
        <v>1008.52</v>
      </c>
      <c r="J188" s="8">
        <f t="shared" si="2"/>
        <v>-40.3008</v>
      </c>
      <c r="K188" s="8" t="str">
        <f t="shared" si="3"/>
        <v>Jan</v>
      </c>
      <c r="L188" s="8">
        <f t="shared" si="4"/>
        <v>2025</v>
      </c>
      <c r="N188" s="8" t="str">
        <f t="array" ref="N188">XLOOKUP(C188,Customer_Dim!A:A,Customer_Dim!B:B,"Not Found")</f>
        <v>April Phillips</v>
      </c>
      <c r="O188" s="8" t="str">
        <f t="array" ref="O188">XLOOKUP(C188,Customer_Dim!A:A,Customer_Dim!E:E,"Not Found")</f>
        <v>Lake Carolyn</v>
      </c>
      <c r="P188" s="8" t="str">
        <f t="array" ref="P188">XLOOKUP(D188,Product_Dim!A:A,Product_Dim!B:B,"Not Found")</f>
        <v>Decorative Lamp Shade</v>
      </c>
      <c r="Q188" s="8" t="str">
        <f t="array" ref="Q188">XLOOKUP(D188,Product_Dim!A:A,Product_Dim!C:C,"Not Found")</f>
        <v>Home</v>
      </c>
      <c r="R188" s="8" t="str">
        <f t="array" ref="R188">XLOOKUP(E188,Store_Dim!A:A,Store_Dim!B:B,"Not Found")</f>
        <v>East</v>
      </c>
      <c r="S188" s="8" t="str">
        <f t="array" ref="S188">XLOOKUP(E188,Store_Dim!A:A,Store_Dim!D:D,"Not Found")</f>
        <v>Flagship</v>
      </c>
    </row>
    <row r="189" ht="14.25" customHeight="1">
      <c r="A189" s="8" t="s">
        <v>2142</v>
      </c>
      <c r="B189" s="12">
        <v>45667.0</v>
      </c>
      <c r="C189" s="8" t="s">
        <v>881</v>
      </c>
      <c r="D189" s="8" t="s">
        <v>1833</v>
      </c>
      <c r="E189" s="8" t="s">
        <v>1917</v>
      </c>
      <c r="F189" s="8">
        <v>2.0</v>
      </c>
      <c r="G189" s="8">
        <v>549.33</v>
      </c>
      <c r="H189" s="8">
        <v>0.01</v>
      </c>
      <c r="I189" s="8">
        <f t="shared" si="1"/>
        <v>1098.66</v>
      </c>
      <c r="J189" s="8">
        <f t="shared" si="2"/>
        <v>-10.9766</v>
      </c>
      <c r="K189" s="8" t="str">
        <f t="shared" si="3"/>
        <v>Jan</v>
      </c>
      <c r="L189" s="8">
        <f t="shared" si="4"/>
        <v>2025</v>
      </c>
      <c r="N189" s="8" t="str">
        <f t="array" ref="N189">XLOOKUP(C189,Customer_Dim!A:A,Customer_Dim!B:B,"Not Found")</f>
        <v>Adam Rowland</v>
      </c>
      <c r="O189" s="8" t="str">
        <f t="array" ref="O189">XLOOKUP(C189,Customer_Dim!A:A,Customer_Dim!E:E,"Not Found")</f>
        <v>Welchview</v>
      </c>
      <c r="P189" s="8" t="str">
        <f t="array" ref="P189">XLOOKUP(D189,Product_Dim!A:A,Product_Dim!B:B,"Not Found")</f>
        <v>Badminton Racket Set</v>
      </c>
      <c r="Q189" s="8" t="str">
        <f t="array" ref="Q189">XLOOKUP(D189,Product_Dim!A:A,Product_Dim!C:C,"Not Found")</f>
        <v>Sports</v>
      </c>
      <c r="R189" s="8" t="str">
        <f t="array" ref="R189">XLOOKUP(E189,Store_Dim!A:A,Store_Dim!B:B,"Not Found")</f>
        <v>East</v>
      </c>
      <c r="S189" s="8" t="str">
        <f t="array" ref="S189">XLOOKUP(E189,Store_Dim!A:A,Store_Dim!D:D,"Not Found")</f>
        <v>Online</v>
      </c>
    </row>
    <row r="190" ht="14.25" customHeight="1">
      <c r="A190" s="8" t="s">
        <v>2143</v>
      </c>
      <c r="B190" s="12">
        <v>45668.0</v>
      </c>
      <c r="C190" s="8" t="s">
        <v>1209</v>
      </c>
      <c r="D190" s="8" t="s">
        <v>1579</v>
      </c>
      <c r="E190" s="8" t="s">
        <v>1910</v>
      </c>
      <c r="F190" s="8">
        <v>3.0</v>
      </c>
      <c r="G190" s="8">
        <v>620.22</v>
      </c>
      <c r="H190" s="8">
        <v>0.04</v>
      </c>
      <c r="I190" s="8">
        <f t="shared" si="1"/>
        <v>1860.66</v>
      </c>
      <c r="J190" s="8">
        <f t="shared" si="2"/>
        <v>-74.3864</v>
      </c>
      <c r="K190" s="8" t="str">
        <f t="shared" si="3"/>
        <v>Jan</v>
      </c>
      <c r="L190" s="8">
        <f t="shared" si="4"/>
        <v>2025</v>
      </c>
      <c r="N190" s="8" t="str">
        <f t="array" ref="N190">XLOOKUP(C190,Customer_Dim!A:A,Customer_Dim!B:B,"Not Found")</f>
        <v>Martha Brown</v>
      </c>
      <c r="O190" s="8" t="str">
        <f t="array" ref="O190">XLOOKUP(C190,Customer_Dim!A:A,Customer_Dim!E:E,"Not Found")</f>
        <v>Novakstad</v>
      </c>
      <c r="P190" s="8" t="str">
        <f t="array" ref="P190">XLOOKUP(D190,Product_Dim!A:A,Product_Dim!B:B,"Not Found")</f>
        <v>Women's Yoga Pants</v>
      </c>
      <c r="Q190" s="8" t="str">
        <f t="array" ref="Q190">XLOOKUP(D190,Product_Dim!A:A,Product_Dim!C:C,"Not Found")</f>
        <v>Clothing</v>
      </c>
      <c r="R190" s="8" t="str">
        <f t="array" ref="R190">XLOOKUP(E190,Store_Dim!A:A,Store_Dim!B:B,"Not Found")</f>
        <v>North</v>
      </c>
      <c r="S190" s="8" t="str">
        <f t="array" ref="S190">XLOOKUP(E190,Store_Dim!A:A,Store_Dim!D:D,"Not Found")</f>
        <v>Outlet</v>
      </c>
    </row>
    <row r="191" ht="14.25" customHeight="1">
      <c r="A191" s="8" t="s">
        <v>2144</v>
      </c>
      <c r="B191" s="12">
        <v>45669.0</v>
      </c>
      <c r="C191" s="8" t="s">
        <v>339</v>
      </c>
      <c r="D191" s="8" t="s">
        <v>1725</v>
      </c>
      <c r="E191" s="8" t="s">
        <v>1910</v>
      </c>
      <c r="F191" s="8">
        <v>1.0</v>
      </c>
      <c r="G191" s="8">
        <v>580.76</v>
      </c>
      <c r="H191" s="8">
        <v>0.1</v>
      </c>
      <c r="I191" s="8">
        <f t="shared" si="1"/>
        <v>580.76</v>
      </c>
      <c r="J191" s="8">
        <f t="shared" si="2"/>
        <v>-57.976</v>
      </c>
      <c r="K191" s="8" t="str">
        <f t="shared" si="3"/>
        <v>Jan</v>
      </c>
      <c r="L191" s="8">
        <f t="shared" si="4"/>
        <v>2025</v>
      </c>
      <c r="N191" s="8" t="str">
        <f t="array" ref="N191">XLOOKUP(C191,Customer_Dim!A:A,Customer_Dim!B:B,"Not Found")</f>
        <v>Donna Gregory</v>
      </c>
      <c r="O191" s="8" t="str">
        <f t="array" ref="O191">XLOOKUP(C191,Customer_Dim!A:A,Customer_Dim!E:E,"Not Found")</f>
        <v>South Amandahaven</v>
      </c>
      <c r="P191" s="8" t="str">
        <f t="array" ref="P191">XLOOKUP(D191,Product_Dim!A:A,Product_Dim!B:B,"Not Found")</f>
        <v>Men's Winter Jacket</v>
      </c>
      <c r="Q191" s="8" t="str">
        <f t="array" ref="Q191">XLOOKUP(D191,Product_Dim!A:A,Product_Dim!C:C,"Not Found")</f>
        <v>Clothing</v>
      </c>
      <c r="R191" s="8" t="str">
        <f t="array" ref="R191">XLOOKUP(E191,Store_Dim!A:A,Store_Dim!B:B,"Not Found")</f>
        <v>North</v>
      </c>
      <c r="S191" s="8" t="str">
        <f t="array" ref="S191">XLOOKUP(E191,Store_Dim!A:A,Store_Dim!D:D,"Not Found")</f>
        <v>Outlet</v>
      </c>
    </row>
    <row r="192" ht="14.25" customHeight="1">
      <c r="A192" s="8" t="s">
        <v>2145</v>
      </c>
      <c r="B192" s="12">
        <v>45670.0</v>
      </c>
      <c r="C192" s="8" t="s">
        <v>1065</v>
      </c>
      <c r="D192" s="8" t="s">
        <v>1803</v>
      </c>
      <c r="E192" s="8" t="s">
        <v>1924</v>
      </c>
      <c r="F192" s="8">
        <v>3.0</v>
      </c>
      <c r="G192" s="8">
        <v>444.55</v>
      </c>
      <c r="H192" s="8">
        <v>0.14</v>
      </c>
      <c r="I192" s="8">
        <f t="shared" si="1"/>
        <v>1333.65</v>
      </c>
      <c r="J192" s="8">
        <f t="shared" si="2"/>
        <v>-186.571</v>
      </c>
      <c r="K192" s="8" t="str">
        <f t="shared" si="3"/>
        <v>Jan</v>
      </c>
      <c r="L192" s="8">
        <f t="shared" si="4"/>
        <v>2025</v>
      </c>
      <c r="N192" s="8" t="str">
        <f t="array" ref="N192">XLOOKUP(C192,Customer_Dim!A:A,Customer_Dim!B:B,"Not Found")</f>
        <v>Mr. Christopher Sims</v>
      </c>
      <c r="O192" s="8" t="str">
        <f t="array" ref="O192">XLOOKUP(C192,Customer_Dim!A:A,Customer_Dim!E:E,"Not Found")</f>
        <v>Donaldsontown</v>
      </c>
      <c r="P192" s="8" t="str">
        <f t="array" ref="P192">XLOOKUP(D192,Product_Dim!A:A,Product_Dim!B:B,"Not Found")</f>
        <v>Hair Repair Oil Treatment</v>
      </c>
      <c r="Q192" s="8" t="str">
        <f t="array" ref="Q192">XLOOKUP(D192,Product_Dim!A:A,Product_Dim!C:C,"Not Found")</f>
        <v>Beauty</v>
      </c>
      <c r="R192" s="8" t="str">
        <f t="array" ref="R192">XLOOKUP(E192,Store_Dim!A:A,Store_Dim!B:B,"Not Found")</f>
        <v>South</v>
      </c>
      <c r="S192" s="8" t="str">
        <f t="array" ref="S192">XLOOKUP(E192,Store_Dim!A:A,Store_Dim!D:D,"Not Found")</f>
        <v>Flagship</v>
      </c>
    </row>
    <row r="193" ht="14.25" customHeight="1">
      <c r="A193" s="8" t="s">
        <v>2146</v>
      </c>
      <c r="B193" s="12">
        <v>45671.0</v>
      </c>
      <c r="C193" s="8" t="s">
        <v>482</v>
      </c>
      <c r="D193" s="8" t="s">
        <v>1725</v>
      </c>
      <c r="E193" s="8" t="s">
        <v>1939</v>
      </c>
      <c r="F193" s="8">
        <v>1.0</v>
      </c>
      <c r="G193" s="8">
        <v>804.9</v>
      </c>
      <c r="H193" s="8">
        <v>0.03</v>
      </c>
      <c r="I193" s="8">
        <f t="shared" si="1"/>
        <v>804.9</v>
      </c>
      <c r="J193" s="8">
        <f t="shared" si="2"/>
        <v>-24.117</v>
      </c>
      <c r="K193" s="8" t="str">
        <f t="shared" si="3"/>
        <v>Jan</v>
      </c>
      <c r="L193" s="8">
        <f t="shared" si="4"/>
        <v>2025</v>
      </c>
      <c r="N193" s="8" t="str">
        <f t="array" ref="N193">XLOOKUP(C193,Customer_Dim!A:A,Customer_Dim!B:B,"Not Found")</f>
        <v>Sean Roth</v>
      </c>
      <c r="O193" s="8" t="str">
        <f t="array" ref="O193">XLOOKUP(C193,Customer_Dim!A:A,Customer_Dim!E:E,"Not Found")</f>
        <v>Lake Michael</v>
      </c>
      <c r="P193" s="8" t="str">
        <f t="array" ref="P193">XLOOKUP(D193,Product_Dim!A:A,Product_Dim!B:B,"Not Found")</f>
        <v>Men's Winter Jacket</v>
      </c>
      <c r="Q193" s="8" t="str">
        <f t="array" ref="Q193">XLOOKUP(D193,Product_Dim!A:A,Product_Dim!C:C,"Not Found")</f>
        <v>Clothing</v>
      </c>
      <c r="R193" s="8" t="str">
        <f t="array" ref="R193">XLOOKUP(E193,Store_Dim!A:A,Store_Dim!B:B,"Not Found")</f>
        <v>East</v>
      </c>
      <c r="S193" s="8" t="str">
        <f t="array" ref="S193">XLOOKUP(E193,Store_Dim!A:A,Store_Dim!D:D,"Not Found")</f>
        <v>Flagship</v>
      </c>
    </row>
    <row r="194" ht="14.25" customHeight="1">
      <c r="A194" s="8" t="s">
        <v>2147</v>
      </c>
      <c r="B194" s="12">
        <v>45672.0</v>
      </c>
      <c r="C194" s="8" t="s">
        <v>1332</v>
      </c>
      <c r="D194" s="8" t="s">
        <v>1866</v>
      </c>
      <c r="E194" s="8" t="s">
        <v>1932</v>
      </c>
      <c r="F194" s="8">
        <v>3.0</v>
      </c>
      <c r="G194" s="8">
        <v>361.65</v>
      </c>
      <c r="H194" s="8">
        <v>0.15</v>
      </c>
      <c r="I194" s="8">
        <f t="shared" si="1"/>
        <v>1084.95</v>
      </c>
      <c r="J194" s="8">
        <f t="shared" si="2"/>
        <v>-162.5925</v>
      </c>
      <c r="K194" s="8" t="str">
        <f t="shared" si="3"/>
        <v>Jan</v>
      </c>
      <c r="L194" s="8">
        <f t="shared" si="4"/>
        <v>2025</v>
      </c>
      <c r="N194" s="8" t="str">
        <f t="array" ref="N194">XLOOKUP(C194,Customer_Dim!A:A,Customer_Dim!B:B,"Not Found")</f>
        <v>Edwin Barnes</v>
      </c>
      <c r="O194" s="8" t="str">
        <f t="array" ref="O194">XLOOKUP(C194,Customer_Dim!A:A,Customer_Dim!E:E,"Not Found")</f>
        <v>Lake Alexandra</v>
      </c>
      <c r="P194" s="8" t="str">
        <f t="array" ref="P194">XLOOKUP(D194,Product_Dim!A:A,Product_Dim!B:B,"Not Found")</f>
        <v>Microwave Oven</v>
      </c>
      <c r="Q194" s="8" t="str">
        <f t="array" ref="Q194">XLOOKUP(D194,Product_Dim!A:A,Product_Dim!C:C,"Not Found")</f>
        <v>Home</v>
      </c>
      <c r="R194" s="8" t="str">
        <f t="array" ref="R194">XLOOKUP(E194,Store_Dim!A:A,Store_Dim!B:B,"Not Found")</f>
        <v>South</v>
      </c>
      <c r="S194" s="8" t="str">
        <f t="array" ref="S194">XLOOKUP(E194,Store_Dim!A:A,Store_Dim!D:D,"Not Found")</f>
        <v>Outlet</v>
      </c>
    </row>
    <row r="195" ht="14.25" customHeight="1">
      <c r="A195" s="8" t="s">
        <v>2148</v>
      </c>
      <c r="B195" s="12">
        <v>45673.0</v>
      </c>
      <c r="C195" s="8" t="s">
        <v>553</v>
      </c>
      <c r="D195" s="8" t="s">
        <v>1592</v>
      </c>
      <c r="E195" s="8" t="s">
        <v>1912</v>
      </c>
      <c r="F195" s="8">
        <v>1.0</v>
      </c>
      <c r="G195" s="8">
        <v>271.76</v>
      </c>
      <c r="H195" s="8">
        <v>0.03</v>
      </c>
      <c r="I195" s="8">
        <f t="shared" si="1"/>
        <v>271.76</v>
      </c>
      <c r="J195" s="8">
        <f t="shared" si="2"/>
        <v>-8.1228</v>
      </c>
      <c r="K195" s="8" t="str">
        <f t="shared" si="3"/>
        <v>Jan</v>
      </c>
      <c r="L195" s="8">
        <f t="shared" si="4"/>
        <v>2025</v>
      </c>
      <c r="N195" s="8" t="str">
        <f t="array" ref="N195">XLOOKUP(C195,Customer_Dim!A:A,Customer_Dim!B:B,"Not Found")</f>
        <v>Mariah Brown</v>
      </c>
      <c r="O195" s="8" t="str">
        <f t="array" ref="O195">XLOOKUP(C195,Customer_Dim!A:A,Customer_Dim!E:E,"Not Found")</f>
        <v>Palmerbury</v>
      </c>
      <c r="P195" s="8" t="str">
        <f t="array" ref="P195">XLOOKUP(D195,Product_Dim!A:A,Product_Dim!B:B,"Not Found")</f>
        <v>LED Table Lamp</v>
      </c>
      <c r="Q195" s="8" t="str">
        <f t="array" ref="Q195">XLOOKUP(D195,Product_Dim!A:A,Product_Dim!C:C,"Not Found")</f>
        <v>Home</v>
      </c>
      <c r="R195" s="8" t="str">
        <f t="array" ref="R195">XLOOKUP(E195,Store_Dim!A:A,Store_Dim!B:B,"Not Found")</f>
        <v>South</v>
      </c>
      <c r="S195" s="8" t="str">
        <f t="array" ref="S195">XLOOKUP(E195,Store_Dim!A:A,Store_Dim!D:D,"Not Found")</f>
        <v>Online</v>
      </c>
    </row>
    <row r="196" ht="14.25" customHeight="1">
      <c r="A196" s="8" t="s">
        <v>2149</v>
      </c>
      <c r="B196" s="12">
        <v>45674.0</v>
      </c>
      <c r="C196" s="8" t="s">
        <v>1032</v>
      </c>
      <c r="D196" s="8" t="s">
        <v>1735</v>
      </c>
      <c r="E196" s="8" t="s">
        <v>1926</v>
      </c>
      <c r="F196" s="8">
        <v>3.0</v>
      </c>
      <c r="G196" s="8">
        <v>958.15</v>
      </c>
      <c r="H196" s="8">
        <v>0.24</v>
      </c>
      <c r="I196" s="8">
        <f t="shared" si="1"/>
        <v>2874.45</v>
      </c>
      <c r="J196" s="8">
        <f t="shared" si="2"/>
        <v>-689.628</v>
      </c>
      <c r="K196" s="8" t="str">
        <f t="shared" si="3"/>
        <v>Jan</v>
      </c>
      <c r="L196" s="8">
        <f t="shared" si="4"/>
        <v>2025</v>
      </c>
      <c r="N196" s="8" t="str">
        <f t="array" ref="N196">XLOOKUP(C196,Customer_Dim!A:A,Customer_Dim!B:B,"Not Found")</f>
        <v>Kristy Dunlap</v>
      </c>
      <c r="O196" s="8" t="str">
        <f t="array" ref="O196">XLOOKUP(C196,Customer_Dim!A:A,Customer_Dim!E:E,"Not Found")</f>
        <v>Whiteport</v>
      </c>
      <c r="P196" s="8" t="str">
        <f t="array" ref="P196">XLOOKUP(D196,Product_Dim!A:A,Product_Dim!B:B,"Not Found")</f>
        <v>Men's Roll-On Perfume</v>
      </c>
      <c r="Q196" s="8" t="str">
        <f t="array" ref="Q196">XLOOKUP(D196,Product_Dim!A:A,Product_Dim!C:C,"Not Found")</f>
        <v>Beauty</v>
      </c>
      <c r="R196" s="8" t="str">
        <f t="array" ref="R196">XLOOKUP(E196,Store_Dim!A:A,Store_Dim!B:B,"Not Found")</f>
        <v>East</v>
      </c>
      <c r="S196" s="8" t="str">
        <f t="array" ref="S196">XLOOKUP(E196,Store_Dim!A:A,Store_Dim!D:D,"Not Found")</f>
        <v>Online</v>
      </c>
    </row>
    <row r="197" ht="14.25" customHeight="1">
      <c r="A197" s="8" t="s">
        <v>2150</v>
      </c>
      <c r="B197" s="12">
        <v>45675.0</v>
      </c>
      <c r="C197" s="8" t="s">
        <v>1341</v>
      </c>
      <c r="D197" s="8" t="s">
        <v>1769</v>
      </c>
      <c r="E197" s="8" t="s">
        <v>1937</v>
      </c>
      <c r="F197" s="8">
        <v>1.0</v>
      </c>
      <c r="G197" s="8">
        <v>889.19</v>
      </c>
      <c r="H197" s="8">
        <v>0.03</v>
      </c>
      <c r="I197" s="8">
        <f t="shared" si="1"/>
        <v>889.19</v>
      </c>
      <c r="J197" s="8">
        <f t="shared" si="2"/>
        <v>-26.6457</v>
      </c>
      <c r="K197" s="8" t="str">
        <f t="shared" si="3"/>
        <v>Jan</v>
      </c>
      <c r="L197" s="8">
        <f t="shared" si="4"/>
        <v>2025</v>
      </c>
      <c r="N197" s="8" t="str">
        <f t="array" ref="N197">XLOOKUP(C197,Customer_Dim!A:A,Customer_Dim!B:B,"Not Found")</f>
        <v>Jose Stewart</v>
      </c>
      <c r="O197" s="8" t="str">
        <f t="array" ref="O197">XLOOKUP(C197,Customer_Dim!A:A,Customer_Dim!E:E,"Not Found")</f>
        <v>South Robert</v>
      </c>
      <c r="P197" s="8" t="str">
        <f t="array" ref="P197">XLOOKUP(D197,Product_Dim!A:A,Product_Dim!B:B,"Not Found")</f>
        <v>Luxury Perfume Spray</v>
      </c>
      <c r="Q197" s="8" t="str">
        <f t="array" ref="Q197">XLOOKUP(D197,Product_Dim!A:A,Product_Dim!C:C,"Not Found")</f>
        <v>Beauty</v>
      </c>
      <c r="R197" s="8" t="str">
        <f t="array" ref="R197">XLOOKUP(E197,Store_Dim!A:A,Store_Dim!B:B,"Not Found")</f>
        <v>North</v>
      </c>
      <c r="S197" s="8" t="str">
        <f t="array" ref="S197">XLOOKUP(E197,Store_Dim!A:A,Store_Dim!D:D,"Not Found")</f>
        <v>Flagship</v>
      </c>
    </row>
    <row r="198" ht="14.25" customHeight="1">
      <c r="A198" s="8" t="s">
        <v>2151</v>
      </c>
      <c r="B198" s="12">
        <v>45676.0</v>
      </c>
      <c r="C198" s="8" t="s">
        <v>1447</v>
      </c>
      <c r="D198" s="8" t="s">
        <v>1760</v>
      </c>
      <c r="E198" s="8" t="s">
        <v>1935</v>
      </c>
      <c r="F198" s="8">
        <v>4.0</v>
      </c>
      <c r="G198" s="8">
        <v>689.67</v>
      </c>
      <c r="H198" s="8">
        <v>0.05</v>
      </c>
      <c r="I198" s="8">
        <f t="shared" si="1"/>
        <v>2758.68</v>
      </c>
      <c r="J198" s="8">
        <f t="shared" si="2"/>
        <v>-137.884</v>
      </c>
      <c r="K198" s="8" t="str">
        <f t="shared" si="3"/>
        <v>Jan</v>
      </c>
      <c r="L198" s="8">
        <f t="shared" si="4"/>
        <v>2025</v>
      </c>
      <c r="N198" s="8" t="str">
        <f t="array" ref="N198">XLOOKUP(C198,Customer_Dim!A:A,Customer_Dim!B:B,"Not Found")</f>
        <v>David Pierce</v>
      </c>
      <c r="O198" s="8" t="str">
        <f t="array" ref="O198">XLOOKUP(C198,Customer_Dim!A:A,Customer_Dim!E:E,"Not Found")</f>
        <v>Grayland</v>
      </c>
      <c r="P198" s="8" t="str">
        <f t="array" ref="P198">XLOOKUP(D198,Product_Dim!A:A,Product_Dim!B:B,"Not Found")</f>
        <v>Foam Roller</v>
      </c>
      <c r="Q198" s="8" t="str">
        <f t="array" ref="Q198">XLOOKUP(D198,Product_Dim!A:A,Product_Dim!C:C,"Not Found")</f>
        <v>Sports</v>
      </c>
      <c r="R198" s="8" t="str">
        <f t="array" ref="R198">XLOOKUP(E198,Store_Dim!A:A,Store_Dim!B:B,"Not Found")</f>
        <v>West</v>
      </c>
      <c r="S198" s="8" t="str">
        <f t="array" ref="S198">XLOOKUP(E198,Store_Dim!A:A,Store_Dim!D:D,"Not Found")</f>
        <v>Flagship</v>
      </c>
    </row>
    <row r="199" ht="14.25" customHeight="1">
      <c r="A199" s="8" t="s">
        <v>2152</v>
      </c>
      <c r="B199" s="12">
        <v>45677.0</v>
      </c>
      <c r="C199" s="8" t="s">
        <v>473</v>
      </c>
      <c r="D199" s="8" t="s">
        <v>1719</v>
      </c>
      <c r="E199" s="8" t="s">
        <v>1928</v>
      </c>
      <c r="F199" s="8">
        <v>1.0</v>
      </c>
      <c r="G199" s="8">
        <v>541.24</v>
      </c>
      <c r="H199" s="8">
        <v>0.03</v>
      </c>
      <c r="I199" s="8">
        <f t="shared" si="1"/>
        <v>541.24</v>
      </c>
      <c r="J199" s="8">
        <f t="shared" si="2"/>
        <v>-16.2072</v>
      </c>
      <c r="K199" s="8" t="str">
        <f t="shared" si="3"/>
        <v>Jan</v>
      </c>
      <c r="L199" s="8">
        <f t="shared" si="4"/>
        <v>2025</v>
      </c>
      <c r="N199" s="8" t="str">
        <f t="array" ref="N199">XLOOKUP(C199,Customer_Dim!A:A,Customer_Dim!B:B,"Not Found")</f>
        <v>Matthew Hanna</v>
      </c>
      <c r="O199" s="8" t="str">
        <f t="array" ref="O199">XLOOKUP(C199,Customer_Dim!A:A,Customer_Dim!E:E,"Not Found")</f>
        <v>Gonzalezbury</v>
      </c>
      <c r="P199" s="8" t="str">
        <f t="array" ref="P199">XLOOKUP(D199,Product_Dim!A:A,Product_Dim!B:B,"Not Found")</f>
        <v>Adjustable Jump Rope</v>
      </c>
      <c r="Q199" s="8" t="str">
        <f t="array" ref="Q199">XLOOKUP(D199,Product_Dim!A:A,Product_Dim!C:C,"Not Found")</f>
        <v>Sports</v>
      </c>
      <c r="R199" s="8" t="str">
        <f t="array" ref="R199">XLOOKUP(E199,Store_Dim!A:A,Store_Dim!B:B,"Not Found")</f>
        <v>South</v>
      </c>
      <c r="S199" s="8" t="str">
        <f t="array" ref="S199">XLOOKUP(E199,Store_Dim!A:A,Store_Dim!D:D,"Not Found")</f>
        <v>Online</v>
      </c>
    </row>
    <row r="200" ht="14.25" customHeight="1">
      <c r="A200" s="8" t="s">
        <v>2153</v>
      </c>
      <c r="B200" s="12">
        <v>45678.0</v>
      </c>
      <c r="C200" s="8" t="s">
        <v>1402</v>
      </c>
      <c r="D200" s="8" t="s">
        <v>1833</v>
      </c>
      <c r="E200" s="8" t="s">
        <v>1917</v>
      </c>
      <c r="F200" s="8">
        <v>1.0</v>
      </c>
      <c r="G200" s="8">
        <v>454.71</v>
      </c>
      <c r="H200" s="8">
        <v>0.16</v>
      </c>
      <c r="I200" s="8">
        <f t="shared" si="1"/>
        <v>454.71</v>
      </c>
      <c r="J200" s="8">
        <f t="shared" si="2"/>
        <v>-72.5936</v>
      </c>
      <c r="K200" s="8" t="str">
        <f t="shared" si="3"/>
        <v>Jan</v>
      </c>
      <c r="L200" s="8">
        <f t="shared" si="4"/>
        <v>2025</v>
      </c>
      <c r="N200" s="8" t="str">
        <f t="array" ref="N200">XLOOKUP(C200,Customer_Dim!A:A,Customer_Dim!B:B,"Not Found")</f>
        <v>Eric Holmes</v>
      </c>
      <c r="O200" s="8" t="str">
        <f t="array" ref="O200">XLOOKUP(C200,Customer_Dim!A:A,Customer_Dim!E:E,"Not Found")</f>
        <v>Smithville</v>
      </c>
      <c r="P200" s="8" t="str">
        <f t="array" ref="P200">XLOOKUP(D200,Product_Dim!A:A,Product_Dim!B:B,"Not Found")</f>
        <v>Badminton Racket Set</v>
      </c>
      <c r="Q200" s="8" t="str">
        <f t="array" ref="Q200">XLOOKUP(D200,Product_Dim!A:A,Product_Dim!C:C,"Not Found")</f>
        <v>Sports</v>
      </c>
      <c r="R200" s="8" t="str">
        <f t="array" ref="R200">XLOOKUP(E200,Store_Dim!A:A,Store_Dim!B:B,"Not Found")</f>
        <v>East</v>
      </c>
      <c r="S200" s="8" t="str">
        <f t="array" ref="S200">XLOOKUP(E200,Store_Dim!A:A,Store_Dim!D:D,"Not Found")</f>
        <v>Online</v>
      </c>
    </row>
    <row r="201" ht="14.25" customHeight="1">
      <c r="A201" s="8" t="s">
        <v>2154</v>
      </c>
      <c r="B201" s="12">
        <v>45679.0</v>
      </c>
      <c r="C201" s="8" t="s">
        <v>160</v>
      </c>
      <c r="D201" s="8" t="s">
        <v>1787</v>
      </c>
      <c r="E201" s="8" t="s">
        <v>1915</v>
      </c>
      <c r="F201" s="8">
        <v>2.0</v>
      </c>
      <c r="G201" s="8">
        <v>397.63</v>
      </c>
      <c r="H201" s="8">
        <v>0.26</v>
      </c>
      <c r="I201" s="8">
        <f t="shared" si="1"/>
        <v>795.26</v>
      </c>
      <c r="J201" s="8">
        <f t="shared" si="2"/>
        <v>-206.5076</v>
      </c>
      <c r="K201" s="8" t="str">
        <f t="shared" si="3"/>
        <v>Jan</v>
      </c>
      <c r="L201" s="8">
        <f t="shared" si="4"/>
        <v>2025</v>
      </c>
      <c r="N201" s="8" t="str">
        <f t="array" ref="N201">XLOOKUP(C201,Customer_Dim!A:A,Customer_Dim!B:B,"Not Found")</f>
        <v>Deanna Simpson</v>
      </c>
      <c r="O201" s="8" t="str">
        <f t="array" ref="O201">XLOOKUP(C201,Customer_Dim!A:A,Customer_Dim!E:E,"Not Found")</f>
        <v>Brownport</v>
      </c>
      <c r="P201" s="8" t="str">
        <f t="array" ref="P201">XLOOKUP(D201,Product_Dim!A:A,Product_Dim!B:B,"Not Found")</f>
        <v>Women's Hair Dryer Brush</v>
      </c>
      <c r="Q201" s="8" t="str">
        <f t="array" ref="Q201">XLOOKUP(D201,Product_Dim!A:A,Product_Dim!C:C,"Not Found")</f>
        <v>Beauty</v>
      </c>
      <c r="R201" s="8" t="str">
        <f t="array" ref="R201">XLOOKUP(E201,Store_Dim!A:A,Store_Dim!B:B,"Not Found")</f>
        <v>North</v>
      </c>
      <c r="S201" s="8" t="str">
        <f t="array" ref="S201">XLOOKUP(E201,Store_Dim!A:A,Store_Dim!D:D,"Not Found")</f>
        <v>Outlet</v>
      </c>
    </row>
    <row r="202" ht="14.25" customHeight="1">
      <c r="A202" s="8" t="s">
        <v>2155</v>
      </c>
      <c r="B202" s="12">
        <v>45680.0</v>
      </c>
      <c r="C202" s="8" t="s">
        <v>577</v>
      </c>
      <c r="D202" s="8" t="s">
        <v>1839</v>
      </c>
      <c r="E202" s="8" t="s">
        <v>1917</v>
      </c>
      <c r="F202" s="8">
        <v>3.0</v>
      </c>
      <c r="G202" s="8">
        <v>748.56</v>
      </c>
      <c r="H202" s="8">
        <v>0.26</v>
      </c>
      <c r="I202" s="8">
        <f t="shared" si="1"/>
        <v>2245.68</v>
      </c>
      <c r="J202" s="8">
        <f t="shared" si="2"/>
        <v>-583.6168</v>
      </c>
      <c r="K202" s="8" t="str">
        <f t="shared" si="3"/>
        <v>Jan</v>
      </c>
      <c r="L202" s="8">
        <f t="shared" si="4"/>
        <v>2025</v>
      </c>
      <c r="N202" s="8" t="str">
        <f t="array" ref="N202">XLOOKUP(C202,Customer_Dim!A:A,Customer_Dim!B:B,"Not Found")</f>
        <v>Christopher Garcia DDS</v>
      </c>
      <c r="O202" s="8" t="str">
        <f t="array" ref="O202">XLOOKUP(C202,Customer_Dim!A:A,Customer_Dim!E:E,"Not Found")</f>
        <v>New Joseph</v>
      </c>
      <c r="P202" s="8" t="str">
        <f t="array" ref="P202">XLOOKUP(D202,Product_Dim!A:A,Product_Dim!B:B,"Not Found")</f>
        <v>Hydrating Face Cleanser</v>
      </c>
      <c r="Q202" s="8" t="str">
        <f t="array" ref="Q202">XLOOKUP(D202,Product_Dim!A:A,Product_Dim!C:C,"Not Found")</f>
        <v>Beauty</v>
      </c>
      <c r="R202" s="8" t="str">
        <f t="array" ref="R202">XLOOKUP(E202,Store_Dim!A:A,Store_Dim!B:B,"Not Found")</f>
        <v>East</v>
      </c>
      <c r="S202" s="8" t="str">
        <f t="array" ref="S202">XLOOKUP(E202,Store_Dim!A:A,Store_Dim!D:D,"Not Found")</f>
        <v>Online</v>
      </c>
    </row>
    <row r="203" ht="14.25" customHeight="1">
      <c r="A203" s="8" t="s">
        <v>2156</v>
      </c>
      <c r="B203" s="12">
        <v>45681.0</v>
      </c>
      <c r="C203" s="8" t="s">
        <v>499</v>
      </c>
      <c r="D203" s="8" t="s">
        <v>1684</v>
      </c>
      <c r="E203" s="8" t="s">
        <v>1912</v>
      </c>
      <c r="F203" s="8">
        <v>1.0</v>
      </c>
      <c r="G203" s="8">
        <v>885.72</v>
      </c>
      <c r="H203" s="8">
        <v>0.15</v>
      </c>
      <c r="I203" s="8">
        <f t="shared" si="1"/>
        <v>885.72</v>
      </c>
      <c r="J203" s="8">
        <f t="shared" si="2"/>
        <v>-132.708</v>
      </c>
      <c r="K203" s="8" t="str">
        <f t="shared" si="3"/>
        <v>Jan</v>
      </c>
      <c r="L203" s="8">
        <f t="shared" si="4"/>
        <v>2025</v>
      </c>
      <c r="N203" s="8" t="str">
        <f t="array" ref="N203">XLOOKUP(C203,Customer_Dim!A:A,Customer_Dim!B:B,"Not Found")</f>
        <v>Justin Cross</v>
      </c>
      <c r="O203" s="8" t="str">
        <f t="array" ref="O203">XLOOKUP(C203,Customer_Dim!A:A,Customer_Dim!E:E,"Not Found")</f>
        <v>North Anthonychester</v>
      </c>
      <c r="P203" s="8" t="str">
        <f t="array" ref="P203">XLOOKUP(D203,Product_Dim!A:A,Product_Dim!B:B,"Not Found")</f>
        <v>Modern Wall Clock</v>
      </c>
      <c r="Q203" s="8" t="str">
        <f t="array" ref="Q203">XLOOKUP(D203,Product_Dim!A:A,Product_Dim!C:C,"Not Found")</f>
        <v>Home</v>
      </c>
      <c r="R203" s="8" t="str">
        <f t="array" ref="R203">XLOOKUP(E203,Store_Dim!A:A,Store_Dim!B:B,"Not Found")</f>
        <v>South</v>
      </c>
      <c r="S203" s="8" t="str">
        <f t="array" ref="S203">XLOOKUP(E203,Store_Dim!A:A,Store_Dim!D:D,"Not Found")</f>
        <v>Online</v>
      </c>
    </row>
    <row r="204" ht="14.25" customHeight="1">
      <c r="A204" s="8" t="s">
        <v>2157</v>
      </c>
      <c r="B204" s="12">
        <v>45682.0</v>
      </c>
      <c r="C204" s="8" t="s">
        <v>391</v>
      </c>
      <c r="D204" s="8" t="s">
        <v>1775</v>
      </c>
      <c r="E204" s="8" t="s">
        <v>1903</v>
      </c>
      <c r="F204" s="8">
        <v>4.0</v>
      </c>
      <c r="G204" s="8">
        <v>408.07</v>
      </c>
      <c r="H204" s="8">
        <v>0.28</v>
      </c>
      <c r="I204" s="8">
        <f t="shared" si="1"/>
        <v>1632.28</v>
      </c>
      <c r="J204" s="8">
        <f t="shared" si="2"/>
        <v>-456.7584</v>
      </c>
      <c r="K204" s="8" t="str">
        <f t="shared" si="3"/>
        <v>Jan</v>
      </c>
      <c r="L204" s="8">
        <f t="shared" si="4"/>
        <v>2025</v>
      </c>
      <c r="N204" s="8" t="str">
        <f t="array" ref="N204">XLOOKUP(C204,Customer_Dim!A:A,Customer_Dim!B:B,"Not Found")</f>
        <v>Travis Holland</v>
      </c>
      <c r="O204" s="8" t="str">
        <f t="array" ref="O204">XLOOKUP(C204,Customer_Dim!A:A,Customer_Dim!E:E,"Not Found")</f>
        <v>Webstermouth</v>
      </c>
      <c r="P204" s="8" t="str">
        <f t="array" ref="P204">XLOOKUP(D204,Product_Dim!A:A,Product_Dim!B:B,"Not Found")</f>
        <v>Laptop Cooling Pad</v>
      </c>
      <c r="Q204" s="8" t="str">
        <f t="array" ref="Q204">XLOOKUP(D204,Product_Dim!A:A,Product_Dim!C:C,"Not Found")</f>
        <v>Electronics</v>
      </c>
      <c r="R204" s="8" t="str">
        <f t="array" ref="R204">XLOOKUP(E204,Store_Dim!A:A,Store_Dim!B:B,"Not Found")</f>
        <v>North</v>
      </c>
      <c r="S204" s="8" t="str">
        <f t="array" ref="S204">XLOOKUP(E204,Store_Dim!A:A,Store_Dim!D:D,"Not Found")</f>
        <v>Flagship</v>
      </c>
    </row>
    <row r="205" ht="14.25" customHeight="1">
      <c r="A205" s="8" t="s">
        <v>2158</v>
      </c>
      <c r="B205" s="12">
        <v>45683.0</v>
      </c>
      <c r="C205" s="8" t="s">
        <v>1471</v>
      </c>
      <c r="D205" s="8" t="s">
        <v>1687</v>
      </c>
      <c r="E205" s="8" t="s">
        <v>1924</v>
      </c>
      <c r="F205" s="8">
        <v>2.0</v>
      </c>
      <c r="G205" s="8">
        <v>597.07</v>
      </c>
      <c r="H205" s="8">
        <v>0.28</v>
      </c>
      <c r="I205" s="8">
        <f t="shared" si="1"/>
        <v>1194.14</v>
      </c>
      <c r="J205" s="8">
        <f t="shared" si="2"/>
        <v>-334.0792</v>
      </c>
      <c r="K205" s="8" t="str">
        <f t="shared" si="3"/>
        <v>Jan</v>
      </c>
      <c r="L205" s="8">
        <f t="shared" si="4"/>
        <v>2025</v>
      </c>
      <c r="N205" s="8" t="str">
        <f t="array" ref="N205">XLOOKUP(C205,Customer_Dim!A:A,Customer_Dim!B:B,"Not Found")</f>
        <v>Philip Mendoza</v>
      </c>
      <c r="O205" s="8" t="str">
        <f t="array" ref="O205">XLOOKUP(C205,Customer_Dim!A:A,Customer_Dim!E:E,"Not Found")</f>
        <v>Tylermouth</v>
      </c>
      <c r="P205" s="8" t="str">
        <f t="array" ref="P205">XLOOKUP(D205,Product_Dim!A:A,Product_Dim!B:B,"Not Found")</f>
        <v>Gaming Mechanical Keyboard</v>
      </c>
      <c r="Q205" s="8" t="str">
        <f t="array" ref="Q205">XLOOKUP(D205,Product_Dim!A:A,Product_Dim!C:C,"Not Found")</f>
        <v>Electronics</v>
      </c>
      <c r="R205" s="8" t="str">
        <f t="array" ref="R205">XLOOKUP(E205,Store_Dim!A:A,Store_Dim!B:B,"Not Found")</f>
        <v>South</v>
      </c>
      <c r="S205" s="8" t="str">
        <f t="array" ref="S205">XLOOKUP(E205,Store_Dim!A:A,Store_Dim!D:D,"Not Found")</f>
        <v>Flagship</v>
      </c>
    </row>
    <row r="206" ht="14.25" customHeight="1">
      <c r="A206" s="8" t="s">
        <v>2159</v>
      </c>
      <c r="B206" s="12">
        <v>45684.0</v>
      </c>
      <c r="C206" s="8" t="s">
        <v>106</v>
      </c>
      <c r="D206" s="8" t="s">
        <v>1790</v>
      </c>
      <c r="E206" s="8" t="s">
        <v>1924</v>
      </c>
      <c r="F206" s="8">
        <v>3.0</v>
      </c>
      <c r="G206" s="8">
        <v>723.47</v>
      </c>
      <c r="H206" s="8">
        <v>0.12</v>
      </c>
      <c r="I206" s="8">
        <f t="shared" si="1"/>
        <v>2170.41</v>
      </c>
      <c r="J206" s="8">
        <f t="shared" si="2"/>
        <v>-260.3292</v>
      </c>
      <c r="K206" s="8" t="str">
        <f t="shared" si="3"/>
        <v>Jan</v>
      </c>
      <c r="L206" s="8">
        <f t="shared" si="4"/>
        <v>2025</v>
      </c>
      <c r="N206" s="8" t="str">
        <f t="array" ref="N206">XLOOKUP(C206,Customer_Dim!A:A,Customer_Dim!B:B,"Not Found")</f>
        <v>   paul fox</v>
      </c>
      <c r="O206" s="8" t="str">
        <f t="array" ref="O206">XLOOKUP(C206,Customer_Dim!A:A,Customer_Dim!E:E,"Not Found")</f>
        <v>Michaelton</v>
      </c>
      <c r="P206" s="8" t="str">
        <f t="array" ref="P206">XLOOKUP(D206,Product_Dim!A:A,Product_Dim!B:B,"Not Found")</f>
        <v>Smart LED Light Strip</v>
      </c>
      <c r="Q206" s="8" t="str">
        <f t="array" ref="Q206">XLOOKUP(D206,Product_Dim!A:A,Product_Dim!C:C,"Not Found")</f>
        <v>Electronics</v>
      </c>
      <c r="R206" s="8" t="str">
        <f t="array" ref="R206">XLOOKUP(E206,Store_Dim!A:A,Store_Dim!B:B,"Not Found")</f>
        <v>South</v>
      </c>
      <c r="S206" s="8" t="str">
        <f t="array" ref="S206">XLOOKUP(E206,Store_Dim!A:A,Store_Dim!D:D,"Not Found")</f>
        <v>Flagship</v>
      </c>
    </row>
    <row r="207" ht="14.25" customHeight="1">
      <c r="A207" s="8" t="s">
        <v>2160</v>
      </c>
      <c r="B207" s="12">
        <v>45685.0</v>
      </c>
      <c r="C207" s="8" t="s">
        <v>1371</v>
      </c>
      <c r="D207" s="8" t="s">
        <v>1854</v>
      </c>
      <c r="E207" s="8" t="s">
        <v>1915</v>
      </c>
      <c r="F207" s="8">
        <v>1.0</v>
      </c>
      <c r="G207" s="8">
        <v>479.93</v>
      </c>
      <c r="H207" s="8">
        <v>0.22</v>
      </c>
      <c r="I207" s="8">
        <f t="shared" si="1"/>
        <v>479.93</v>
      </c>
      <c r="J207" s="8">
        <f t="shared" si="2"/>
        <v>-105.3646</v>
      </c>
      <c r="K207" s="8" t="str">
        <f t="shared" si="3"/>
        <v>Jan</v>
      </c>
      <c r="L207" s="8">
        <f t="shared" si="4"/>
        <v>2025</v>
      </c>
      <c r="N207" s="8" t="str">
        <f t="array" ref="N207">XLOOKUP(C207,Customer_Dim!A:A,Customer_Dim!B:B,"Not Found")</f>
        <v>Melinda Rivera</v>
      </c>
      <c r="O207" s="8" t="str">
        <f t="array" ref="O207">XLOOKUP(C207,Customer_Dim!A:A,Customer_Dim!E:E,"Not Found")</f>
        <v>East Davidmouth</v>
      </c>
      <c r="P207" s="8" t="str">
        <f t="array" ref="P207">XLOOKUP(D207,Product_Dim!A:A,Product_Dim!B:B,"Not Found")</f>
        <v>Sports Wrist Sweatbands</v>
      </c>
      <c r="Q207" s="8" t="str">
        <f t="array" ref="Q207">XLOOKUP(D207,Product_Dim!A:A,Product_Dim!C:C,"Not Found")</f>
        <v>Sports</v>
      </c>
      <c r="R207" s="8" t="str">
        <f t="array" ref="R207">XLOOKUP(E207,Store_Dim!A:A,Store_Dim!B:B,"Not Found")</f>
        <v>North</v>
      </c>
      <c r="S207" s="8" t="str">
        <f t="array" ref="S207">XLOOKUP(E207,Store_Dim!A:A,Store_Dim!D:D,"Not Found")</f>
        <v>Outlet</v>
      </c>
    </row>
    <row r="208" ht="14.25" customHeight="1">
      <c r="A208" s="8" t="s">
        <v>2161</v>
      </c>
      <c r="B208" s="12">
        <v>45686.0</v>
      </c>
      <c r="C208" s="8" t="s">
        <v>794</v>
      </c>
      <c r="D208" s="8" t="s">
        <v>1687</v>
      </c>
      <c r="E208" s="8" t="s">
        <v>1935</v>
      </c>
      <c r="F208" s="8">
        <v>4.0</v>
      </c>
      <c r="G208" s="8">
        <v>362.81</v>
      </c>
      <c r="H208" s="8">
        <v>0.21</v>
      </c>
      <c r="I208" s="8">
        <f t="shared" si="1"/>
        <v>1451.24</v>
      </c>
      <c r="J208" s="8">
        <f t="shared" si="2"/>
        <v>-304.5504</v>
      </c>
      <c r="K208" s="8" t="str">
        <f t="shared" si="3"/>
        <v>Jan</v>
      </c>
      <c r="L208" s="8">
        <f t="shared" si="4"/>
        <v>2025</v>
      </c>
      <c r="N208" s="8" t="str">
        <f t="array" ref="N208">XLOOKUP(C208,Customer_Dim!A:A,Customer_Dim!B:B,"Not Found")</f>
        <v>Brian Hammond</v>
      </c>
      <c r="O208" s="8" t="str">
        <f t="array" ref="O208">XLOOKUP(C208,Customer_Dim!A:A,Customer_Dim!E:E,"Not Found")</f>
        <v>North Nicholas</v>
      </c>
      <c r="P208" s="8" t="str">
        <f t="array" ref="P208">XLOOKUP(D208,Product_Dim!A:A,Product_Dim!B:B,"Not Found")</f>
        <v>Gaming Mechanical Keyboard</v>
      </c>
      <c r="Q208" s="8" t="str">
        <f t="array" ref="Q208">XLOOKUP(D208,Product_Dim!A:A,Product_Dim!C:C,"Not Found")</f>
        <v>Electronics</v>
      </c>
      <c r="R208" s="8" t="str">
        <f t="array" ref="R208">XLOOKUP(E208,Store_Dim!A:A,Store_Dim!B:B,"Not Found")</f>
        <v>West</v>
      </c>
      <c r="S208" s="8" t="str">
        <f t="array" ref="S208">XLOOKUP(E208,Store_Dim!A:A,Store_Dim!D:D,"Not Found")</f>
        <v>Flagship</v>
      </c>
    </row>
    <row r="209" ht="14.25" customHeight="1">
      <c r="A209" s="8" t="s">
        <v>2162</v>
      </c>
      <c r="B209" s="12">
        <v>45687.0</v>
      </c>
      <c r="C209" s="8" t="s">
        <v>622</v>
      </c>
      <c r="D209" s="8" t="s">
        <v>1827</v>
      </c>
      <c r="E209" s="8" t="s">
        <v>1910</v>
      </c>
      <c r="F209" s="8">
        <v>1.0</v>
      </c>
      <c r="G209" s="8">
        <v>127.11</v>
      </c>
      <c r="H209" s="8">
        <v>0.01</v>
      </c>
      <c r="I209" s="8">
        <f t="shared" si="1"/>
        <v>127.11</v>
      </c>
      <c r="J209" s="8">
        <f t="shared" si="2"/>
        <v>-1.2611</v>
      </c>
      <c r="K209" s="8" t="str">
        <f t="shared" si="3"/>
        <v>Jan</v>
      </c>
      <c r="L209" s="8">
        <f t="shared" si="4"/>
        <v>2025</v>
      </c>
      <c r="N209" s="8" t="str">
        <f t="array" ref="N209">XLOOKUP(C209,Customer_Dim!A:A,Customer_Dim!B:B,"Not Found")</f>
        <v>Brent Rivas</v>
      </c>
      <c r="O209" s="8" t="str">
        <f t="array" ref="O209">XLOOKUP(C209,Customer_Dim!A:A,Customer_Dim!E:E,"Not Found")</f>
        <v>North Kellyberg</v>
      </c>
      <c r="P209" s="8" t="str">
        <f t="array" ref="P209">XLOOKUP(D209,Product_Dim!A:A,Product_Dim!B:B,"Not Found")</f>
        <v>Decorative Lamp Shade</v>
      </c>
      <c r="Q209" s="8" t="str">
        <f t="array" ref="Q209">XLOOKUP(D209,Product_Dim!A:A,Product_Dim!C:C,"Not Found")</f>
        <v>Home</v>
      </c>
      <c r="R209" s="8" t="str">
        <f t="array" ref="R209">XLOOKUP(E209,Store_Dim!A:A,Store_Dim!B:B,"Not Found")</f>
        <v>North</v>
      </c>
      <c r="S209" s="8" t="str">
        <f t="array" ref="S209">XLOOKUP(E209,Store_Dim!A:A,Store_Dim!D:D,"Not Found")</f>
        <v>Outlet</v>
      </c>
    </row>
    <row r="210" ht="14.25" customHeight="1">
      <c r="A210" s="8" t="s">
        <v>2163</v>
      </c>
      <c r="B210" s="12">
        <v>45688.0</v>
      </c>
      <c r="C210" s="8" t="s">
        <v>619</v>
      </c>
      <c r="D210" s="8" t="s">
        <v>1687</v>
      </c>
      <c r="E210" s="8" t="s">
        <v>1937</v>
      </c>
      <c r="F210" s="8">
        <v>4.0</v>
      </c>
      <c r="G210" s="8">
        <v>931.26</v>
      </c>
      <c r="H210" s="8">
        <v>0.04</v>
      </c>
      <c r="I210" s="8">
        <f t="shared" si="1"/>
        <v>3725.04</v>
      </c>
      <c r="J210" s="8">
        <f t="shared" si="2"/>
        <v>-148.9616</v>
      </c>
      <c r="K210" s="8" t="str">
        <f t="shared" si="3"/>
        <v>Jan</v>
      </c>
      <c r="L210" s="8">
        <f t="shared" si="4"/>
        <v>2025</v>
      </c>
      <c r="N210" s="8" t="str">
        <f t="array" ref="N210">XLOOKUP(C210,Customer_Dim!A:A,Customer_Dim!B:B,"Not Found")</f>
        <v>Leonard Cochran</v>
      </c>
      <c r="O210" s="8" t="str">
        <f t="array" ref="O210">XLOOKUP(C210,Customer_Dim!A:A,Customer_Dim!E:E,"Not Found")</f>
        <v>Port Sherryview</v>
      </c>
      <c r="P210" s="8" t="str">
        <f t="array" ref="P210">XLOOKUP(D210,Product_Dim!A:A,Product_Dim!B:B,"Not Found")</f>
        <v>Gaming Mechanical Keyboard</v>
      </c>
      <c r="Q210" s="8" t="str">
        <f t="array" ref="Q210">XLOOKUP(D210,Product_Dim!A:A,Product_Dim!C:C,"Not Found")</f>
        <v>Electronics</v>
      </c>
      <c r="R210" s="8" t="str">
        <f t="array" ref="R210">XLOOKUP(E210,Store_Dim!A:A,Store_Dim!B:B,"Not Found")</f>
        <v>North</v>
      </c>
      <c r="S210" s="8" t="str">
        <f t="array" ref="S210">XLOOKUP(E210,Store_Dim!A:A,Store_Dim!D:D,"Not Found")</f>
        <v>Flagship</v>
      </c>
    </row>
    <row r="211" ht="14.25" customHeight="1">
      <c r="A211" s="8" t="s">
        <v>2164</v>
      </c>
      <c r="B211" s="12">
        <v>45689.0</v>
      </c>
      <c r="C211" s="8" t="s">
        <v>1176</v>
      </c>
      <c r="D211" s="8" t="s">
        <v>1790</v>
      </c>
      <c r="E211" s="8" t="s">
        <v>1921</v>
      </c>
      <c r="F211" s="8">
        <v>1.0</v>
      </c>
      <c r="G211" s="8">
        <v>620.81</v>
      </c>
      <c r="H211" s="8">
        <v>0.04</v>
      </c>
      <c r="I211" s="8">
        <f t="shared" si="1"/>
        <v>620.81</v>
      </c>
      <c r="J211" s="8">
        <f t="shared" si="2"/>
        <v>-24.7924</v>
      </c>
      <c r="K211" s="8" t="str">
        <f t="shared" si="3"/>
        <v>Feb</v>
      </c>
      <c r="L211" s="8">
        <f t="shared" si="4"/>
        <v>2025</v>
      </c>
      <c r="N211" s="8" t="str">
        <f t="array" ref="N211">XLOOKUP(C211,Customer_Dim!A:A,Customer_Dim!B:B,"Not Found")</f>
        <v>Michael Garner</v>
      </c>
      <c r="O211" s="8" t="str">
        <f t="array" ref="O211">XLOOKUP(C211,Customer_Dim!A:A,Customer_Dim!E:E,"Not Found")</f>
        <v>Port Crystal</v>
      </c>
      <c r="P211" s="8" t="str">
        <f t="array" ref="P211">XLOOKUP(D211,Product_Dim!A:A,Product_Dim!B:B,"Not Found")</f>
        <v>Smart LED Light Strip</v>
      </c>
      <c r="Q211" s="8" t="str">
        <f t="array" ref="Q211">XLOOKUP(D211,Product_Dim!A:A,Product_Dim!C:C,"Not Found")</f>
        <v>Electronics</v>
      </c>
      <c r="R211" s="8" t="str">
        <f t="array" ref="R211">XLOOKUP(E211,Store_Dim!A:A,Store_Dim!B:B,"Not Found")</f>
        <v>West</v>
      </c>
      <c r="S211" s="8" t="str">
        <f t="array" ref="S211">XLOOKUP(E211,Store_Dim!A:A,Store_Dim!D:D,"Not Found")</f>
        <v>Online</v>
      </c>
    </row>
    <row r="212" ht="14.25" customHeight="1">
      <c r="A212" s="8" t="s">
        <v>2165</v>
      </c>
      <c r="B212" s="12">
        <v>45690.0</v>
      </c>
      <c r="C212" s="8" t="s">
        <v>348</v>
      </c>
      <c r="D212" s="8" t="s">
        <v>1739</v>
      </c>
      <c r="E212" s="8" t="s">
        <v>1906</v>
      </c>
      <c r="F212" s="8">
        <v>1.0</v>
      </c>
      <c r="G212" s="8">
        <v>823.26</v>
      </c>
      <c r="H212" s="8">
        <v>0.27</v>
      </c>
      <c r="I212" s="8">
        <f t="shared" si="1"/>
        <v>823.26</v>
      </c>
      <c r="J212" s="8">
        <f t="shared" si="2"/>
        <v>-222.0102</v>
      </c>
      <c r="K212" s="8" t="str">
        <f t="shared" si="3"/>
        <v>Feb</v>
      </c>
      <c r="L212" s="8">
        <f t="shared" si="4"/>
        <v>2025</v>
      </c>
      <c r="N212" s="8" t="str">
        <f t="array" ref="N212">XLOOKUP(C212,Customer_Dim!A:A,Customer_Dim!B:B,"Not Found")</f>
        <v>David Patterson</v>
      </c>
      <c r="O212" s="8" t="str">
        <f t="array" ref="O212">XLOOKUP(C212,Customer_Dim!A:A,Customer_Dim!E:E,"Not Found")</f>
        <v>New Amyport</v>
      </c>
      <c r="P212" s="8" t="str">
        <f t="array" ref="P212">XLOOKUP(D212,Product_Dim!A:A,Product_Dim!B:B,"Not Found")</f>
        <v>Boxing Hand Wraps</v>
      </c>
      <c r="Q212" s="8" t="str">
        <f t="array" ref="Q212">XLOOKUP(D212,Product_Dim!A:A,Product_Dim!C:C,"Not Found")</f>
        <v>Sports</v>
      </c>
      <c r="R212" s="8" t="str">
        <f t="array" ref="R212">XLOOKUP(E212,Store_Dim!A:A,Store_Dim!B:B,"Not Found")</f>
        <v>South</v>
      </c>
      <c r="S212" s="8" t="str">
        <f t="array" ref="S212">XLOOKUP(E212,Store_Dim!A:A,Store_Dim!D:D,"Not Found")</f>
        <v>Outlet</v>
      </c>
    </row>
    <row r="213" ht="14.25" customHeight="1">
      <c r="A213" s="8" t="s">
        <v>2166</v>
      </c>
      <c r="B213" s="12">
        <v>45691.0</v>
      </c>
      <c r="C213" s="8" t="s">
        <v>68</v>
      </c>
      <c r="D213" s="8" t="s">
        <v>1665</v>
      </c>
      <c r="E213" s="8" t="s">
        <v>1921</v>
      </c>
      <c r="F213" s="8">
        <v>3.0</v>
      </c>
      <c r="G213" s="8">
        <v>681.01</v>
      </c>
      <c r="H213" s="8">
        <v>0.27</v>
      </c>
      <c r="I213" s="8">
        <f t="shared" si="1"/>
        <v>2043.03</v>
      </c>
      <c r="J213" s="8">
        <f t="shared" si="2"/>
        <v>-551.3481</v>
      </c>
      <c r="K213" s="8" t="str">
        <f t="shared" si="3"/>
        <v>Feb</v>
      </c>
      <c r="L213" s="8">
        <f t="shared" si="4"/>
        <v>2025</v>
      </c>
      <c r="N213" s="8" t="str">
        <f t="array" ref="N213">XLOOKUP(C213,Customer_Dim!A:A,Customer_Dim!B:B,"Not Found")</f>
        <v>Kenneth Lambert</v>
      </c>
      <c r="O213" s="8" t="str">
        <f t="array" ref="O213">XLOOKUP(C213,Customer_Dim!A:A,Customer_Dim!E:E,"Not Found")</f>
        <v>North Kathryn</v>
      </c>
      <c r="P213" s="8" t="str">
        <f t="array" ref="P213">XLOOKUP(D213,Product_Dim!A:A,Product_Dim!B:B,"Not Found")</f>
        <v>Decorative Floor Vase</v>
      </c>
      <c r="Q213" s="8" t="str">
        <f t="array" ref="Q213">XLOOKUP(D213,Product_Dim!A:A,Product_Dim!C:C,"Not Found")</f>
        <v>Home</v>
      </c>
      <c r="R213" s="8" t="str">
        <f t="array" ref="R213">XLOOKUP(E213,Store_Dim!A:A,Store_Dim!B:B,"Not Found")</f>
        <v>West</v>
      </c>
      <c r="S213" s="8" t="str">
        <f t="array" ref="S213">XLOOKUP(E213,Store_Dim!A:A,Store_Dim!D:D,"Not Found")</f>
        <v>Online</v>
      </c>
    </row>
    <row r="214" ht="14.25" customHeight="1">
      <c r="A214" s="8" t="s">
        <v>2167</v>
      </c>
      <c r="B214" s="12">
        <v>45692.0</v>
      </c>
      <c r="C214" s="8" t="s">
        <v>1384</v>
      </c>
      <c r="D214" s="8" t="s">
        <v>1757</v>
      </c>
      <c r="E214" s="8" t="s">
        <v>1941</v>
      </c>
      <c r="F214" s="8">
        <v>4.0</v>
      </c>
      <c r="G214" s="8">
        <v>119.83</v>
      </c>
      <c r="H214" s="8">
        <v>0.13</v>
      </c>
      <c r="I214" s="8">
        <f t="shared" si="1"/>
        <v>479.32</v>
      </c>
      <c r="J214" s="8">
        <f t="shared" si="2"/>
        <v>-62.1816</v>
      </c>
      <c r="K214" s="8" t="str">
        <f t="shared" si="3"/>
        <v>Feb</v>
      </c>
      <c r="L214" s="8">
        <f t="shared" si="4"/>
        <v>2025</v>
      </c>
      <c r="N214" s="8" t="str">
        <f t="array" ref="N214">XLOOKUP(C214,Customer_Dim!A:A,Customer_Dim!B:B,"Not Found")</f>
        <v>Kelli Smith</v>
      </c>
      <c r="O214" s="8" t="str">
        <f t="array" ref="O214">XLOOKUP(C214,Customer_Dim!A:A,Customer_Dim!E:E,"Not Found")</f>
        <v>North Maryfort</v>
      </c>
      <c r="P214" s="8" t="str">
        <f t="array" ref="P214">XLOOKUP(D214,Product_Dim!A:A,Product_Dim!B:B,"Not Found")</f>
        <v>Premium Blanket Throw</v>
      </c>
      <c r="Q214" s="8" t="str">
        <f t="array" ref="Q214">XLOOKUP(D214,Product_Dim!A:A,Product_Dim!C:C,"Not Found")</f>
        <v>Home</v>
      </c>
      <c r="R214" s="8" t="str">
        <f t="array" ref="R214">XLOOKUP(E214,Store_Dim!A:A,Store_Dim!B:B,"Not Found")</f>
        <v>East</v>
      </c>
      <c r="S214" s="8" t="str">
        <f t="array" ref="S214">XLOOKUP(E214,Store_Dim!A:A,Store_Dim!D:D,"Not Found")</f>
        <v>Online</v>
      </c>
    </row>
    <row r="215" ht="14.25" customHeight="1">
      <c r="A215" s="8" t="s">
        <v>2168</v>
      </c>
      <c r="B215" s="12">
        <v>45693.0</v>
      </c>
      <c r="C215" s="8" t="s">
        <v>984</v>
      </c>
      <c r="D215" s="8" t="s">
        <v>1824</v>
      </c>
      <c r="E215" s="8" t="s">
        <v>1906</v>
      </c>
      <c r="F215" s="8">
        <v>1.0</v>
      </c>
      <c r="G215" s="8">
        <v>575.66</v>
      </c>
      <c r="H215" s="8">
        <v>0.03</v>
      </c>
      <c r="I215" s="8">
        <f t="shared" si="1"/>
        <v>575.66</v>
      </c>
      <c r="J215" s="8">
        <f t="shared" si="2"/>
        <v>-17.2398</v>
      </c>
      <c r="K215" s="8" t="str">
        <f t="shared" si="3"/>
        <v>Feb</v>
      </c>
      <c r="L215" s="8">
        <f t="shared" si="4"/>
        <v>2025</v>
      </c>
      <c r="N215" s="8" t="str">
        <f t="array" ref="N215">XLOOKUP(C215,Customer_Dim!A:A,Customer_Dim!B:B,"Not Found")</f>
        <v>Brandy Thompson</v>
      </c>
      <c r="O215" s="8" t="str">
        <f t="array" ref="O215">XLOOKUP(C215,Customer_Dim!A:A,Customer_Dim!E:E,"Not Found")</f>
        <v>West Patriciaview</v>
      </c>
      <c r="P215" s="8" t="str">
        <f t="array" ref="P215">XLOOKUP(D215,Product_Dim!A:A,Product_Dim!B:B,"Not Found")</f>
        <v>Essential Oil Diffuser</v>
      </c>
      <c r="Q215" s="8" t="str">
        <f t="array" ref="Q215">XLOOKUP(D215,Product_Dim!A:A,Product_Dim!C:C,"Not Found")</f>
        <v>Home</v>
      </c>
      <c r="R215" s="8" t="str">
        <f t="array" ref="R215">XLOOKUP(E215,Store_Dim!A:A,Store_Dim!B:B,"Not Found")</f>
        <v>South</v>
      </c>
      <c r="S215" s="8" t="str">
        <f t="array" ref="S215">XLOOKUP(E215,Store_Dim!A:A,Store_Dim!D:D,"Not Found")</f>
        <v>Outlet</v>
      </c>
    </row>
    <row r="216" ht="14.25" customHeight="1">
      <c r="A216" s="8" t="s">
        <v>2169</v>
      </c>
      <c r="B216" s="12">
        <v>45694.0</v>
      </c>
      <c r="C216" s="8" t="s">
        <v>663</v>
      </c>
      <c r="D216" s="8" t="s">
        <v>1732</v>
      </c>
      <c r="E216" s="8" t="s">
        <v>1935</v>
      </c>
      <c r="F216" s="8">
        <v>1.0</v>
      </c>
      <c r="G216" s="8">
        <v>775.84</v>
      </c>
      <c r="H216" s="8">
        <v>0.26</v>
      </c>
      <c r="I216" s="8">
        <f t="shared" si="1"/>
        <v>775.84</v>
      </c>
      <c r="J216" s="8">
        <f t="shared" si="2"/>
        <v>-201.4584</v>
      </c>
      <c r="K216" s="8" t="str">
        <f t="shared" si="3"/>
        <v>Feb</v>
      </c>
      <c r="L216" s="8">
        <f t="shared" si="4"/>
        <v>2025</v>
      </c>
      <c r="N216" s="8" t="str">
        <f t="array" ref="N216">XLOOKUP(C216,Customer_Dim!A:A,Customer_Dim!B:B,"Not Found")</f>
        <v>Carmen Price</v>
      </c>
      <c r="O216" s="8" t="str">
        <f t="array" ref="O216">XLOOKUP(C216,Customer_Dim!A:A,Customer_Dim!E:E,"Not Found")</f>
        <v>North Briannamouth</v>
      </c>
      <c r="P216" s="8" t="str">
        <f t="array" ref="P216">XLOOKUP(D216,Product_Dim!A:A,Product_Dim!B:B,"Not Found")</f>
        <v>Car Dashboard Phone Holder</v>
      </c>
      <c r="Q216" s="8" t="str">
        <f t="array" ref="Q216">XLOOKUP(D216,Product_Dim!A:A,Product_Dim!C:C,"Not Found")</f>
        <v>Electronics</v>
      </c>
      <c r="R216" s="8" t="str">
        <f t="array" ref="R216">XLOOKUP(E216,Store_Dim!A:A,Store_Dim!B:B,"Not Found")</f>
        <v>West</v>
      </c>
      <c r="S216" s="8" t="str">
        <f t="array" ref="S216">XLOOKUP(E216,Store_Dim!A:A,Store_Dim!D:D,"Not Found")</f>
        <v>Flagship</v>
      </c>
    </row>
    <row r="217" ht="14.25" customHeight="1">
      <c r="A217" s="8" t="s">
        <v>2170</v>
      </c>
      <c r="B217" s="12">
        <v>45695.0</v>
      </c>
      <c r="C217" s="8" t="s">
        <v>1387</v>
      </c>
      <c r="D217" s="8" t="s">
        <v>1620</v>
      </c>
      <c r="E217" s="8" t="s">
        <v>1924</v>
      </c>
      <c r="F217" s="8">
        <v>3.0</v>
      </c>
      <c r="G217" s="8">
        <v>318.43</v>
      </c>
      <c r="H217" s="8">
        <v>0.05</v>
      </c>
      <c r="I217" s="8">
        <f t="shared" si="1"/>
        <v>955.29</v>
      </c>
      <c r="J217" s="8">
        <f t="shared" si="2"/>
        <v>-47.7145</v>
      </c>
      <c r="K217" s="8" t="str">
        <f t="shared" si="3"/>
        <v>Feb</v>
      </c>
      <c r="L217" s="8">
        <f t="shared" si="4"/>
        <v>2025</v>
      </c>
      <c r="N217" s="8" t="str">
        <f t="array" ref="N217">XLOOKUP(C217,Customer_Dim!A:A,Customer_Dim!B:B,"Not Found")</f>
        <v>Adam Castro</v>
      </c>
      <c r="O217" s="8" t="str">
        <f t="array" ref="O217">XLOOKUP(C217,Customer_Dim!A:A,Customer_Dim!E:E,"Not Found")</f>
        <v>New Donnabury</v>
      </c>
      <c r="P217" s="8" t="str">
        <f t="array" ref="P217">XLOOKUP(D217,Product_Dim!A:A,Product_Dim!B:B,"Not Found")</f>
        <v>Decorative Wall Mirror</v>
      </c>
      <c r="Q217" s="8" t="str">
        <f t="array" ref="Q217">XLOOKUP(D217,Product_Dim!A:A,Product_Dim!C:C,"Not Found")</f>
        <v>Home</v>
      </c>
      <c r="R217" s="8" t="str">
        <f t="array" ref="R217">XLOOKUP(E217,Store_Dim!A:A,Store_Dim!B:B,"Not Found")</f>
        <v>South</v>
      </c>
      <c r="S217" s="8" t="str">
        <f t="array" ref="S217">XLOOKUP(E217,Store_Dim!A:A,Store_Dim!D:D,"Not Found")</f>
        <v>Flagship</v>
      </c>
    </row>
    <row r="218" ht="14.25" customHeight="1">
      <c r="A218" s="8" t="s">
        <v>2171</v>
      </c>
      <c r="B218" s="12">
        <v>45696.0</v>
      </c>
      <c r="C218" s="8" t="s">
        <v>526</v>
      </c>
      <c r="D218" s="8" t="s">
        <v>1806</v>
      </c>
      <c r="E218" s="8" t="s">
        <v>1921</v>
      </c>
      <c r="F218" s="8">
        <v>3.0</v>
      </c>
      <c r="G218" s="8">
        <v>141.6</v>
      </c>
      <c r="H218" s="8">
        <v>0.08</v>
      </c>
      <c r="I218" s="8">
        <f t="shared" si="1"/>
        <v>424.8</v>
      </c>
      <c r="J218" s="8">
        <f t="shared" si="2"/>
        <v>-33.904</v>
      </c>
      <c r="K218" s="8" t="str">
        <f t="shared" si="3"/>
        <v>Feb</v>
      </c>
      <c r="L218" s="8">
        <f t="shared" si="4"/>
        <v>2025</v>
      </c>
      <c r="N218" s="8" t="str">
        <f t="array" ref="N218">XLOOKUP(C218,Customer_Dim!A:A,Customer_Dim!B:B,"Not Found")</f>
        <v>Joseph Faulkner</v>
      </c>
      <c r="O218" s="8" t="str">
        <f t="array" ref="O218">XLOOKUP(C218,Customer_Dim!A:A,Customer_Dim!E:E,"Not Found")</f>
        <v>New Leahfurt</v>
      </c>
      <c r="P218" s="8" t="str">
        <f t="array" ref="P218">XLOOKUP(D218,Product_Dim!A:A,Product_Dim!B:B,"Not Found")</f>
        <v>Professional Jump Rope</v>
      </c>
      <c r="Q218" s="8" t="str">
        <f t="array" ref="Q218">XLOOKUP(D218,Product_Dim!A:A,Product_Dim!C:C,"Not Found")</f>
        <v>Sports</v>
      </c>
      <c r="R218" s="8" t="str">
        <f t="array" ref="R218">XLOOKUP(E218,Store_Dim!A:A,Store_Dim!B:B,"Not Found")</f>
        <v>West</v>
      </c>
      <c r="S218" s="8" t="str">
        <f t="array" ref="S218">XLOOKUP(E218,Store_Dim!A:A,Store_Dim!D:D,"Not Found")</f>
        <v>Online</v>
      </c>
    </row>
    <row r="219" ht="14.25" customHeight="1">
      <c r="A219" s="8" t="s">
        <v>2172</v>
      </c>
      <c r="B219" s="12">
        <v>45697.0</v>
      </c>
      <c r="C219" s="8" t="s">
        <v>864</v>
      </c>
      <c r="D219" s="8" t="s">
        <v>1624</v>
      </c>
      <c r="E219" s="8" t="s">
        <v>1941</v>
      </c>
      <c r="F219" s="8">
        <v>1.0</v>
      </c>
      <c r="G219" s="8">
        <v>332.82</v>
      </c>
      <c r="H219" s="8">
        <v>0.14</v>
      </c>
      <c r="I219" s="8">
        <f t="shared" si="1"/>
        <v>332.82</v>
      </c>
      <c r="J219" s="8">
        <f t="shared" si="2"/>
        <v>-46.4548</v>
      </c>
      <c r="K219" s="8" t="str">
        <f t="shared" si="3"/>
        <v>Feb</v>
      </c>
      <c r="L219" s="8">
        <f t="shared" si="4"/>
        <v>2025</v>
      </c>
      <c r="N219" s="8" t="str">
        <f t="array" ref="N219">XLOOKUP(C219,Customer_Dim!A:A,Customer_Dim!B:B,"Not Found")</f>
        <v>Cynthia Payne</v>
      </c>
      <c r="O219" s="8" t="str">
        <f t="array" ref="O219">XLOOKUP(C219,Customer_Dim!A:A,Customer_Dim!E:E,"Not Found")</f>
        <v>South Gina</v>
      </c>
      <c r="P219" s="8" t="str">
        <f t="array" ref="P219">XLOOKUP(D219,Product_Dim!A:A,Product_Dim!B:B,"Not Found")</f>
        <v>4K Home Projector</v>
      </c>
      <c r="Q219" s="8" t="str">
        <f t="array" ref="Q219">XLOOKUP(D219,Product_Dim!A:A,Product_Dim!C:C,"Not Found")</f>
        <v>Electronics</v>
      </c>
      <c r="R219" s="8" t="str">
        <f t="array" ref="R219">XLOOKUP(E219,Store_Dim!A:A,Store_Dim!B:B,"Not Found")</f>
        <v>East</v>
      </c>
      <c r="S219" s="8" t="str">
        <f t="array" ref="S219">XLOOKUP(E219,Store_Dim!A:A,Store_Dim!D:D,"Not Found")</f>
        <v>Online</v>
      </c>
    </row>
    <row r="220" ht="14.25" customHeight="1">
      <c r="A220" s="8" t="s">
        <v>2173</v>
      </c>
      <c r="B220" s="12">
        <v>45698.0</v>
      </c>
      <c r="C220" s="8" t="s">
        <v>803</v>
      </c>
      <c r="D220" s="8" t="s">
        <v>1806</v>
      </c>
      <c r="E220" s="8" t="s">
        <v>1903</v>
      </c>
      <c r="F220" s="8">
        <v>4.0</v>
      </c>
      <c r="G220" s="8">
        <v>640.97</v>
      </c>
      <c r="H220" s="8">
        <v>0.11</v>
      </c>
      <c r="I220" s="8">
        <f t="shared" si="1"/>
        <v>2563.88</v>
      </c>
      <c r="J220" s="8">
        <f t="shared" si="2"/>
        <v>-281.9168</v>
      </c>
      <c r="K220" s="8" t="str">
        <f t="shared" si="3"/>
        <v>Feb</v>
      </c>
      <c r="L220" s="8">
        <f t="shared" si="4"/>
        <v>2025</v>
      </c>
      <c r="N220" s="8" t="str">
        <f t="array" ref="N220">XLOOKUP(C220,Customer_Dim!A:A,Customer_Dim!B:B,"Not Found")</f>
        <v>Mary Russell</v>
      </c>
      <c r="O220" s="8" t="str">
        <f t="array" ref="O220">XLOOKUP(C220,Customer_Dim!A:A,Customer_Dim!E:E,"Not Found")</f>
        <v>South Regina</v>
      </c>
      <c r="P220" s="8" t="str">
        <f t="array" ref="P220">XLOOKUP(D220,Product_Dim!A:A,Product_Dim!B:B,"Not Found")</f>
        <v>Professional Jump Rope</v>
      </c>
      <c r="Q220" s="8" t="str">
        <f t="array" ref="Q220">XLOOKUP(D220,Product_Dim!A:A,Product_Dim!C:C,"Not Found")</f>
        <v>Sports</v>
      </c>
      <c r="R220" s="8" t="str">
        <f t="array" ref="R220">XLOOKUP(E220,Store_Dim!A:A,Store_Dim!B:B,"Not Found")</f>
        <v>North</v>
      </c>
      <c r="S220" s="8" t="str">
        <f t="array" ref="S220">XLOOKUP(E220,Store_Dim!A:A,Store_Dim!D:D,"Not Found")</f>
        <v>Flagship</v>
      </c>
    </row>
    <row r="221" ht="14.25" customHeight="1">
      <c r="A221" s="8" t="s">
        <v>2174</v>
      </c>
      <c r="B221" s="12">
        <v>45699.0</v>
      </c>
      <c r="C221" s="8" t="s">
        <v>675</v>
      </c>
      <c r="D221" s="8" t="s">
        <v>1860</v>
      </c>
      <c r="E221" s="8" t="s">
        <v>1933</v>
      </c>
      <c r="F221" s="8">
        <v>4.0</v>
      </c>
      <c r="G221" s="8">
        <v>75.37</v>
      </c>
      <c r="H221" s="8">
        <v>0.02</v>
      </c>
      <c r="I221" s="8">
        <f t="shared" si="1"/>
        <v>301.48</v>
      </c>
      <c r="J221" s="8">
        <f t="shared" si="2"/>
        <v>-6.0096</v>
      </c>
      <c r="K221" s="8" t="str">
        <f t="shared" si="3"/>
        <v>Feb</v>
      </c>
      <c r="L221" s="8">
        <f t="shared" si="4"/>
        <v>2025</v>
      </c>
      <c r="N221" s="8" t="str">
        <f t="array" ref="N221">XLOOKUP(C221,Customer_Dim!A:A,Customer_Dim!B:B,"Not Found")</f>
        <v>Sarah Brady</v>
      </c>
      <c r="O221" s="8" t="str">
        <f t="array" ref="O221">XLOOKUP(C221,Customer_Dim!A:A,Customer_Dim!E:E,"Not Found")</f>
        <v>Johnsonland</v>
      </c>
      <c r="P221" s="8" t="str">
        <f t="array" ref="P221">XLOOKUP(D221,Product_Dim!A:A,Product_Dim!B:B,"Not Found")</f>
        <v>Gaming Mouse Pad XL</v>
      </c>
      <c r="Q221" s="8" t="str">
        <f t="array" ref="Q221">XLOOKUP(D221,Product_Dim!A:A,Product_Dim!C:C,"Not Found")</f>
        <v>Electronics</v>
      </c>
      <c r="R221" s="8" t="str">
        <f t="array" ref="R221">XLOOKUP(E221,Store_Dim!A:A,Store_Dim!B:B,"Not Found")</f>
        <v>North</v>
      </c>
      <c r="S221" s="8" t="str">
        <f t="array" ref="S221">XLOOKUP(E221,Store_Dim!A:A,Store_Dim!D:D,"Not Found")</f>
        <v>Flagship</v>
      </c>
    </row>
    <row r="222" ht="14.25" customHeight="1">
      <c r="A222" s="8" t="s">
        <v>2175</v>
      </c>
      <c r="B222" s="12">
        <v>45700.0</v>
      </c>
      <c r="C222" s="8" t="s">
        <v>285</v>
      </c>
      <c r="D222" s="8" t="s">
        <v>1989</v>
      </c>
      <c r="E222" s="8" t="s">
        <v>1939</v>
      </c>
      <c r="F222" s="8">
        <v>3.0</v>
      </c>
      <c r="G222" s="8">
        <v>434.55</v>
      </c>
      <c r="H222" s="8">
        <v>0.08</v>
      </c>
      <c r="I222" s="8">
        <f t="shared" si="1"/>
        <v>1303.65</v>
      </c>
      <c r="J222" s="8">
        <f t="shared" si="2"/>
        <v>-104.212</v>
      </c>
      <c r="K222" s="8" t="str">
        <f t="shared" si="3"/>
        <v>Feb</v>
      </c>
      <c r="L222" s="8">
        <f t="shared" si="4"/>
        <v>2025</v>
      </c>
      <c r="N222" s="8" t="str">
        <f t="array" ref="N222">XLOOKUP(C222,Customer_Dim!A:A,Customer_Dim!B:B,"Not Found")</f>
        <v>Rhonda Morales</v>
      </c>
      <c r="O222" s="8" t="str">
        <f t="array" ref="O222">XLOOKUP(C222,Customer_Dim!A:A,Customer_Dim!E:E,"Not Found")</f>
        <v>Lake Barryfurt</v>
      </c>
      <c r="P222" s="8" t="str">
        <f t="array" ref="P222">XLOOKUP(D222,Product_Dim!A:A,Product_Dim!B:B,"Not Found")</f>
        <v>Not Found</v>
      </c>
      <c r="Q222" s="8" t="str">
        <f t="array" ref="Q222">XLOOKUP(D222,Product_Dim!A:A,Product_Dim!C:C,"Not Found")</f>
        <v>Not Found</v>
      </c>
      <c r="R222" s="8" t="str">
        <f t="array" ref="R222">XLOOKUP(E222,Store_Dim!A:A,Store_Dim!B:B,"Not Found")</f>
        <v>East</v>
      </c>
      <c r="S222" s="8" t="str">
        <f t="array" ref="S222">XLOOKUP(E222,Store_Dim!A:A,Store_Dim!D:D,"Not Found")</f>
        <v>Flagship</v>
      </c>
    </row>
    <row r="223" ht="14.25" customHeight="1">
      <c r="A223" s="8" t="s">
        <v>2176</v>
      </c>
      <c r="B223" s="12">
        <v>45701.0</v>
      </c>
      <c r="C223" s="8" t="s">
        <v>363</v>
      </c>
      <c r="D223" s="8" t="s">
        <v>1662</v>
      </c>
      <c r="E223" s="8" t="s">
        <v>1932</v>
      </c>
      <c r="F223" s="8">
        <v>4.0</v>
      </c>
      <c r="G223" s="8">
        <v>652.28</v>
      </c>
      <c r="H223" s="8">
        <v>0.15</v>
      </c>
      <c r="I223" s="8">
        <f t="shared" si="1"/>
        <v>2609.12</v>
      </c>
      <c r="J223" s="8">
        <f t="shared" si="2"/>
        <v>-391.218</v>
      </c>
      <c r="K223" s="8" t="str">
        <f t="shared" si="3"/>
        <v>Feb</v>
      </c>
      <c r="L223" s="8">
        <f t="shared" si="4"/>
        <v>2025</v>
      </c>
      <c r="N223" s="8" t="str">
        <f t="array" ref="N223">XLOOKUP(C223,Customer_Dim!A:A,Customer_Dim!B:B,"Not Found")</f>
        <v>Sheila Wilson</v>
      </c>
      <c r="O223" s="8" t="str">
        <f t="array" ref="O223">XLOOKUP(C223,Customer_Dim!A:A,Customer_Dim!E:E,"Not Found")</f>
        <v>South Dustin</v>
      </c>
      <c r="P223" s="8" t="str">
        <f t="array" ref="P223">XLOOKUP(D223,Product_Dim!A:A,Product_Dim!B:B,"Not Found")</f>
        <v>Wireless Bluetooth Speaker</v>
      </c>
      <c r="Q223" s="8" t="str">
        <f t="array" ref="Q223">XLOOKUP(D223,Product_Dim!A:A,Product_Dim!C:C,"Not Found")</f>
        <v>Electronics</v>
      </c>
      <c r="R223" s="8" t="str">
        <f t="array" ref="R223">XLOOKUP(E223,Store_Dim!A:A,Store_Dim!B:B,"Not Found")</f>
        <v>South</v>
      </c>
      <c r="S223" s="8" t="str">
        <f t="array" ref="S223">XLOOKUP(E223,Store_Dim!A:A,Store_Dim!D:D,"Not Found")</f>
        <v>Outlet</v>
      </c>
    </row>
    <row r="224" ht="14.25" customHeight="1">
      <c r="A224" s="8" t="s">
        <v>2177</v>
      </c>
      <c r="B224" s="12">
        <v>45702.0</v>
      </c>
      <c r="C224" s="8" t="s">
        <v>872</v>
      </c>
      <c r="D224" s="8" t="s">
        <v>1818</v>
      </c>
      <c r="E224" s="8" t="s">
        <v>1937</v>
      </c>
      <c r="F224" s="8">
        <v>3.0</v>
      </c>
      <c r="G224" s="8">
        <v>207.8</v>
      </c>
      <c r="H224" s="8">
        <v>0.15</v>
      </c>
      <c r="I224" s="8">
        <f t="shared" si="1"/>
        <v>623.4</v>
      </c>
      <c r="J224" s="8">
        <f t="shared" si="2"/>
        <v>-93.36</v>
      </c>
      <c r="K224" s="8" t="str">
        <f t="shared" si="3"/>
        <v>Feb</v>
      </c>
      <c r="L224" s="8">
        <f t="shared" si="4"/>
        <v>2025</v>
      </c>
      <c r="N224" s="8" t="str">
        <f t="array" ref="N224">XLOOKUP(C224,Customer_Dim!A:A,Customer_Dim!B:B,"Not Found")</f>
        <v>Tyrone Olson</v>
      </c>
      <c r="O224" s="8" t="str">
        <f t="array" ref="O224">XLOOKUP(C224,Customer_Dim!A:A,Customer_Dim!E:E,"Not Found")</f>
        <v>Emilytown</v>
      </c>
      <c r="P224" s="8" t="str">
        <f t="array" ref="P224">XLOOKUP(D224,Product_Dim!A:A,Product_Dim!B:B,"Not Found")</f>
        <v>Wireless Mouse</v>
      </c>
      <c r="Q224" s="8" t="str">
        <f t="array" ref="Q224">XLOOKUP(D224,Product_Dim!A:A,Product_Dim!C:C,"Not Found")</f>
        <v>Electronics</v>
      </c>
      <c r="R224" s="8" t="str">
        <f t="array" ref="R224">XLOOKUP(E224,Store_Dim!A:A,Store_Dim!B:B,"Not Found")</f>
        <v>North</v>
      </c>
      <c r="S224" s="8" t="str">
        <f t="array" ref="S224">XLOOKUP(E224,Store_Dim!A:A,Store_Dim!D:D,"Not Found")</f>
        <v>Flagship</v>
      </c>
    </row>
    <row r="225" ht="14.25" customHeight="1">
      <c r="A225" s="8" t="s">
        <v>2178</v>
      </c>
      <c r="B225" s="12">
        <v>45703.0</v>
      </c>
      <c r="C225" s="8" t="s">
        <v>1537</v>
      </c>
      <c r="D225" s="8" t="s">
        <v>1772</v>
      </c>
      <c r="E225" s="8" t="s">
        <v>1933</v>
      </c>
      <c r="F225" s="8">
        <v>4.0</v>
      </c>
      <c r="G225" s="8">
        <v>385.5</v>
      </c>
      <c r="H225" s="8">
        <v>0.03</v>
      </c>
      <c r="I225" s="8">
        <f t="shared" si="1"/>
        <v>1542</v>
      </c>
      <c r="J225" s="8">
        <f t="shared" si="2"/>
        <v>-46.23</v>
      </c>
      <c r="K225" s="8" t="str">
        <f t="shared" si="3"/>
        <v>Feb</v>
      </c>
      <c r="L225" s="8">
        <f t="shared" si="4"/>
        <v>2025</v>
      </c>
      <c r="N225" s="8" t="str">
        <f t="array" ref="N225">XLOOKUP(C225,Customer_Dim!A:A,Customer_Dim!B:B,"Not Found")</f>
        <v>James Berger</v>
      </c>
      <c r="O225" s="8" t="str">
        <f t="array" ref="O225">XLOOKUP(C225,Customer_Dim!A:A,Customer_Dim!E:E,"Not Found")</f>
        <v>Bryanmouth</v>
      </c>
      <c r="P225" s="8" t="str">
        <f t="array" ref="P225">XLOOKUP(D225,Product_Dim!A:A,Product_Dim!B:B,"Not Found")</f>
        <v>Tennis Ball 3-Pack</v>
      </c>
      <c r="Q225" s="8" t="str">
        <f t="array" ref="Q225">XLOOKUP(D225,Product_Dim!A:A,Product_Dim!C:C,"Not Found")</f>
        <v>Sports</v>
      </c>
      <c r="R225" s="8" t="str">
        <f t="array" ref="R225">XLOOKUP(E225,Store_Dim!A:A,Store_Dim!B:B,"Not Found")</f>
        <v>North</v>
      </c>
      <c r="S225" s="8" t="str">
        <f t="array" ref="S225">XLOOKUP(E225,Store_Dim!A:A,Store_Dim!D:D,"Not Found")</f>
        <v>Flagship</v>
      </c>
    </row>
    <row r="226" ht="14.25" customHeight="1">
      <c r="A226" s="8" t="s">
        <v>2179</v>
      </c>
      <c r="B226" s="12">
        <v>45704.0</v>
      </c>
      <c r="C226" s="8" t="s">
        <v>354</v>
      </c>
      <c r="D226" s="8" t="s">
        <v>1784</v>
      </c>
      <c r="E226" s="8" t="s">
        <v>1917</v>
      </c>
      <c r="F226" s="8">
        <v>3.0</v>
      </c>
      <c r="G226" s="8">
        <v>548.19</v>
      </c>
      <c r="H226" s="8">
        <v>0.12</v>
      </c>
      <c r="I226" s="8">
        <f t="shared" si="1"/>
        <v>1644.57</v>
      </c>
      <c r="J226" s="8">
        <f t="shared" si="2"/>
        <v>-197.2284</v>
      </c>
      <c r="K226" s="8" t="str">
        <f t="shared" si="3"/>
        <v>Feb</v>
      </c>
      <c r="L226" s="8">
        <f t="shared" si="4"/>
        <v>2025</v>
      </c>
      <c r="N226" s="8" t="str">
        <f t="array" ref="N226">XLOOKUP(C226,Customer_Dim!A:A,Customer_Dim!B:B,"Not Found")</f>
        <v>Samantha Walker</v>
      </c>
      <c r="O226" s="8" t="str">
        <f t="array" ref="O226">XLOOKUP(C226,Customer_Dim!A:A,Customer_Dim!E:E,"Not Found")</f>
        <v>Timothyburgh</v>
      </c>
      <c r="P226" s="8" t="str">
        <f t="array" ref="P226">XLOOKUP(D226,Product_Dim!A:A,Product_Dim!B:B,"Not Found")</f>
        <v>Adjustable Dumbbells 20kg</v>
      </c>
      <c r="Q226" s="8" t="str">
        <f t="array" ref="Q226">XLOOKUP(D226,Product_Dim!A:A,Product_Dim!C:C,"Not Found")</f>
        <v>Sports</v>
      </c>
      <c r="R226" s="8" t="str">
        <f t="array" ref="R226">XLOOKUP(E226,Store_Dim!A:A,Store_Dim!B:B,"Not Found")</f>
        <v>East</v>
      </c>
      <c r="S226" s="8" t="str">
        <f t="array" ref="S226">XLOOKUP(E226,Store_Dim!A:A,Store_Dim!D:D,"Not Found")</f>
        <v>Online</v>
      </c>
    </row>
    <row r="227" ht="14.25" customHeight="1">
      <c r="A227" s="8" t="s">
        <v>2180</v>
      </c>
      <c r="B227" s="12">
        <v>45705.0</v>
      </c>
      <c r="C227" s="8" t="s">
        <v>265</v>
      </c>
      <c r="D227" s="8" t="s">
        <v>1809</v>
      </c>
      <c r="E227" s="8" t="s">
        <v>1924</v>
      </c>
      <c r="F227" s="8">
        <v>3.0</v>
      </c>
      <c r="G227" s="8">
        <v>927.6</v>
      </c>
      <c r="H227" s="8">
        <v>0.09</v>
      </c>
      <c r="I227" s="8">
        <f t="shared" si="1"/>
        <v>2782.8</v>
      </c>
      <c r="J227" s="8">
        <f t="shared" si="2"/>
        <v>-250.362</v>
      </c>
      <c r="K227" s="8" t="str">
        <f t="shared" si="3"/>
        <v>Feb</v>
      </c>
      <c r="L227" s="8">
        <f t="shared" si="4"/>
        <v>2025</v>
      </c>
      <c r="N227" s="8" t="str">
        <f t="array" ref="N227">XLOOKUP(C227,Customer_Dim!A:A,Customer_Dim!B:B,"Not Found")</f>
        <v>Roy Cole</v>
      </c>
      <c r="O227" s="8" t="str">
        <f t="array" ref="O227">XLOOKUP(C227,Customer_Dim!A:A,Customer_Dim!E:E,"Not Found")</f>
        <v>North Cynthiatown</v>
      </c>
      <c r="P227" s="8" t="str">
        <f t="array" ref="P227">XLOOKUP(D227,Product_Dim!A:A,Product_Dim!B:B,"Not Found")</f>
        <v>Shin Guards – Adult</v>
      </c>
      <c r="Q227" s="8" t="str">
        <f t="array" ref="Q227">XLOOKUP(D227,Product_Dim!A:A,Product_Dim!C:C,"Not Found")</f>
        <v>Sports</v>
      </c>
      <c r="R227" s="8" t="str">
        <f t="array" ref="R227">XLOOKUP(E227,Store_Dim!A:A,Store_Dim!B:B,"Not Found")</f>
        <v>South</v>
      </c>
      <c r="S227" s="8" t="str">
        <f t="array" ref="S227">XLOOKUP(E227,Store_Dim!A:A,Store_Dim!D:D,"Not Found")</f>
        <v>Flagship</v>
      </c>
    </row>
    <row r="228" ht="14.25" customHeight="1">
      <c r="A228" s="8" t="s">
        <v>2181</v>
      </c>
      <c r="B228" s="12">
        <v>45706.0</v>
      </c>
      <c r="C228" s="8" t="s">
        <v>864</v>
      </c>
      <c r="D228" s="8" t="s">
        <v>1772</v>
      </c>
      <c r="E228" s="8" t="s">
        <v>1910</v>
      </c>
      <c r="F228" s="8">
        <v>4.0</v>
      </c>
      <c r="G228" s="8">
        <v>585.04</v>
      </c>
      <c r="H228" s="8">
        <v>0.22</v>
      </c>
      <c r="I228" s="8">
        <f t="shared" si="1"/>
        <v>2340.16</v>
      </c>
      <c r="J228" s="8">
        <f t="shared" si="2"/>
        <v>-514.6152</v>
      </c>
      <c r="K228" s="8" t="str">
        <f t="shared" si="3"/>
        <v>Feb</v>
      </c>
      <c r="L228" s="8">
        <f t="shared" si="4"/>
        <v>2025</v>
      </c>
      <c r="N228" s="8" t="str">
        <f t="array" ref="N228">XLOOKUP(C228,Customer_Dim!A:A,Customer_Dim!B:B,"Not Found")</f>
        <v>Cynthia Payne</v>
      </c>
      <c r="O228" s="8" t="str">
        <f t="array" ref="O228">XLOOKUP(C228,Customer_Dim!A:A,Customer_Dim!E:E,"Not Found")</f>
        <v>South Gina</v>
      </c>
      <c r="P228" s="8" t="str">
        <f t="array" ref="P228">XLOOKUP(D228,Product_Dim!A:A,Product_Dim!B:B,"Not Found")</f>
        <v>Tennis Ball 3-Pack</v>
      </c>
      <c r="Q228" s="8" t="str">
        <f t="array" ref="Q228">XLOOKUP(D228,Product_Dim!A:A,Product_Dim!C:C,"Not Found")</f>
        <v>Sports</v>
      </c>
      <c r="R228" s="8" t="str">
        <f t="array" ref="R228">XLOOKUP(E228,Store_Dim!A:A,Store_Dim!B:B,"Not Found")</f>
        <v>North</v>
      </c>
      <c r="S228" s="8" t="str">
        <f t="array" ref="S228">XLOOKUP(E228,Store_Dim!A:A,Store_Dim!D:D,"Not Found")</f>
        <v>Outlet</v>
      </c>
    </row>
    <row r="229" ht="14.25" customHeight="1">
      <c r="A229" s="8" t="s">
        <v>2182</v>
      </c>
      <c r="B229" s="12">
        <v>45707.0</v>
      </c>
      <c r="C229" s="8" t="s">
        <v>1549</v>
      </c>
      <c r="D229" s="8" t="s">
        <v>1703</v>
      </c>
      <c r="E229" s="8" t="s">
        <v>1906</v>
      </c>
      <c r="F229" s="8">
        <v>2.0</v>
      </c>
      <c r="G229" s="8">
        <v>999.89</v>
      </c>
      <c r="H229" s="8">
        <v>0.09</v>
      </c>
      <c r="I229" s="8">
        <f t="shared" si="1"/>
        <v>1999.78</v>
      </c>
      <c r="J229" s="8">
        <f t="shared" si="2"/>
        <v>-179.8902</v>
      </c>
      <c r="K229" s="8" t="str">
        <f t="shared" si="3"/>
        <v>Feb</v>
      </c>
      <c r="L229" s="8">
        <f t="shared" si="4"/>
        <v>2025</v>
      </c>
      <c r="N229" s="8" t="str">
        <f t="array" ref="N229">XLOOKUP(C229,Customer_Dim!A:A,Customer_Dim!B:B,"Not Found")</f>
        <v>Philip Pennington</v>
      </c>
      <c r="O229" s="8" t="str">
        <f t="array" ref="O229">XLOOKUP(C229,Customer_Dim!A:A,Customer_Dim!E:E,"Not Found")</f>
        <v>East Valerieview</v>
      </c>
      <c r="P229" s="8" t="str">
        <f t="array" ref="P229">XLOOKUP(D229,Product_Dim!A:A,Product_Dim!B:B,"Not Found")</f>
        <v>Portable Power Bank</v>
      </c>
      <c r="Q229" s="8" t="str">
        <f t="array" ref="Q229">XLOOKUP(D229,Product_Dim!A:A,Product_Dim!C:C,"Not Found")</f>
        <v>Electronics</v>
      </c>
      <c r="R229" s="8" t="str">
        <f t="array" ref="R229">XLOOKUP(E229,Store_Dim!A:A,Store_Dim!B:B,"Not Found")</f>
        <v>South</v>
      </c>
      <c r="S229" s="8" t="str">
        <f t="array" ref="S229">XLOOKUP(E229,Store_Dim!A:A,Store_Dim!D:D,"Not Found")</f>
        <v>Outlet</v>
      </c>
    </row>
    <row r="230" ht="14.25" customHeight="1">
      <c r="A230" s="8" t="s">
        <v>2183</v>
      </c>
      <c r="B230" s="12">
        <v>45708.0</v>
      </c>
      <c r="C230" s="8" t="s">
        <v>388</v>
      </c>
      <c r="D230" s="8" t="s">
        <v>1815</v>
      </c>
      <c r="E230" s="8" t="s">
        <v>1910</v>
      </c>
      <c r="F230" s="8">
        <v>2.0</v>
      </c>
      <c r="G230" s="8">
        <v>848.98</v>
      </c>
      <c r="H230" s="8">
        <v>0.04</v>
      </c>
      <c r="I230" s="8">
        <f t="shared" si="1"/>
        <v>1697.96</v>
      </c>
      <c r="J230" s="8">
        <f t="shared" si="2"/>
        <v>-67.8784</v>
      </c>
      <c r="K230" s="8" t="str">
        <f t="shared" si="3"/>
        <v>Feb</v>
      </c>
      <c r="L230" s="8">
        <f t="shared" si="4"/>
        <v>2025</v>
      </c>
      <c r="N230" s="8" t="str">
        <f t="array" ref="N230">XLOOKUP(C230,Customer_Dim!A:A,Customer_Dim!B:B,"Not Found")</f>
        <v>Erica Carney</v>
      </c>
      <c r="O230" s="8" t="str">
        <f t="array" ref="O230">XLOOKUP(C230,Customer_Dim!A:A,Customer_Dim!E:E,"Not Found")</f>
        <v>North Justin</v>
      </c>
      <c r="P230" s="8" t="str">
        <f t="array" ref="P230">XLOOKUP(D230,Product_Dim!A:A,Product_Dim!B:B,"Not Found")</f>
        <v>Women's Ankle Boots</v>
      </c>
      <c r="Q230" s="8" t="str">
        <f t="array" ref="Q230">XLOOKUP(D230,Product_Dim!A:A,Product_Dim!C:C,"Not Found")</f>
        <v>Clothing</v>
      </c>
      <c r="R230" s="8" t="str">
        <f t="array" ref="R230">XLOOKUP(E230,Store_Dim!A:A,Store_Dim!B:B,"Not Found")</f>
        <v>North</v>
      </c>
      <c r="S230" s="8" t="str">
        <f t="array" ref="S230">XLOOKUP(E230,Store_Dim!A:A,Store_Dim!D:D,"Not Found")</f>
        <v>Outlet</v>
      </c>
    </row>
    <row r="231" ht="14.25" customHeight="1">
      <c r="A231" s="8" t="s">
        <v>2184</v>
      </c>
      <c r="B231" s="12">
        <v>45709.0</v>
      </c>
      <c r="C231" s="8" t="s">
        <v>493</v>
      </c>
      <c r="D231" s="8" t="s">
        <v>1769</v>
      </c>
      <c r="E231" s="8" t="s">
        <v>1932</v>
      </c>
      <c r="F231" s="8">
        <v>3.0</v>
      </c>
      <c r="G231" s="8">
        <v>769.56</v>
      </c>
      <c r="H231" s="8">
        <v>0.08</v>
      </c>
      <c r="I231" s="8">
        <f t="shared" si="1"/>
        <v>2308.68</v>
      </c>
      <c r="J231" s="8">
        <f t="shared" si="2"/>
        <v>-184.6144</v>
      </c>
      <c r="K231" s="8" t="str">
        <f t="shared" si="3"/>
        <v>Feb</v>
      </c>
      <c r="L231" s="8">
        <f t="shared" si="4"/>
        <v>2025</v>
      </c>
      <c r="N231" s="8" t="str">
        <f t="array" ref="N231">XLOOKUP(C231,Customer_Dim!A:A,Customer_Dim!B:B,"Not Found")</f>
        <v>Maria Ramirez</v>
      </c>
      <c r="O231" s="8" t="str">
        <f t="array" ref="O231">XLOOKUP(C231,Customer_Dim!A:A,Customer_Dim!E:E,"Not Found")</f>
        <v>West Brandon</v>
      </c>
      <c r="P231" s="8" t="str">
        <f t="array" ref="P231">XLOOKUP(D231,Product_Dim!A:A,Product_Dim!B:B,"Not Found")</f>
        <v>Luxury Perfume Spray</v>
      </c>
      <c r="Q231" s="8" t="str">
        <f t="array" ref="Q231">XLOOKUP(D231,Product_Dim!A:A,Product_Dim!C:C,"Not Found")</f>
        <v>Beauty</v>
      </c>
      <c r="R231" s="8" t="str">
        <f t="array" ref="R231">XLOOKUP(E231,Store_Dim!A:A,Store_Dim!B:B,"Not Found")</f>
        <v>South</v>
      </c>
      <c r="S231" s="8" t="str">
        <f t="array" ref="S231">XLOOKUP(E231,Store_Dim!A:A,Store_Dim!D:D,"Not Found")</f>
        <v>Outlet</v>
      </c>
    </row>
    <row r="232" ht="14.25" customHeight="1">
      <c r="A232" s="8" t="s">
        <v>2185</v>
      </c>
      <c r="B232" s="12">
        <v>45710.0</v>
      </c>
      <c r="C232" s="8" t="s">
        <v>198</v>
      </c>
      <c r="D232" s="8" t="s">
        <v>1732</v>
      </c>
      <c r="E232" s="8" t="s">
        <v>1931</v>
      </c>
      <c r="F232" s="8">
        <v>3.0</v>
      </c>
      <c r="G232" s="8">
        <v>449.88</v>
      </c>
      <c r="H232" s="8">
        <v>0.1</v>
      </c>
      <c r="I232" s="8">
        <f t="shared" si="1"/>
        <v>1349.64</v>
      </c>
      <c r="J232" s="8">
        <f t="shared" si="2"/>
        <v>-134.864</v>
      </c>
      <c r="K232" s="8" t="str">
        <f t="shared" si="3"/>
        <v>Feb</v>
      </c>
      <c r="L232" s="8">
        <f t="shared" si="4"/>
        <v>2025</v>
      </c>
      <c r="N232" s="8" t="str">
        <f t="array" ref="N232">XLOOKUP(C232,Customer_Dim!A:A,Customer_Dim!B:B,"Not Found")</f>
        <v>Timothy Weaver</v>
      </c>
      <c r="O232" s="8" t="str">
        <f t="array" ref="O232">XLOOKUP(C232,Customer_Dim!A:A,Customer_Dim!E:E,"Not Found")</f>
        <v>New Amy</v>
      </c>
      <c r="P232" s="8" t="str">
        <f t="array" ref="P232">XLOOKUP(D232,Product_Dim!A:A,Product_Dim!B:B,"Not Found")</f>
        <v>Car Dashboard Phone Holder</v>
      </c>
      <c r="Q232" s="8" t="str">
        <f t="array" ref="Q232">XLOOKUP(D232,Product_Dim!A:A,Product_Dim!C:C,"Not Found")</f>
        <v>Electronics</v>
      </c>
      <c r="R232" s="8" t="str">
        <f t="array" ref="R232">XLOOKUP(E232,Store_Dim!A:A,Store_Dim!B:B,"Not Found")</f>
        <v>East</v>
      </c>
      <c r="S232" s="8" t="str">
        <f t="array" ref="S232">XLOOKUP(E232,Store_Dim!A:A,Store_Dim!D:D,"Not Found")</f>
        <v>Flagship</v>
      </c>
    </row>
    <row r="233" ht="14.25" customHeight="1">
      <c r="A233" s="8" t="s">
        <v>2186</v>
      </c>
      <c r="B233" s="12">
        <v>45711.0</v>
      </c>
      <c r="C233" s="8" t="s">
        <v>890</v>
      </c>
      <c r="D233" s="8" t="s">
        <v>1797</v>
      </c>
      <c r="E233" s="8" t="s">
        <v>1929</v>
      </c>
      <c r="F233" s="8">
        <v>4.0</v>
      </c>
      <c r="G233" s="8">
        <v>383.74</v>
      </c>
      <c r="H233" s="8">
        <v>0.01</v>
      </c>
      <c r="I233" s="8">
        <f t="shared" si="1"/>
        <v>1534.96</v>
      </c>
      <c r="J233" s="8">
        <f t="shared" si="2"/>
        <v>-15.3396</v>
      </c>
      <c r="K233" s="8" t="str">
        <f t="shared" si="3"/>
        <v>Feb</v>
      </c>
      <c r="L233" s="8">
        <f t="shared" si="4"/>
        <v>2025</v>
      </c>
      <c r="N233" s="8" t="str">
        <f t="array" ref="N233">XLOOKUP(C233,Customer_Dim!A:A,Customer_Dim!B:B,"Not Found")</f>
        <v>Shannon Miller</v>
      </c>
      <c r="O233" s="8" t="str">
        <f t="array" ref="O233">XLOOKUP(C233,Customer_Dim!A:A,Customer_Dim!E:E,"Not Found")</f>
        <v>North Austinport</v>
      </c>
      <c r="P233" s="8" t="str">
        <f t="array" ref="P233">XLOOKUP(D233,Product_Dim!A:A,Product_Dim!B:B,"Not Found")</f>
        <v>Men's Sports Shorts</v>
      </c>
      <c r="Q233" s="8" t="str">
        <f t="array" ref="Q233">XLOOKUP(D233,Product_Dim!A:A,Product_Dim!C:C,"Not Found")</f>
        <v>Clothing</v>
      </c>
      <c r="R233" s="8" t="str">
        <f t="array" ref="R233">XLOOKUP(E233,Store_Dim!A:A,Store_Dim!B:B,"Not Found")</f>
        <v>North</v>
      </c>
      <c r="S233" s="8" t="str">
        <f t="array" ref="S233">XLOOKUP(E233,Store_Dim!A:A,Store_Dim!D:D,"Not Found")</f>
        <v>Online</v>
      </c>
    </row>
    <row r="234" ht="14.25" customHeight="1">
      <c r="A234" s="8" t="s">
        <v>2187</v>
      </c>
      <c r="B234" s="12">
        <v>45712.0</v>
      </c>
      <c r="C234" s="8" t="s">
        <v>511</v>
      </c>
      <c r="D234" s="8" t="s">
        <v>1763</v>
      </c>
      <c r="E234" s="8" t="s">
        <v>1926</v>
      </c>
      <c r="F234" s="8">
        <v>4.0</v>
      </c>
      <c r="G234" s="8">
        <v>794.97</v>
      </c>
      <c r="H234" s="8">
        <v>0.24</v>
      </c>
      <c r="I234" s="8">
        <f t="shared" si="1"/>
        <v>3179.88</v>
      </c>
      <c r="J234" s="8">
        <f t="shared" si="2"/>
        <v>-762.9312</v>
      </c>
      <c r="K234" s="8" t="str">
        <f t="shared" si="3"/>
        <v>Feb</v>
      </c>
      <c r="L234" s="8">
        <f t="shared" si="4"/>
        <v>2025</v>
      </c>
      <c r="N234" s="8" t="str">
        <f t="array" ref="N234">XLOOKUP(C234,Customer_Dim!A:A,Customer_Dim!B:B,"Not Found")</f>
        <v>Theresa Campbell</v>
      </c>
      <c r="O234" s="8" t="str">
        <f t="array" ref="O234">XLOOKUP(C234,Customer_Dim!A:A,Customer_Dim!E:E,"Not Found")</f>
        <v>New Brian</v>
      </c>
      <c r="P234" s="8" t="str">
        <f t="array" ref="P234">XLOOKUP(D234,Product_Dim!A:A,Product_Dim!B:B,"Not Found")</f>
        <v>Womens Cotton Scarf</v>
      </c>
      <c r="Q234" s="8" t="str">
        <f t="array" ref="Q234">XLOOKUP(D234,Product_Dim!A:A,Product_Dim!C:C,"Not Found")</f>
        <v>Clothing</v>
      </c>
      <c r="R234" s="8" t="str">
        <f t="array" ref="R234">XLOOKUP(E234,Store_Dim!A:A,Store_Dim!B:B,"Not Found")</f>
        <v>East</v>
      </c>
      <c r="S234" s="8" t="str">
        <f t="array" ref="S234">XLOOKUP(E234,Store_Dim!A:A,Store_Dim!D:D,"Not Found")</f>
        <v>Online</v>
      </c>
    </row>
    <row r="235" ht="14.25" customHeight="1">
      <c r="A235" s="8" t="s">
        <v>2188</v>
      </c>
      <c r="B235" s="12">
        <v>45713.0</v>
      </c>
      <c r="C235" s="8" t="s">
        <v>61</v>
      </c>
      <c r="D235" s="8" t="s">
        <v>1827</v>
      </c>
      <c r="E235" s="8" t="s">
        <v>1915</v>
      </c>
      <c r="F235" s="8">
        <v>1.0</v>
      </c>
      <c r="G235" s="8">
        <v>989.63</v>
      </c>
      <c r="H235" s="8">
        <v>0.05</v>
      </c>
      <c r="I235" s="8">
        <f t="shared" si="1"/>
        <v>989.63</v>
      </c>
      <c r="J235" s="8">
        <f t="shared" si="2"/>
        <v>-49.4315</v>
      </c>
      <c r="K235" s="8" t="str">
        <f t="shared" si="3"/>
        <v>Feb</v>
      </c>
      <c r="L235" s="8">
        <f t="shared" si="4"/>
        <v>2025</v>
      </c>
      <c r="N235" s="8" t="str">
        <f t="array" ref="N235">XLOOKUP(C235,Customer_Dim!A:A,Customer_Dim!B:B,"Not Found")</f>
        <v>Dominic Page</v>
      </c>
      <c r="O235" s="8" t="str">
        <f t="array" ref="O235">XLOOKUP(C235,Customer_Dim!A:A,Customer_Dim!E:E,"Not Found")</f>
        <v>Port Michaelburgh</v>
      </c>
      <c r="P235" s="8" t="str">
        <f t="array" ref="P235">XLOOKUP(D235,Product_Dim!A:A,Product_Dim!B:B,"Not Found")</f>
        <v>Decorative Lamp Shade</v>
      </c>
      <c r="Q235" s="8" t="str">
        <f t="array" ref="Q235">XLOOKUP(D235,Product_Dim!A:A,Product_Dim!C:C,"Not Found")</f>
        <v>Home</v>
      </c>
      <c r="R235" s="8" t="str">
        <f t="array" ref="R235">XLOOKUP(E235,Store_Dim!A:A,Store_Dim!B:B,"Not Found")</f>
        <v>North</v>
      </c>
      <c r="S235" s="8" t="str">
        <f t="array" ref="S235">XLOOKUP(E235,Store_Dim!A:A,Store_Dim!D:D,"Not Found")</f>
        <v>Outlet</v>
      </c>
    </row>
    <row r="236" ht="14.25" customHeight="1">
      <c r="A236" s="8" t="s">
        <v>2189</v>
      </c>
      <c r="B236" s="12">
        <v>45714.0</v>
      </c>
      <c r="C236" s="8" t="s">
        <v>1068</v>
      </c>
      <c r="D236" s="8" t="s">
        <v>1751</v>
      </c>
      <c r="E236" s="8" t="s">
        <v>1899</v>
      </c>
      <c r="F236" s="8">
        <v>1.0</v>
      </c>
      <c r="G236" s="8">
        <v>447.16</v>
      </c>
      <c r="H236" s="8">
        <v>0.22</v>
      </c>
      <c r="I236" s="8">
        <f t="shared" si="1"/>
        <v>447.16</v>
      </c>
      <c r="J236" s="8">
        <f t="shared" si="2"/>
        <v>-98.1552</v>
      </c>
      <c r="K236" s="8" t="str">
        <f t="shared" si="3"/>
        <v>Feb</v>
      </c>
      <c r="L236" s="8">
        <f t="shared" si="4"/>
        <v>2025</v>
      </c>
      <c r="N236" s="8" t="str">
        <f t="array" ref="N236">XLOOKUP(C236,Customer_Dim!A:A,Customer_Dim!B:B,"Not Found")</f>
        <v>Jennifer Woods</v>
      </c>
      <c r="O236" s="8" t="str">
        <f t="array" ref="O236">XLOOKUP(C236,Customer_Dim!A:A,Customer_Dim!E:E,"Not Found")</f>
        <v>West Brendamouth</v>
      </c>
      <c r="P236" s="8" t="str">
        <f t="array" ref="P236">XLOOKUP(D236,Product_Dim!A:A,Product_Dim!B:B,"Not Found")</f>
        <v>Sports Stopwatch Pro</v>
      </c>
      <c r="Q236" s="8" t="str">
        <f t="array" ref="Q236">XLOOKUP(D236,Product_Dim!A:A,Product_Dim!C:C,"Not Found")</f>
        <v>Sports</v>
      </c>
      <c r="R236" s="8" t="str">
        <f t="array" ref="R236">XLOOKUP(E236,Store_Dim!A:A,Store_Dim!B:B,"Not Found")</f>
        <v>East</v>
      </c>
      <c r="S236" s="8" t="str">
        <f t="array" ref="S236">XLOOKUP(E236,Store_Dim!A:A,Store_Dim!D:D,"Not Found")</f>
        <v>Flagship</v>
      </c>
    </row>
    <row r="237" ht="14.25" customHeight="1">
      <c r="A237" s="8" t="s">
        <v>2190</v>
      </c>
      <c r="B237" s="12">
        <v>45715.0</v>
      </c>
      <c r="C237" s="8" t="s">
        <v>52</v>
      </c>
      <c r="D237" s="8" t="s">
        <v>1872</v>
      </c>
      <c r="E237" s="8" t="s">
        <v>1917</v>
      </c>
      <c r="F237" s="8">
        <v>1.0</v>
      </c>
      <c r="G237" s="8">
        <v>946.9</v>
      </c>
      <c r="H237" s="8">
        <v>0.29</v>
      </c>
      <c r="I237" s="8">
        <f t="shared" si="1"/>
        <v>946.9</v>
      </c>
      <c r="J237" s="8">
        <f t="shared" si="2"/>
        <v>-274.311</v>
      </c>
      <c r="K237" s="8" t="str">
        <f t="shared" si="3"/>
        <v>Feb</v>
      </c>
      <c r="L237" s="8">
        <f t="shared" si="4"/>
        <v>2025</v>
      </c>
      <c r="N237" s="8" t="str">
        <f t="array" ref="N237">XLOOKUP(C237,Customer_Dim!A:A,Customer_Dim!B:B,"Not Found")</f>
        <v>Melissa Howard</v>
      </c>
      <c r="O237" s="8" t="str">
        <f t="array" ref="O237">XLOOKUP(C237,Customer_Dim!A:A,Customer_Dim!E:E,"Not Found")</f>
        <v>Maynardton</v>
      </c>
      <c r="P237" s="8" t="str">
        <f t="array" ref="P237">XLOOKUP(D237,Product_Dim!A:A,Product_Dim!B:B,"Not Found")</f>
        <v>Vitamin E Body Lotion</v>
      </c>
      <c r="Q237" s="8" t="str">
        <f t="array" ref="Q237">XLOOKUP(D237,Product_Dim!A:A,Product_Dim!C:C,"Not Found")</f>
        <v>Beauty</v>
      </c>
      <c r="R237" s="8" t="str">
        <f t="array" ref="R237">XLOOKUP(E237,Store_Dim!A:A,Store_Dim!B:B,"Not Found")</f>
        <v>East</v>
      </c>
      <c r="S237" s="8" t="str">
        <f t="array" ref="S237">XLOOKUP(E237,Store_Dim!A:A,Store_Dim!D:D,"Not Found")</f>
        <v>Online</v>
      </c>
    </row>
    <row r="238" ht="14.25" customHeight="1">
      <c r="A238" s="8" t="s">
        <v>2191</v>
      </c>
      <c r="B238" s="12">
        <v>45716.0</v>
      </c>
      <c r="C238" s="8" t="s">
        <v>574</v>
      </c>
      <c r="D238" s="8" t="s">
        <v>1632</v>
      </c>
      <c r="E238" s="8" t="s">
        <v>1899</v>
      </c>
      <c r="F238" s="8">
        <v>4.0</v>
      </c>
      <c r="G238" s="8">
        <v>469.68</v>
      </c>
      <c r="H238" s="8">
        <v>0.19</v>
      </c>
      <c r="I238" s="8">
        <f t="shared" si="1"/>
        <v>1878.72</v>
      </c>
      <c r="J238" s="8">
        <f t="shared" si="2"/>
        <v>-356.7668</v>
      </c>
      <c r="K238" s="8" t="str">
        <f t="shared" si="3"/>
        <v>Feb</v>
      </c>
      <c r="L238" s="8">
        <f t="shared" si="4"/>
        <v>2025</v>
      </c>
      <c r="N238" s="8" t="str">
        <f t="array" ref="N238">XLOOKUP(C238,Customer_Dim!A:A,Customer_Dim!B:B,"Not Found")</f>
        <v>Steve Mclaughlin</v>
      </c>
      <c r="O238" s="8" t="str">
        <f t="array" ref="O238">XLOOKUP(C238,Customer_Dim!A:A,Customer_Dim!E:E,"Not Found")</f>
        <v>Josephmouth</v>
      </c>
      <c r="P238" s="8" t="str">
        <f t="array" ref="P238">XLOOKUP(D238,Product_Dim!A:A,Product_Dim!B:B,"Not Found")</f>
        <v>Soccer Training Cone Set</v>
      </c>
      <c r="Q238" s="8" t="str">
        <f t="array" ref="Q238">XLOOKUP(D238,Product_Dim!A:A,Product_Dim!C:C,"Not Found")</f>
        <v>Sports</v>
      </c>
      <c r="R238" s="8" t="str">
        <f t="array" ref="R238">XLOOKUP(E238,Store_Dim!A:A,Store_Dim!B:B,"Not Found")</f>
        <v>East</v>
      </c>
      <c r="S238" s="8" t="str">
        <f t="array" ref="S238">XLOOKUP(E238,Store_Dim!A:A,Store_Dim!D:D,"Not Found")</f>
        <v>Flagship</v>
      </c>
    </row>
    <row r="239" ht="14.25" customHeight="1">
      <c r="A239" s="8" t="s">
        <v>2192</v>
      </c>
      <c r="B239" s="12">
        <v>45717.0</v>
      </c>
      <c r="C239" s="8" t="s">
        <v>1534</v>
      </c>
      <c r="D239" s="8" t="s">
        <v>1668</v>
      </c>
      <c r="E239" s="8" t="s">
        <v>1937</v>
      </c>
      <c r="F239" s="8">
        <v>4.0</v>
      </c>
      <c r="G239" s="8">
        <v>320.64</v>
      </c>
      <c r="H239" s="8">
        <v>0.2</v>
      </c>
      <c r="I239" s="8">
        <f t="shared" si="1"/>
        <v>1282.56</v>
      </c>
      <c r="J239" s="8">
        <f t="shared" si="2"/>
        <v>-256.312</v>
      </c>
      <c r="K239" s="8" t="str">
        <f t="shared" si="3"/>
        <v>Mar</v>
      </c>
      <c r="L239" s="8">
        <f t="shared" si="4"/>
        <v>2025</v>
      </c>
      <c r="N239" s="8" t="str">
        <f t="array" ref="N239">XLOOKUP(C239,Customer_Dim!A:A,Customer_Dim!B:B,"Not Found")</f>
        <v>Justin Lopez</v>
      </c>
      <c r="O239" s="8" t="str">
        <f t="array" ref="O239">XLOOKUP(C239,Customer_Dim!A:A,Customer_Dim!E:E,"Not Found")</f>
        <v>Port Cheryl</v>
      </c>
      <c r="P239" s="8" t="str">
        <f t="array" ref="P239">XLOOKUP(D239,Product_Dim!A:A,Product_Dim!B:B,"Not Found")</f>
        <v>Sports Stopwatch Timer</v>
      </c>
      <c r="Q239" s="8" t="str">
        <f t="array" ref="Q239">XLOOKUP(D239,Product_Dim!A:A,Product_Dim!C:C,"Not Found")</f>
        <v>Sports</v>
      </c>
      <c r="R239" s="8" t="str">
        <f t="array" ref="R239">XLOOKUP(E239,Store_Dim!A:A,Store_Dim!B:B,"Not Found")</f>
        <v>North</v>
      </c>
      <c r="S239" s="8" t="str">
        <f t="array" ref="S239">XLOOKUP(E239,Store_Dim!A:A,Store_Dim!D:D,"Not Found")</f>
        <v>Flagship</v>
      </c>
    </row>
    <row r="240" ht="14.25" customHeight="1">
      <c r="A240" s="8" t="s">
        <v>2193</v>
      </c>
      <c r="B240" s="12">
        <v>45718.0</v>
      </c>
      <c r="C240" s="8" t="s">
        <v>473</v>
      </c>
      <c r="D240" s="8" t="s">
        <v>1624</v>
      </c>
      <c r="E240" s="8" t="s">
        <v>1915</v>
      </c>
      <c r="F240" s="8">
        <v>1.0</v>
      </c>
      <c r="G240" s="8">
        <v>594.44</v>
      </c>
      <c r="H240" s="8">
        <v>0.21</v>
      </c>
      <c r="I240" s="8">
        <f t="shared" si="1"/>
        <v>594.44</v>
      </c>
      <c r="J240" s="8">
        <f t="shared" si="2"/>
        <v>-124.6224</v>
      </c>
      <c r="K240" s="8" t="str">
        <f t="shared" si="3"/>
        <v>Mar</v>
      </c>
      <c r="L240" s="8">
        <f t="shared" si="4"/>
        <v>2025</v>
      </c>
      <c r="N240" s="8" t="str">
        <f t="array" ref="N240">XLOOKUP(C240,Customer_Dim!A:A,Customer_Dim!B:B,"Not Found")</f>
        <v>Matthew Hanna</v>
      </c>
      <c r="O240" s="8" t="str">
        <f t="array" ref="O240">XLOOKUP(C240,Customer_Dim!A:A,Customer_Dim!E:E,"Not Found")</f>
        <v>Gonzalezbury</v>
      </c>
      <c r="P240" s="8" t="str">
        <f t="array" ref="P240">XLOOKUP(D240,Product_Dim!A:A,Product_Dim!B:B,"Not Found")</f>
        <v>4K Home Projector</v>
      </c>
      <c r="Q240" s="8" t="str">
        <f t="array" ref="Q240">XLOOKUP(D240,Product_Dim!A:A,Product_Dim!C:C,"Not Found")</f>
        <v>Electronics</v>
      </c>
      <c r="R240" s="8" t="str">
        <f t="array" ref="R240">XLOOKUP(E240,Store_Dim!A:A,Store_Dim!B:B,"Not Found")</f>
        <v>North</v>
      </c>
      <c r="S240" s="8" t="str">
        <f t="array" ref="S240">XLOOKUP(E240,Store_Dim!A:A,Store_Dim!D:D,"Not Found")</f>
        <v>Outlet</v>
      </c>
    </row>
    <row r="241" ht="14.25" customHeight="1">
      <c r="A241" s="8" t="s">
        <v>2194</v>
      </c>
      <c r="B241" s="12">
        <v>45719.0</v>
      </c>
      <c r="C241" s="8" t="s">
        <v>714</v>
      </c>
      <c r="D241" s="8" t="s">
        <v>1848</v>
      </c>
      <c r="E241" s="8" t="s">
        <v>1921</v>
      </c>
      <c r="F241" s="8">
        <v>3.0</v>
      </c>
      <c r="G241" s="8">
        <v>91.7</v>
      </c>
      <c r="H241" s="8">
        <v>0.08</v>
      </c>
      <c r="I241" s="8">
        <f t="shared" si="1"/>
        <v>275.1</v>
      </c>
      <c r="J241" s="8">
        <f t="shared" si="2"/>
        <v>-21.928</v>
      </c>
      <c r="K241" s="8" t="str">
        <f t="shared" si="3"/>
        <v>Mar</v>
      </c>
      <c r="L241" s="8">
        <f t="shared" si="4"/>
        <v>2025</v>
      </c>
      <c r="N241" s="8" t="str">
        <f t="array" ref="N241">XLOOKUP(C241,Customer_Dim!A:A,Customer_Dim!B:B,"Not Found")</f>
        <v>Kathryn Garcia</v>
      </c>
      <c r="O241" s="8" t="str">
        <f t="array" ref="O241">XLOOKUP(C241,Customer_Dim!A:A,Customer_Dim!E:E,"Not Found")</f>
        <v>Morrismouth</v>
      </c>
      <c r="P241" s="8" t="str">
        <f t="array" ref="P241">XLOOKUP(D241,Product_Dim!A:A,Product_Dim!B:B,"Not Found")</f>
        <v>Kitchen Cutting Board</v>
      </c>
      <c r="Q241" s="8" t="str">
        <f t="array" ref="Q241">XLOOKUP(D241,Product_Dim!A:A,Product_Dim!C:C,"Not Found")</f>
        <v>Home</v>
      </c>
      <c r="R241" s="8" t="str">
        <f t="array" ref="R241">XLOOKUP(E241,Store_Dim!A:A,Store_Dim!B:B,"Not Found")</f>
        <v>West</v>
      </c>
      <c r="S241" s="8" t="str">
        <f t="array" ref="S241">XLOOKUP(E241,Store_Dim!A:A,Store_Dim!D:D,"Not Found")</f>
        <v>Online</v>
      </c>
    </row>
    <row r="242" ht="14.25" customHeight="1">
      <c r="A242" s="8" t="s">
        <v>2195</v>
      </c>
      <c r="B242" s="12">
        <v>45720.0</v>
      </c>
      <c r="C242" s="8" t="s">
        <v>137</v>
      </c>
      <c r="D242" s="8" t="s">
        <v>1775</v>
      </c>
      <c r="E242" s="8" t="s">
        <v>1929</v>
      </c>
      <c r="F242" s="8">
        <v>3.0</v>
      </c>
      <c r="G242" s="8">
        <v>741.33</v>
      </c>
      <c r="H242" s="8">
        <v>0.03</v>
      </c>
      <c r="I242" s="8">
        <f t="shared" si="1"/>
        <v>2223.99</v>
      </c>
      <c r="J242" s="8">
        <f t="shared" si="2"/>
        <v>-66.6897</v>
      </c>
      <c r="K242" s="8" t="str">
        <f t="shared" si="3"/>
        <v>Mar</v>
      </c>
      <c r="L242" s="8">
        <f t="shared" si="4"/>
        <v>2025</v>
      </c>
      <c r="N242" s="8" t="str">
        <f t="array" ref="N242">XLOOKUP(C242,Customer_Dim!A:A,Customer_Dim!B:B,"Not Found")</f>
        <v>Sarah Vance</v>
      </c>
      <c r="O242" s="8" t="str">
        <f t="array" ref="O242">XLOOKUP(C242,Customer_Dim!A:A,Customer_Dim!E:E,"Not Found")</f>
        <v>Johnsonville</v>
      </c>
      <c r="P242" s="8" t="str">
        <f t="array" ref="P242">XLOOKUP(D242,Product_Dim!A:A,Product_Dim!B:B,"Not Found")</f>
        <v>Laptop Cooling Pad</v>
      </c>
      <c r="Q242" s="8" t="str">
        <f t="array" ref="Q242">XLOOKUP(D242,Product_Dim!A:A,Product_Dim!C:C,"Not Found")</f>
        <v>Electronics</v>
      </c>
      <c r="R242" s="8" t="str">
        <f t="array" ref="R242">XLOOKUP(E242,Store_Dim!A:A,Store_Dim!B:B,"Not Found")</f>
        <v>North</v>
      </c>
      <c r="S242" s="8" t="str">
        <f t="array" ref="S242">XLOOKUP(E242,Store_Dim!A:A,Store_Dim!D:D,"Not Found")</f>
        <v>Online</v>
      </c>
    </row>
    <row r="243" ht="14.25" customHeight="1">
      <c r="A243" s="8" t="s">
        <v>2196</v>
      </c>
      <c r="B243" s="12">
        <v>45721.0</v>
      </c>
      <c r="C243" s="8" t="s">
        <v>1482</v>
      </c>
      <c r="D243" s="8" t="s">
        <v>1989</v>
      </c>
      <c r="E243" s="8" t="s">
        <v>1941</v>
      </c>
      <c r="F243" s="8">
        <v>1.0</v>
      </c>
      <c r="G243" s="8">
        <v>922.78</v>
      </c>
      <c r="H243" s="8">
        <v>0.29</v>
      </c>
      <c r="I243" s="8">
        <f t="shared" si="1"/>
        <v>922.78</v>
      </c>
      <c r="J243" s="8">
        <f t="shared" si="2"/>
        <v>-267.3162</v>
      </c>
      <c r="K243" s="8" t="str">
        <f t="shared" si="3"/>
        <v>Mar</v>
      </c>
      <c r="L243" s="8">
        <f t="shared" si="4"/>
        <v>2025</v>
      </c>
      <c r="N243" s="8" t="str">
        <f t="array" ref="N243">XLOOKUP(C243,Customer_Dim!A:A,Customer_Dim!B:B,"Not Found")</f>
        <v>Elizabeth Foster</v>
      </c>
      <c r="O243" s="8" t="str">
        <f t="array" ref="O243">XLOOKUP(C243,Customer_Dim!A:A,Customer_Dim!E:E,"Not Found")</f>
        <v>Anthonymouth</v>
      </c>
      <c r="P243" s="8" t="str">
        <f t="array" ref="P243">XLOOKUP(D243,Product_Dim!A:A,Product_Dim!B:B,"Not Found")</f>
        <v>Not Found</v>
      </c>
      <c r="Q243" s="8" t="str">
        <f t="array" ref="Q243">XLOOKUP(D243,Product_Dim!A:A,Product_Dim!C:C,"Not Found")</f>
        <v>Not Found</v>
      </c>
      <c r="R243" s="8" t="str">
        <f t="array" ref="R243">XLOOKUP(E243,Store_Dim!A:A,Store_Dim!B:B,"Not Found")</f>
        <v>East</v>
      </c>
      <c r="S243" s="8" t="str">
        <f t="array" ref="S243">XLOOKUP(E243,Store_Dim!A:A,Store_Dim!D:D,"Not Found")</f>
        <v>Online</v>
      </c>
    </row>
    <row r="244" ht="14.25" customHeight="1">
      <c r="A244" s="8" t="s">
        <v>2197</v>
      </c>
      <c r="B244" s="12">
        <v>45722.0</v>
      </c>
      <c r="C244" s="8" t="s">
        <v>1038</v>
      </c>
      <c r="D244" s="8" t="s">
        <v>1597</v>
      </c>
      <c r="E244" s="8" t="s">
        <v>1935</v>
      </c>
      <c r="F244" s="8">
        <v>1.0</v>
      </c>
      <c r="G244" s="8">
        <v>394.35</v>
      </c>
      <c r="H244" s="8">
        <v>0.09</v>
      </c>
      <c r="I244" s="8">
        <f t="shared" si="1"/>
        <v>394.35</v>
      </c>
      <c r="J244" s="8">
        <f t="shared" si="2"/>
        <v>-35.4015</v>
      </c>
      <c r="K244" s="8" t="str">
        <f t="shared" si="3"/>
        <v>Mar</v>
      </c>
      <c r="L244" s="8">
        <f t="shared" si="4"/>
        <v>2025</v>
      </c>
      <c r="N244" s="8" t="str">
        <f t="array" ref="N244">XLOOKUP(C244,Customer_Dim!A:A,Customer_Dim!B:B,"Not Found")</f>
        <v>Andrew Smith</v>
      </c>
      <c r="O244" s="8" t="str">
        <f t="array" ref="O244">XLOOKUP(C244,Customer_Dim!A:A,Customer_Dim!E:E,"Not Found")</f>
        <v>East Matthew</v>
      </c>
      <c r="P244" s="8" t="str">
        <f t="array" ref="P244">XLOOKUP(D244,Product_Dim!A:A,Product_Dim!B:B,"Not Found")</f>
        <v>Wireless Bluetooth Earbuds</v>
      </c>
      <c r="Q244" s="8" t="str">
        <f t="array" ref="Q244">XLOOKUP(D244,Product_Dim!A:A,Product_Dim!C:C,"Not Found")</f>
        <v>Electronics</v>
      </c>
      <c r="R244" s="8" t="str">
        <f t="array" ref="R244">XLOOKUP(E244,Store_Dim!A:A,Store_Dim!B:B,"Not Found")</f>
        <v>West</v>
      </c>
      <c r="S244" s="8" t="str">
        <f t="array" ref="S244">XLOOKUP(E244,Store_Dim!A:A,Store_Dim!D:D,"Not Found")</f>
        <v>Flagship</v>
      </c>
    </row>
    <row r="245" ht="14.25" customHeight="1">
      <c r="A245" s="8" t="s">
        <v>2198</v>
      </c>
      <c r="B245" s="12">
        <v>45723.0</v>
      </c>
      <c r="C245" s="8" t="s">
        <v>1155</v>
      </c>
      <c r="D245" s="8" t="s">
        <v>1784</v>
      </c>
      <c r="E245" s="8" t="s">
        <v>1928</v>
      </c>
      <c r="F245" s="8">
        <v>2.0</v>
      </c>
      <c r="G245" s="8">
        <v>703.95</v>
      </c>
      <c r="H245" s="8">
        <v>0.03</v>
      </c>
      <c r="I245" s="8">
        <f t="shared" si="1"/>
        <v>1407.9</v>
      </c>
      <c r="J245" s="8">
        <f t="shared" si="2"/>
        <v>-42.207</v>
      </c>
      <c r="K245" s="8" t="str">
        <f t="shared" si="3"/>
        <v>Mar</v>
      </c>
      <c r="L245" s="8">
        <f t="shared" si="4"/>
        <v>2025</v>
      </c>
      <c r="N245" s="8" t="str">
        <f t="array" ref="N245">XLOOKUP(C245,Customer_Dim!A:A,Customer_Dim!B:B,"Not Found")</f>
        <v>Chloe Aguilar</v>
      </c>
      <c r="O245" s="8" t="str">
        <f t="array" ref="O245">XLOOKUP(C245,Customer_Dim!A:A,Customer_Dim!E:E,"Not Found")</f>
        <v>Lake Johnside</v>
      </c>
      <c r="P245" s="8" t="str">
        <f t="array" ref="P245">XLOOKUP(D245,Product_Dim!A:A,Product_Dim!B:B,"Not Found")</f>
        <v>Adjustable Dumbbells 20kg</v>
      </c>
      <c r="Q245" s="8" t="str">
        <f t="array" ref="Q245">XLOOKUP(D245,Product_Dim!A:A,Product_Dim!C:C,"Not Found")</f>
        <v>Sports</v>
      </c>
      <c r="R245" s="8" t="str">
        <f t="array" ref="R245">XLOOKUP(E245,Store_Dim!A:A,Store_Dim!B:B,"Not Found")</f>
        <v>South</v>
      </c>
      <c r="S245" s="8" t="str">
        <f t="array" ref="S245">XLOOKUP(E245,Store_Dim!A:A,Store_Dim!D:D,"Not Found")</f>
        <v>Online</v>
      </c>
    </row>
    <row r="246" ht="14.25" customHeight="1">
      <c r="A246" s="8" t="s">
        <v>2199</v>
      </c>
      <c r="B246" s="12">
        <v>45724.0</v>
      </c>
      <c r="C246" s="8" t="s">
        <v>666</v>
      </c>
      <c r="D246" s="8" t="s">
        <v>1620</v>
      </c>
      <c r="E246" s="8" t="s">
        <v>1899</v>
      </c>
      <c r="F246" s="8">
        <v>4.0</v>
      </c>
      <c r="G246" s="8">
        <v>452.67</v>
      </c>
      <c r="H246" s="8">
        <v>0.28</v>
      </c>
      <c r="I246" s="8">
        <f t="shared" si="1"/>
        <v>1810.68</v>
      </c>
      <c r="J246" s="8">
        <f t="shared" si="2"/>
        <v>-506.7104</v>
      </c>
      <c r="K246" s="8" t="str">
        <f t="shared" si="3"/>
        <v>Mar</v>
      </c>
      <c r="L246" s="8">
        <f t="shared" si="4"/>
        <v>2025</v>
      </c>
      <c r="N246" s="8" t="str">
        <f t="array" ref="N246">XLOOKUP(C246,Customer_Dim!A:A,Customer_Dim!B:B,"Not Found")</f>
        <v>Anna Perez</v>
      </c>
      <c r="O246" s="8" t="str">
        <f t="array" ref="O246">XLOOKUP(C246,Customer_Dim!A:A,Customer_Dim!E:E,"Not Found")</f>
        <v>South Jerry</v>
      </c>
      <c r="P246" s="8" t="str">
        <f t="array" ref="P246">XLOOKUP(D246,Product_Dim!A:A,Product_Dim!B:B,"Not Found")</f>
        <v>Decorative Wall Mirror</v>
      </c>
      <c r="Q246" s="8" t="str">
        <f t="array" ref="Q246">XLOOKUP(D246,Product_Dim!A:A,Product_Dim!C:C,"Not Found")</f>
        <v>Home</v>
      </c>
      <c r="R246" s="8" t="str">
        <f t="array" ref="R246">XLOOKUP(E246,Store_Dim!A:A,Store_Dim!B:B,"Not Found")</f>
        <v>East</v>
      </c>
      <c r="S246" s="8" t="str">
        <f t="array" ref="S246">XLOOKUP(E246,Store_Dim!A:A,Store_Dim!D:D,"Not Found")</f>
        <v>Flagship</v>
      </c>
    </row>
    <row r="247" ht="14.25" customHeight="1">
      <c r="A247" s="8" t="s">
        <v>2200</v>
      </c>
      <c r="B247" s="12">
        <v>45725.0</v>
      </c>
      <c r="C247" s="8" t="s">
        <v>1444</v>
      </c>
      <c r="D247" s="8" t="s">
        <v>1597</v>
      </c>
      <c r="E247" s="8" t="s">
        <v>1919</v>
      </c>
      <c r="F247" s="8">
        <v>2.0</v>
      </c>
      <c r="G247" s="8">
        <v>377.3</v>
      </c>
      <c r="H247" s="8">
        <v>0.15</v>
      </c>
      <c r="I247" s="8">
        <f t="shared" si="1"/>
        <v>754.6</v>
      </c>
      <c r="J247" s="8">
        <f t="shared" si="2"/>
        <v>-113.04</v>
      </c>
      <c r="K247" s="8" t="str">
        <f t="shared" si="3"/>
        <v>Mar</v>
      </c>
      <c r="L247" s="8">
        <f t="shared" si="4"/>
        <v>2025</v>
      </c>
      <c r="N247" s="8" t="str">
        <f t="array" ref="N247">XLOOKUP(C247,Customer_Dim!A:A,Customer_Dim!B:B,"Not Found")</f>
        <v>Samantha Lee</v>
      </c>
      <c r="O247" s="8" t="str">
        <f t="array" ref="O247">XLOOKUP(C247,Customer_Dim!A:A,Customer_Dim!E:E,"Not Found")</f>
        <v>Port Anthony</v>
      </c>
      <c r="P247" s="8" t="str">
        <f t="array" ref="P247">XLOOKUP(D247,Product_Dim!A:A,Product_Dim!B:B,"Not Found")</f>
        <v>Wireless Bluetooth Earbuds</v>
      </c>
      <c r="Q247" s="8" t="str">
        <f t="array" ref="Q247">XLOOKUP(D247,Product_Dim!A:A,Product_Dim!C:C,"Not Found")</f>
        <v>Electronics</v>
      </c>
      <c r="R247" s="8" t="str">
        <f t="array" ref="R247">XLOOKUP(E247,Store_Dim!A:A,Store_Dim!B:B,"Not Found")</f>
        <v>South</v>
      </c>
      <c r="S247" s="8" t="str">
        <f t="array" ref="S247">XLOOKUP(E247,Store_Dim!A:A,Store_Dim!D:D,"Not Found")</f>
        <v>Online</v>
      </c>
    </row>
    <row r="248" ht="14.25" customHeight="1">
      <c r="A248" s="8" t="s">
        <v>2201</v>
      </c>
      <c r="B248" s="12">
        <v>45726.0</v>
      </c>
      <c r="C248" s="8" t="s">
        <v>1095</v>
      </c>
      <c r="D248" s="8" t="s">
        <v>1812</v>
      </c>
      <c r="E248" s="8" t="s">
        <v>1919</v>
      </c>
      <c r="F248" s="8">
        <v>2.0</v>
      </c>
      <c r="G248" s="8">
        <v>130.48</v>
      </c>
      <c r="H248" s="8">
        <v>0.23</v>
      </c>
      <c r="I248" s="8">
        <f t="shared" si="1"/>
        <v>260.96</v>
      </c>
      <c r="J248" s="8">
        <f t="shared" si="2"/>
        <v>-59.7908</v>
      </c>
      <c r="K248" s="8" t="str">
        <f t="shared" si="3"/>
        <v>Mar</v>
      </c>
      <c r="L248" s="8">
        <f t="shared" si="4"/>
        <v>2025</v>
      </c>
      <c r="N248" s="8" t="str">
        <f t="array" ref="N248">XLOOKUP(C248,Customer_Dim!A:A,Customer_Dim!B:B,"Not Found")</f>
        <v>Evelyn Brown</v>
      </c>
      <c r="O248" s="8" t="str">
        <f t="array" ref="O248">XLOOKUP(C248,Customer_Dim!A:A,Customer_Dim!E:E,"Not Found")</f>
        <v>West Victoriaborough</v>
      </c>
      <c r="P248" s="8" t="str">
        <f t="array" ref="P248">XLOOKUP(D248,Product_Dim!A:A,Product_Dim!B:B,"Not Found")</f>
        <v>Bluetooth Car Audio System</v>
      </c>
      <c r="Q248" s="8" t="str">
        <f t="array" ref="Q248">XLOOKUP(D248,Product_Dim!A:A,Product_Dim!C:C,"Not Found")</f>
        <v>Electronics</v>
      </c>
      <c r="R248" s="8" t="str">
        <f t="array" ref="R248">XLOOKUP(E248,Store_Dim!A:A,Store_Dim!B:B,"Not Found")</f>
        <v>South</v>
      </c>
      <c r="S248" s="8" t="str">
        <f t="array" ref="S248">XLOOKUP(E248,Store_Dim!A:A,Store_Dim!D:D,"Not Found")</f>
        <v>Online</v>
      </c>
    </row>
    <row r="249" ht="14.25" customHeight="1">
      <c r="A249" s="8" t="s">
        <v>2202</v>
      </c>
      <c r="B249" s="12">
        <v>45727.0</v>
      </c>
      <c r="C249" s="8" t="s">
        <v>1365</v>
      </c>
      <c r="D249" s="8" t="s">
        <v>1872</v>
      </c>
      <c r="E249" s="8" t="s">
        <v>1929</v>
      </c>
      <c r="F249" s="8">
        <v>1.0</v>
      </c>
      <c r="G249" s="8">
        <v>809.45</v>
      </c>
      <c r="H249" s="8">
        <v>0.09</v>
      </c>
      <c r="I249" s="8">
        <f t="shared" si="1"/>
        <v>809.45</v>
      </c>
      <c r="J249" s="8">
        <f t="shared" si="2"/>
        <v>-72.7605</v>
      </c>
      <c r="K249" s="8" t="str">
        <f t="shared" si="3"/>
        <v>Mar</v>
      </c>
      <c r="L249" s="8">
        <f t="shared" si="4"/>
        <v>2025</v>
      </c>
      <c r="N249" s="8" t="str">
        <f t="array" ref="N249">XLOOKUP(C249,Customer_Dim!A:A,Customer_Dim!B:B,"Not Found")</f>
        <v>Lindsay Beasley</v>
      </c>
      <c r="O249" s="8" t="str">
        <f t="array" ref="O249">XLOOKUP(C249,Customer_Dim!A:A,Customer_Dim!E:E,"Not Found")</f>
        <v>Wesleyhaven</v>
      </c>
      <c r="P249" s="8" t="str">
        <f t="array" ref="P249">XLOOKUP(D249,Product_Dim!A:A,Product_Dim!B:B,"Not Found")</f>
        <v>Vitamin E Body Lotion</v>
      </c>
      <c r="Q249" s="8" t="str">
        <f t="array" ref="Q249">XLOOKUP(D249,Product_Dim!A:A,Product_Dim!C:C,"Not Found")</f>
        <v>Beauty</v>
      </c>
      <c r="R249" s="8" t="str">
        <f t="array" ref="R249">XLOOKUP(E249,Store_Dim!A:A,Store_Dim!B:B,"Not Found")</f>
        <v>North</v>
      </c>
      <c r="S249" s="8" t="str">
        <f t="array" ref="S249">XLOOKUP(E249,Store_Dim!A:A,Store_Dim!D:D,"Not Found")</f>
        <v>Online</v>
      </c>
    </row>
    <row r="250" ht="14.25" customHeight="1">
      <c r="A250" s="8" t="s">
        <v>2203</v>
      </c>
      <c r="B250" s="12">
        <v>45728.0</v>
      </c>
      <c r="C250" s="8" t="s">
        <v>311</v>
      </c>
      <c r="D250" s="8" t="s">
        <v>1722</v>
      </c>
      <c r="E250" s="8" t="s">
        <v>1924</v>
      </c>
      <c r="F250" s="8">
        <v>3.0</v>
      </c>
      <c r="G250" s="8">
        <v>499.12</v>
      </c>
      <c r="H250" s="8">
        <v>0.05</v>
      </c>
      <c r="I250" s="8">
        <f t="shared" si="1"/>
        <v>1497.36</v>
      </c>
      <c r="J250" s="8">
        <f t="shared" si="2"/>
        <v>-74.818</v>
      </c>
      <c r="K250" s="8" t="str">
        <f t="shared" si="3"/>
        <v>Mar</v>
      </c>
      <c r="L250" s="8">
        <f t="shared" si="4"/>
        <v>2025</v>
      </c>
      <c r="N250" s="8" t="str">
        <f t="array" ref="N250">XLOOKUP(C250,Customer_Dim!A:A,Customer_Dim!B:B,"Not Found")</f>
        <v>Thomas Robinson</v>
      </c>
      <c r="O250" s="8" t="str">
        <f t="array" ref="O250">XLOOKUP(C250,Customer_Dim!A:A,Customer_Dim!E:E,"Not Found")</f>
        <v>Nicholastown</v>
      </c>
      <c r="P250" s="8" t="str">
        <f t="array" ref="P250">XLOOKUP(D250,Product_Dim!A:A,Product_Dim!B:B,"Not Found")</f>
        <v>High-Grip Football</v>
      </c>
      <c r="Q250" s="8" t="str">
        <f t="array" ref="Q250">XLOOKUP(D250,Product_Dim!A:A,Product_Dim!C:C,"Not Found")</f>
        <v>Sports</v>
      </c>
      <c r="R250" s="8" t="str">
        <f t="array" ref="R250">XLOOKUP(E250,Store_Dim!A:A,Store_Dim!B:B,"Not Found")</f>
        <v>South</v>
      </c>
      <c r="S250" s="8" t="str">
        <f t="array" ref="S250">XLOOKUP(E250,Store_Dim!A:A,Store_Dim!D:D,"Not Found")</f>
        <v>Flagship</v>
      </c>
    </row>
    <row r="251" ht="14.25" customHeight="1">
      <c r="A251" s="8" t="s">
        <v>2204</v>
      </c>
      <c r="B251" s="12">
        <v>45729.0</v>
      </c>
      <c r="C251" s="8" t="s">
        <v>110</v>
      </c>
      <c r="D251" s="8" t="s">
        <v>1793</v>
      </c>
      <c r="E251" s="8" t="s">
        <v>1910</v>
      </c>
      <c r="F251" s="8">
        <v>2.0</v>
      </c>
      <c r="G251" s="8">
        <v>894.58</v>
      </c>
      <c r="H251" s="8">
        <v>0.25</v>
      </c>
      <c r="I251" s="8">
        <f t="shared" si="1"/>
        <v>1789.16</v>
      </c>
      <c r="J251" s="8">
        <f t="shared" si="2"/>
        <v>-447.04</v>
      </c>
      <c r="K251" s="8" t="str">
        <f t="shared" si="3"/>
        <v>Mar</v>
      </c>
      <c r="L251" s="8">
        <f t="shared" si="4"/>
        <v>2025</v>
      </c>
      <c r="N251" s="8" t="str">
        <f t="array" ref="N251">XLOOKUP(C251,Customer_Dim!A:A,Customer_Dim!B:B,"Not Found")</f>
        <v>Jonathan Steele</v>
      </c>
      <c r="O251" s="8" t="str">
        <f t="array" ref="O251">XLOOKUP(C251,Customer_Dim!A:A,Customer_Dim!E:E,"Not Found")</f>
        <v>Molinabury</v>
      </c>
      <c r="P251" s="8" t="str">
        <f t="array" ref="P251">XLOOKUP(D251,Product_Dim!A:A,Product_Dim!B:B,"Not Found")</f>
        <v>Wooden Nightstand</v>
      </c>
      <c r="Q251" s="8" t="str">
        <f t="array" ref="Q251">XLOOKUP(D251,Product_Dim!A:A,Product_Dim!C:C,"Not Found")</f>
        <v>Home</v>
      </c>
      <c r="R251" s="8" t="str">
        <f t="array" ref="R251">XLOOKUP(E251,Store_Dim!A:A,Store_Dim!B:B,"Not Found")</f>
        <v>North</v>
      </c>
      <c r="S251" s="8" t="str">
        <f t="array" ref="S251">XLOOKUP(E251,Store_Dim!A:A,Store_Dim!D:D,"Not Found")</f>
        <v>Outlet</v>
      </c>
    </row>
    <row r="252" ht="14.25" customHeight="1">
      <c r="A252" s="8" t="s">
        <v>2205</v>
      </c>
      <c r="B252" s="12">
        <v>45730.0</v>
      </c>
      <c r="C252" s="8" t="s">
        <v>461</v>
      </c>
      <c r="D252" s="8" t="s">
        <v>1815</v>
      </c>
      <c r="E252" s="8" t="s">
        <v>1924</v>
      </c>
      <c r="F252" s="8">
        <v>4.0</v>
      </c>
      <c r="G252" s="8">
        <v>578.39</v>
      </c>
      <c r="H252" s="8">
        <v>0.01</v>
      </c>
      <c r="I252" s="8">
        <f t="shared" si="1"/>
        <v>2313.56</v>
      </c>
      <c r="J252" s="8">
        <f t="shared" si="2"/>
        <v>-23.1256</v>
      </c>
      <c r="K252" s="8" t="str">
        <f t="shared" si="3"/>
        <v>Mar</v>
      </c>
      <c r="L252" s="8">
        <f t="shared" si="4"/>
        <v>2025</v>
      </c>
      <c r="N252" s="8" t="str">
        <f t="array" ref="N252">XLOOKUP(C252,Customer_Dim!A:A,Customer_Dim!B:B,"Not Found")</f>
        <v>Joseph Richards</v>
      </c>
      <c r="O252" s="8" t="str">
        <f t="array" ref="O252">XLOOKUP(C252,Customer_Dim!A:A,Customer_Dim!E:E,"Not Found")</f>
        <v>Wigginsville</v>
      </c>
      <c r="P252" s="8" t="str">
        <f t="array" ref="P252">XLOOKUP(D252,Product_Dim!A:A,Product_Dim!B:B,"Not Found")</f>
        <v>Women's Ankle Boots</v>
      </c>
      <c r="Q252" s="8" t="str">
        <f t="array" ref="Q252">XLOOKUP(D252,Product_Dim!A:A,Product_Dim!C:C,"Not Found")</f>
        <v>Clothing</v>
      </c>
      <c r="R252" s="8" t="str">
        <f t="array" ref="R252">XLOOKUP(E252,Store_Dim!A:A,Store_Dim!B:B,"Not Found")</f>
        <v>South</v>
      </c>
      <c r="S252" s="8" t="str">
        <f t="array" ref="S252">XLOOKUP(E252,Store_Dim!A:A,Store_Dim!D:D,"Not Found")</f>
        <v>Flagship</v>
      </c>
    </row>
    <row r="253" ht="14.25" customHeight="1">
      <c r="A253" s="8" t="s">
        <v>2206</v>
      </c>
      <c r="B253" s="12">
        <v>45731.0</v>
      </c>
      <c r="C253" s="8" t="s">
        <v>1508</v>
      </c>
      <c r="D253" s="8" t="s">
        <v>1710</v>
      </c>
      <c r="E253" s="8" t="s">
        <v>1937</v>
      </c>
      <c r="F253" s="8">
        <v>4.0</v>
      </c>
      <c r="G253" s="8">
        <v>982.45</v>
      </c>
      <c r="H253" s="8">
        <v>0.2</v>
      </c>
      <c r="I253" s="8">
        <f t="shared" si="1"/>
        <v>3929.8</v>
      </c>
      <c r="J253" s="8">
        <f t="shared" si="2"/>
        <v>-785.76</v>
      </c>
      <c r="K253" s="8" t="str">
        <f t="shared" si="3"/>
        <v>Mar</v>
      </c>
      <c r="L253" s="8">
        <f t="shared" si="4"/>
        <v>2025</v>
      </c>
      <c r="N253" s="8" t="str">
        <f t="array" ref="N253">XLOOKUP(C253,Customer_Dim!A:A,Customer_Dim!B:B,"Not Found")</f>
        <v>Sara Ingram</v>
      </c>
      <c r="O253" s="8" t="str">
        <f t="array" ref="O253">XLOOKUP(C253,Customer_Dim!A:A,Customer_Dim!E:E,"Not Found")</f>
        <v>East Dillonview</v>
      </c>
      <c r="P253" s="8" t="str">
        <f t="array" ref="P253">XLOOKUP(D253,Product_Dim!A:A,Product_Dim!B:B,"Not Found")</f>
        <v>Yoga Exercise Mat</v>
      </c>
      <c r="Q253" s="8" t="str">
        <f t="array" ref="Q253">XLOOKUP(D253,Product_Dim!A:A,Product_Dim!C:C,"Not Found")</f>
        <v>Sports</v>
      </c>
      <c r="R253" s="8" t="str">
        <f t="array" ref="R253">XLOOKUP(E253,Store_Dim!A:A,Store_Dim!B:B,"Not Found")</f>
        <v>North</v>
      </c>
      <c r="S253" s="8" t="str">
        <f t="array" ref="S253">XLOOKUP(E253,Store_Dim!A:A,Store_Dim!D:D,"Not Found")</f>
        <v>Flagship</v>
      </c>
    </row>
    <row r="254" ht="14.25" customHeight="1">
      <c r="A254" s="8" t="s">
        <v>2207</v>
      </c>
      <c r="B254" s="12">
        <v>45732.0</v>
      </c>
      <c r="C254" s="8" t="s">
        <v>1405</v>
      </c>
      <c r="D254" s="8" t="s">
        <v>1884</v>
      </c>
      <c r="E254" s="8" t="s">
        <v>1941</v>
      </c>
      <c r="F254" s="8">
        <v>1.0</v>
      </c>
      <c r="G254" s="8">
        <v>549.52</v>
      </c>
      <c r="H254" s="8">
        <v>0.1</v>
      </c>
      <c r="I254" s="8">
        <f t="shared" si="1"/>
        <v>549.52</v>
      </c>
      <c r="J254" s="8">
        <f t="shared" si="2"/>
        <v>-54.852</v>
      </c>
      <c r="K254" s="8" t="str">
        <f t="shared" si="3"/>
        <v>Mar</v>
      </c>
      <c r="L254" s="8">
        <f t="shared" si="4"/>
        <v>2025</v>
      </c>
      <c r="N254" s="8" t="str">
        <f t="array" ref="N254">XLOOKUP(C254,Customer_Dim!A:A,Customer_Dim!B:B,"Not Found")</f>
        <v>William Cortez</v>
      </c>
      <c r="O254" s="8" t="str">
        <f t="array" ref="O254">XLOOKUP(C254,Customer_Dim!A:A,Customer_Dim!E:E,"Not Found")</f>
        <v>Port Hannahport</v>
      </c>
      <c r="P254" s="8" t="str">
        <f t="array" ref="P254">XLOOKUP(D254,Product_Dim!A:A,Product_Dim!B:B,"Not Found")</f>
        <v>Portable Bluetooth Speaker</v>
      </c>
      <c r="Q254" s="8" t="str">
        <f t="array" ref="Q254">XLOOKUP(D254,Product_Dim!A:A,Product_Dim!C:C,"Not Found")</f>
        <v>Electronics</v>
      </c>
      <c r="R254" s="8" t="str">
        <f t="array" ref="R254">XLOOKUP(E254,Store_Dim!A:A,Store_Dim!B:B,"Not Found")</f>
        <v>East</v>
      </c>
      <c r="S254" s="8" t="str">
        <f t="array" ref="S254">XLOOKUP(E254,Store_Dim!A:A,Store_Dim!D:D,"Not Found")</f>
        <v>Online</v>
      </c>
    </row>
    <row r="255" ht="14.25" customHeight="1">
      <c r="A255" s="8" t="s">
        <v>2208</v>
      </c>
      <c r="B255" s="12">
        <v>45733.0</v>
      </c>
      <c r="C255" s="8" t="s">
        <v>785</v>
      </c>
      <c r="D255" s="8" t="s">
        <v>1866</v>
      </c>
      <c r="E255" s="8" t="s">
        <v>1939</v>
      </c>
      <c r="F255" s="8">
        <v>2.0</v>
      </c>
      <c r="G255" s="8">
        <v>239.92</v>
      </c>
      <c r="H255" s="8">
        <v>0.16</v>
      </c>
      <c r="I255" s="8">
        <f t="shared" si="1"/>
        <v>479.84</v>
      </c>
      <c r="J255" s="8">
        <f t="shared" si="2"/>
        <v>-76.6144</v>
      </c>
      <c r="K255" s="8" t="str">
        <f t="shared" si="3"/>
        <v>Mar</v>
      </c>
      <c r="L255" s="8">
        <f t="shared" si="4"/>
        <v>2025</v>
      </c>
      <c r="N255" s="8" t="str">
        <f t="array" ref="N255">XLOOKUP(C255,Customer_Dim!A:A,Customer_Dim!B:B,"Not Found")</f>
        <v>William Hull</v>
      </c>
      <c r="O255" s="8" t="str">
        <f t="array" ref="O255">XLOOKUP(C255,Customer_Dim!A:A,Customer_Dim!E:E,"Not Found")</f>
        <v>Heathfort</v>
      </c>
      <c r="P255" s="8" t="str">
        <f t="array" ref="P255">XLOOKUP(D255,Product_Dim!A:A,Product_Dim!B:B,"Not Found")</f>
        <v>Microwave Oven</v>
      </c>
      <c r="Q255" s="8" t="str">
        <f t="array" ref="Q255">XLOOKUP(D255,Product_Dim!A:A,Product_Dim!C:C,"Not Found")</f>
        <v>Home</v>
      </c>
      <c r="R255" s="8" t="str">
        <f t="array" ref="R255">XLOOKUP(E255,Store_Dim!A:A,Store_Dim!B:B,"Not Found")</f>
        <v>East</v>
      </c>
      <c r="S255" s="8" t="str">
        <f t="array" ref="S255">XLOOKUP(E255,Store_Dim!A:A,Store_Dim!D:D,"Not Found")</f>
        <v>Flagship</v>
      </c>
    </row>
    <row r="256" ht="14.25" customHeight="1">
      <c r="A256" s="8" t="s">
        <v>2209</v>
      </c>
      <c r="B256" s="12">
        <v>45734.0</v>
      </c>
      <c r="C256" s="8" t="s">
        <v>308</v>
      </c>
      <c r="D256" s="8" t="s">
        <v>1866</v>
      </c>
      <c r="E256" s="8" t="s">
        <v>1917</v>
      </c>
      <c r="F256" s="8">
        <v>2.0</v>
      </c>
      <c r="G256" s="8">
        <v>878.05</v>
      </c>
      <c r="H256" s="8">
        <v>0.11</v>
      </c>
      <c r="I256" s="8">
        <f t="shared" si="1"/>
        <v>1756.1</v>
      </c>
      <c r="J256" s="8">
        <f t="shared" si="2"/>
        <v>-193.061</v>
      </c>
      <c r="K256" s="8" t="str">
        <f t="shared" si="3"/>
        <v>Mar</v>
      </c>
      <c r="L256" s="8">
        <f t="shared" si="4"/>
        <v>2025</v>
      </c>
      <c r="N256" s="8" t="str">
        <f t="array" ref="N256">XLOOKUP(C256,Customer_Dim!A:A,Customer_Dim!B:B,"Not Found")</f>
        <v>George Rosario</v>
      </c>
      <c r="O256" s="8" t="str">
        <f t="array" ref="O256">XLOOKUP(C256,Customer_Dim!A:A,Customer_Dim!E:E,"Not Found")</f>
        <v>Leburgh</v>
      </c>
      <c r="P256" s="8" t="str">
        <f t="array" ref="P256">XLOOKUP(D256,Product_Dim!A:A,Product_Dim!B:B,"Not Found")</f>
        <v>Microwave Oven</v>
      </c>
      <c r="Q256" s="8" t="str">
        <f t="array" ref="Q256">XLOOKUP(D256,Product_Dim!A:A,Product_Dim!C:C,"Not Found")</f>
        <v>Home</v>
      </c>
      <c r="R256" s="8" t="str">
        <f t="array" ref="R256">XLOOKUP(E256,Store_Dim!A:A,Store_Dim!B:B,"Not Found")</f>
        <v>East</v>
      </c>
      <c r="S256" s="8" t="str">
        <f t="array" ref="S256">XLOOKUP(E256,Store_Dim!A:A,Store_Dim!D:D,"Not Found")</f>
        <v>Online</v>
      </c>
    </row>
    <row r="257" ht="14.25" customHeight="1">
      <c r="A257" s="8" t="s">
        <v>2210</v>
      </c>
      <c r="B257" s="12">
        <v>45735.0</v>
      </c>
      <c r="C257" s="8" t="s">
        <v>182</v>
      </c>
      <c r="D257" s="8" t="s">
        <v>1567</v>
      </c>
      <c r="E257" s="8" t="s">
        <v>1924</v>
      </c>
      <c r="F257" s="8">
        <v>3.0</v>
      </c>
      <c r="G257" s="8">
        <v>546.96</v>
      </c>
      <c r="H257" s="8">
        <v>0.19</v>
      </c>
      <c r="I257" s="8">
        <f t="shared" si="1"/>
        <v>1640.88</v>
      </c>
      <c r="J257" s="8">
        <f t="shared" si="2"/>
        <v>-311.5772</v>
      </c>
      <c r="K257" s="8" t="str">
        <f t="shared" si="3"/>
        <v>Mar</v>
      </c>
      <c r="L257" s="8">
        <f t="shared" si="4"/>
        <v>2025</v>
      </c>
      <c r="N257" s="8" t="str">
        <f t="array" ref="N257">XLOOKUP(C257,Customer_Dim!A:A,Customer_Dim!B:B,"Not Found")</f>
        <v>Denise Williams</v>
      </c>
      <c r="O257" s="8" t="str">
        <f t="array" ref="O257">XLOOKUP(C257,Customer_Dim!A:A,Customer_Dim!E:E,"Not Found")</f>
        <v>Christianstad</v>
      </c>
      <c r="P257" s="8" t="str">
        <f t="array" ref="P257">XLOOKUP(D257,Product_Dim!A:A,Product_Dim!B:B,"Not Found")</f>
        <v>Men's Graphic T-Shirt</v>
      </c>
      <c r="Q257" s="8" t="str">
        <f t="array" ref="Q257">XLOOKUP(D257,Product_Dim!A:A,Product_Dim!C:C,"Not Found")</f>
        <v>Clothing</v>
      </c>
      <c r="R257" s="8" t="str">
        <f t="array" ref="R257">XLOOKUP(E257,Store_Dim!A:A,Store_Dim!B:B,"Not Found")</f>
        <v>South</v>
      </c>
      <c r="S257" s="8" t="str">
        <f t="array" ref="S257">XLOOKUP(E257,Store_Dim!A:A,Store_Dim!D:D,"Not Found")</f>
        <v>Flagship</v>
      </c>
    </row>
    <row r="258" ht="14.25" customHeight="1">
      <c r="A258" s="8" t="s">
        <v>2211</v>
      </c>
      <c r="B258" s="12">
        <v>45736.0</v>
      </c>
      <c r="C258" s="8" t="s">
        <v>1468</v>
      </c>
      <c r="D258" s="8" t="s">
        <v>1632</v>
      </c>
      <c r="E258" s="8" t="s">
        <v>1926</v>
      </c>
      <c r="F258" s="8">
        <v>2.0</v>
      </c>
      <c r="G258" s="8">
        <v>71.77</v>
      </c>
      <c r="H258" s="8">
        <v>0.22</v>
      </c>
      <c r="I258" s="8">
        <f t="shared" si="1"/>
        <v>143.54</v>
      </c>
      <c r="J258" s="8">
        <f t="shared" si="2"/>
        <v>-31.3588</v>
      </c>
      <c r="K258" s="8" t="str">
        <f t="shared" si="3"/>
        <v>Mar</v>
      </c>
      <c r="L258" s="8">
        <f t="shared" si="4"/>
        <v>2025</v>
      </c>
      <c r="N258" s="8" t="str">
        <f t="array" ref="N258">XLOOKUP(C258,Customer_Dim!A:A,Customer_Dim!B:B,"Not Found")</f>
        <v>Debra Mccullough</v>
      </c>
      <c r="O258" s="8" t="str">
        <f t="array" ref="O258">XLOOKUP(C258,Customer_Dim!A:A,Customer_Dim!E:E,"Not Found")</f>
        <v>Mcdanielfurt</v>
      </c>
      <c r="P258" s="8" t="str">
        <f t="array" ref="P258">XLOOKUP(D258,Product_Dim!A:A,Product_Dim!B:B,"Not Found")</f>
        <v>Soccer Training Cone Set</v>
      </c>
      <c r="Q258" s="8" t="str">
        <f t="array" ref="Q258">XLOOKUP(D258,Product_Dim!A:A,Product_Dim!C:C,"Not Found")</f>
        <v>Sports</v>
      </c>
      <c r="R258" s="8" t="str">
        <f t="array" ref="R258">XLOOKUP(E258,Store_Dim!A:A,Store_Dim!B:B,"Not Found")</f>
        <v>East</v>
      </c>
      <c r="S258" s="8" t="str">
        <f t="array" ref="S258">XLOOKUP(E258,Store_Dim!A:A,Store_Dim!D:D,"Not Found")</f>
        <v>Online</v>
      </c>
    </row>
    <row r="259" ht="14.25" customHeight="1">
      <c r="A259" s="8" t="s">
        <v>2212</v>
      </c>
      <c r="B259" s="12">
        <v>45737.0</v>
      </c>
      <c r="C259" s="8" t="s">
        <v>72</v>
      </c>
      <c r="D259" s="8" t="s">
        <v>1655</v>
      </c>
      <c r="E259" s="8" t="s">
        <v>1903</v>
      </c>
      <c r="F259" s="8">
        <v>2.0</v>
      </c>
      <c r="G259" s="8">
        <v>679.86</v>
      </c>
      <c r="H259" s="8">
        <v>0.22</v>
      </c>
      <c r="I259" s="8">
        <f t="shared" si="1"/>
        <v>1359.72</v>
      </c>
      <c r="J259" s="8">
        <f t="shared" si="2"/>
        <v>-298.9184</v>
      </c>
      <c r="K259" s="8" t="str">
        <f t="shared" si="3"/>
        <v>Mar</v>
      </c>
      <c r="L259" s="8">
        <f t="shared" si="4"/>
        <v>2025</v>
      </c>
      <c r="N259" s="8" t="str">
        <f t="array" ref="N259">XLOOKUP(C259,Customer_Dim!A:A,Customer_Dim!B:B,"Not Found")</f>
        <v>Nathan Hernandez</v>
      </c>
      <c r="O259" s="8" t="str">
        <f t="array" ref="O259">XLOOKUP(C259,Customer_Dim!A:A,Customer_Dim!E:E,"Not Found")</f>
        <v>New Becky</v>
      </c>
      <c r="P259" s="8" t="str">
        <f t="array" ref="P259">XLOOKUP(D259,Product_Dim!A:A,Product_Dim!B:B,"Not Found")</f>
        <v>Foldable Camping Chair</v>
      </c>
      <c r="Q259" s="8" t="str">
        <f t="array" ref="Q259">XLOOKUP(D259,Product_Dim!A:A,Product_Dim!C:C,"Not Found")</f>
        <v>Sports</v>
      </c>
      <c r="R259" s="8" t="str">
        <f t="array" ref="R259">XLOOKUP(E259,Store_Dim!A:A,Store_Dim!B:B,"Not Found")</f>
        <v>North</v>
      </c>
      <c r="S259" s="8" t="str">
        <f t="array" ref="S259">XLOOKUP(E259,Store_Dim!A:A,Store_Dim!D:D,"Not Found")</f>
        <v>Flagship</v>
      </c>
    </row>
    <row r="260" ht="14.25" customHeight="1">
      <c r="A260" s="8" t="s">
        <v>2213</v>
      </c>
      <c r="B260" s="12">
        <v>45738.0</v>
      </c>
      <c r="C260" s="8" t="s">
        <v>476</v>
      </c>
      <c r="D260" s="8" t="s">
        <v>1690</v>
      </c>
      <c r="E260" s="8" t="s">
        <v>1937</v>
      </c>
      <c r="F260" s="8">
        <v>1.0</v>
      </c>
      <c r="G260" s="8">
        <v>222.94</v>
      </c>
      <c r="H260" s="8">
        <v>0.19</v>
      </c>
      <c r="I260" s="8">
        <f t="shared" si="1"/>
        <v>222.94</v>
      </c>
      <c r="J260" s="8">
        <f t="shared" si="2"/>
        <v>-42.1686</v>
      </c>
      <c r="K260" s="8" t="str">
        <f t="shared" si="3"/>
        <v>Mar</v>
      </c>
      <c r="L260" s="8">
        <f t="shared" si="4"/>
        <v>2025</v>
      </c>
      <c r="N260" s="8" t="str">
        <f t="array" ref="N260">XLOOKUP(C260,Customer_Dim!A:A,Customer_Dim!B:B,"Not Found")</f>
        <v>Patrick Coleman</v>
      </c>
      <c r="O260" s="8" t="str">
        <f t="array" ref="O260">XLOOKUP(C260,Customer_Dim!A:A,Customer_Dim!E:E,"Not Found")</f>
        <v>New Jeffrey</v>
      </c>
      <c r="P260" s="8" t="str">
        <f t="array" ref="P260">XLOOKUP(D260,Product_Dim!A:A,Product_Dim!B:B,"Not Found")</f>
        <v>Bedroom Table Lamp</v>
      </c>
      <c r="Q260" s="8" t="str">
        <f t="array" ref="Q260">XLOOKUP(D260,Product_Dim!A:A,Product_Dim!C:C,"Not Found")</f>
        <v>Home</v>
      </c>
      <c r="R260" s="8" t="str">
        <f t="array" ref="R260">XLOOKUP(E260,Store_Dim!A:A,Store_Dim!B:B,"Not Found")</f>
        <v>North</v>
      </c>
      <c r="S260" s="8" t="str">
        <f t="array" ref="S260">XLOOKUP(E260,Store_Dim!A:A,Store_Dim!D:D,"Not Found")</f>
        <v>Flagship</v>
      </c>
    </row>
    <row r="261" ht="14.25" customHeight="1">
      <c r="A261" s="8" t="s">
        <v>2214</v>
      </c>
      <c r="B261" s="12">
        <v>45739.0</v>
      </c>
      <c r="C261" s="8" t="s">
        <v>809</v>
      </c>
      <c r="D261" s="8" t="s">
        <v>1690</v>
      </c>
      <c r="E261" s="8" t="s">
        <v>1906</v>
      </c>
      <c r="F261" s="8">
        <v>2.0</v>
      </c>
      <c r="G261" s="8">
        <v>355.3</v>
      </c>
      <c r="I261" s="8">
        <f t="shared" si="1"/>
        <v>710.6</v>
      </c>
      <c r="J261" s="8">
        <f t="shared" si="2"/>
        <v>0</v>
      </c>
      <c r="K261" s="8" t="str">
        <f t="shared" si="3"/>
        <v>Mar</v>
      </c>
      <c r="L261" s="8">
        <f t="shared" si="4"/>
        <v>2025</v>
      </c>
      <c r="N261" s="8" t="str">
        <f t="array" ref="N261">XLOOKUP(C261,Customer_Dim!A:A,Customer_Dim!B:B,"Not Found")</f>
        <v>Nicholas Webb</v>
      </c>
      <c r="O261" s="8" t="str">
        <f t="array" ref="O261">XLOOKUP(C261,Customer_Dim!A:A,Customer_Dim!E:E,"Not Found")</f>
        <v>Lake Timothy</v>
      </c>
      <c r="P261" s="8" t="str">
        <f t="array" ref="P261">XLOOKUP(D261,Product_Dim!A:A,Product_Dim!B:B,"Not Found")</f>
        <v>Bedroom Table Lamp</v>
      </c>
      <c r="Q261" s="8" t="str">
        <f t="array" ref="Q261">XLOOKUP(D261,Product_Dim!A:A,Product_Dim!C:C,"Not Found")</f>
        <v>Home</v>
      </c>
      <c r="R261" s="8" t="str">
        <f t="array" ref="R261">XLOOKUP(E261,Store_Dim!A:A,Store_Dim!B:B,"Not Found")</f>
        <v>South</v>
      </c>
      <c r="S261" s="8" t="str">
        <f t="array" ref="S261">XLOOKUP(E261,Store_Dim!A:A,Store_Dim!D:D,"Not Found")</f>
        <v>Outlet</v>
      </c>
    </row>
    <row r="262" ht="14.25" customHeight="1">
      <c r="A262" s="8" t="s">
        <v>2215</v>
      </c>
      <c r="B262" s="12">
        <v>45740.0</v>
      </c>
      <c r="C262" s="8" t="s">
        <v>376</v>
      </c>
      <c r="D262" s="8" t="s">
        <v>1857</v>
      </c>
      <c r="E262" s="8" t="s">
        <v>1941</v>
      </c>
      <c r="F262" s="8">
        <v>4.0</v>
      </c>
      <c r="G262" s="8">
        <v>611.3</v>
      </c>
      <c r="H262" s="8">
        <v>0.11</v>
      </c>
      <c r="I262" s="8">
        <f t="shared" si="1"/>
        <v>2445.2</v>
      </c>
      <c r="J262" s="8">
        <f t="shared" si="2"/>
        <v>-268.862</v>
      </c>
      <c r="K262" s="8" t="str">
        <f t="shared" si="3"/>
        <v>Mar</v>
      </c>
      <c r="L262" s="8">
        <f t="shared" si="4"/>
        <v>2025</v>
      </c>
      <c r="N262" s="8" t="str">
        <f t="array" ref="N262">XLOOKUP(C262,Customer_Dim!A:A,Customer_Dim!B:B,"Not Found")</f>
        <v>Steven Stein</v>
      </c>
      <c r="O262" s="8" t="str">
        <f t="array" ref="O262">XLOOKUP(C262,Customer_Dim!A:A,Customer_Dim!E:E,"Not Found")</f>
        <v>West Lauren</v>
      </c>
      <c r="P262" s="8" t="str">
        <f t="array" ref="P262">XLOOKUP(D262,Product_Dim!A:A,Product_Dim!B:B,"Not Found")</f>
        <v>Face Foundation Kit</v>
      </c>
      <c r="Q262" s="8" t="str">
        <f t="array" ref="Q262">XLOOKUP(D262,Product_Dim!A:A,Product_Dim!C:C,"Not Found")</f>
        <v>Beauty</v>
      </c>
      <c r="R262" s="8" t="str">
        <f t="array" ref="R262">XLOOKUP(E262,Store_Dim!A:A,Store_Dim!B:B,"Not Found")</f>
        <v>East</v>
      </c>
      <c r="S262" s="8" t="str">
        <f t="array" ref="S262">XLOOKUP(E262,Store_Dim!A:A,Store_Dim!D:D,"Not Found")</f>
        <v>Online</v>
      </c>
    </row>
    <row r="263" ht="14.25" customHeight="1">
      <c r="A263" s="8" t="s">
        <v>2216</v>
      </c>
      <c r="B263" s="12">
        <v>45741.0</v>
      </c>
      <c r="C263" s="8" t="s">
        <v>1062</v>
      </c>
      <c r="D263" s="8" t="s">
        <v>1562</v>
      </c>
      <c r="E263" s="8" t="s">
        <v>1921</v>
      </c>
      <c r="F263" s="8">
        <v>4.0</v>
      </c>
      <c r="G263" s="8">
        <v>849.21</v>
      </c>
      <c r="H263" s="8">
        <v>0.07</v>
      </c>
      <c r="I263" s="8">
        <f t="shared" si="1"/>
        <v>3396.84</v>
      </c>
      <c r="J263" s="8">
        <f t="shared" si="2"/>
        <v>-237.7088</v>
      </c>
      <c r="K263" s="8" t="str">
        <f t="shared" si="3"/>
        <v>Mar</v>
      </c>
      <c r="L263" s="8">
        <f t="shared" si="4"/>
        <v>2025</v>
      </c>
      <c r="N263" s="8" t="str">
        <f t="array" ref="N263">XLOOKUP(C263,Customer_Dim!A:A,Customer_Dim!B:B,"Not Found")</f>
        <v>Teresa Johnson</v>
      </c>
      <c r="O263" s="8" t="str">
        <f t="array" ref="O263">XLOOKUP(C263,Customer_Dim!A:A,Customer_Dim!E:E,"Not Found")</f>
        <v>Johnsonbury</v>
      </c>
      <c r="P263" s="8" t="str">
        <f t="array" ref="P263">XLOOKUP(D263,Product_Dim!A:A,Product_Dim!B:B,"Not Found")</f>
        <v>Brother Laser Printer</v>
      </c>
      <c r="Q263" s="8" t="str">
        <f t="array" ref="Q263">XLOOKUP(D263,Product_Dim!A:A,Product_Dim!C:C,"Not Found")</f>
        <v>Electronics</v>
      </c>
      <c r="R263" s="8" t="str">
        <f t="array" ref="R263">XLOOKUP(E263,Store_Dim!A:A,Store_Dim!B:B,"Not Found")</f>
        <v>West</v>
      </c>
      <c r="S263" s="8" t="str">
        <f t="array" ref="S263">XLOOKUP(E263,Store_Dim!A:A,Store_Dim!D:D,"Not Found")</f>
        <v>Online</v>
      </c>
    </row>
    <row r="264" ht="14.25" customHeight="1">
      <c r="A264" s="8" t="s">
        <v>2217</v>
      </c>
      <c r="B264" s="12">
        <v>45742.0</v>
      </c>
      <c r="C264" s="8" t="s">
        <v>693</v>
      </c>
      <c r="D264" s="8" t="s">
        <v>1713</v>
      </c>
      <c r="E264" s="8" t="s">
        <v>1919</v>
      </c>
      <c r="F264" s="8">
        <v>3.0</v>
      </c>
      <c r="G264" s="8">
        <v>553.12</v>
      </c>
      <c r="H264" s="8">
        <v>0.28</v>
      </c>
      <c r="I264" s="8">
        <f t="shared" si="1"/>
        <v>1659.36</v>
      </c>
      <c r="J264" s="8">
        <f t="shared" si="2"/>
        <v>-464.3408</v>
      </c>
      <c r="K264" s="8" t="str">
        <f t="shared" si="3"/>
        <v>Mar</v>
      </c>
      <c r="L264" s="8">
        <f t="shared" si="4"/>
        <v>2025</v>
      </c>
      <c r="N264" s="8" t="str">
        <f t="array" ref="N264">XLOOKUP(C264,Customer_Dim!A:A,Customer_Dim!B:B,"Not Found")</f>
        <v>Joan Johnson</v>
      </c>
      <c r="O264" s="8" t="str">
        <f t="array" ref="O264">XLOOKUP(C264,Customer_Dim!A:A,Customer_Dim!E:E,"Not Found")</f>
        <v>Lake Josephport</v>
      </c>
      <c r="P264" s="8" t="str">
        <f t="array" ref="P264">XLOOKUP(D264,Product_Dim!A:A,Product_Dim!B:B,"Not Found")</f>
        <v>Smart Home WiFi Camera</v>
      </c>
      <c r="Q264" s="8" t="str">
        <f t="array" ref="Q264">XLOOKUP(D264,Product_Dim!A:A,Product_Dim!C:C,"Not Found")</f>
        <v>Electronics</v>
      </c>
      <c r="R264" s="8" t="str">
        <f t="array" ref="R264">XLOOKUP(E264,Store_Dim!A:A,Store_Dim!B:B,"Not Found")</f>
        <v>South</v>
      </c>
      <c r="S264" s="8" t="str">
        <f t="array" ref="S264">XLOOKUP(E264,Store_Dim!A:A,Store_Dim!D:D,"Not Found")</f>
        <v>Online</v>
      </c>
    </row>
    <row r="265" ht="14.25" customHeight="1">
      <c r="A265" s="8" t="s">
        <v>2218</v>
      </c>
      <c r="B265" s="12">
        <v>45743.0</v>
      </c>
      <c r="C265" s="8" t="s">
        <v>911</v>
      </c>
      <c r="D265" s="8" t="s">
        <v>1863</v>
      </c>
      <c r="E265" s="8" t="s">
        <v>1924</v>
      </c>
      <c r="F265" s="8">
        <v>2.0</v>
      </c>
      <c r="G265" s="8">
        <v>903.08</v>
      </c>
      <c r="H265" s="8">
        <v>0.18</v>
      </c>
      <c r="I265" s="8">
        <f t="shared" si="1"/>
        <v>1806.16</v>
      </c>
      <c r="J265" s="8">
        <f t="shared" si="2"/>
        <v>-324.9288</v>
      </c>
      <c r="K265" s="8" t="str">
        <f t="shared" si="3"/>
        <v>Mar</v>
      </c>
      <c r="L265" s="8">
        <f t="shared" si="4"/>
        <v>2025</v>
      </c>
      <c r="N265" s="8" t="str">
        <f t="array" ref="N265">XLOOKUP(C265,Customer_Dim!A:A,Customer_Dim!B:B,"Not Found")</f>
        <v>Kristi Lopez</v>
      </c>
      <c r="O265" s="8" t="str">
        <f t="array" ref="O265">XLOOKUP(C265,Customer_Dim!A:A,Customer_Dim!E:E,"Not Found")</f>
        <v>Spencermouth</v>
      </c>
      <c r="P265" s="8" t="str">
        <f t="array" ref="P265">XLOOKUP(D265,Product_Dim!A:A,Product_Dim!B:B,"Not Found")</f>
        <v>Women's High Heels</v>
      </c>
      <c r="Q265" s="8" t="str">
        <f t="array" ref="Q265">XLOOKUP(D265,Product_Dim!A:A,Product_Dim!C:C,"Not Found")</f>
        <v>Clothing</v>
      </c>
      <c r="R265" s="8" t="str">
        <f t="array" ref="R265">XLOOKUP(E265,Store_Dim!A:A,Store_Dim!B:B,"Not Found")</f>
        <v>South</v>
      </c>
      <c r="S265" s="8" t="str">
        <f t="array" ref="S265">XLOOKUP(E265,Store_Dim!A:A,Store_Dim!D:D,"Not Found")</f>
        <v>Flagship</v>
      </c>
    </row>
    <row r="266" ht="14.25" customHeight="1">
      <c r="A266" s="8" t="s">
        <v>2219</v>
      </c>
      <c r="B266" s="12">
        <v>45744.0</v>
      </c>
      <c r="C266" s="8" t="s">
        <v>1488</v>
      </c>
      <c r="D266" s="8" t="s">
        <v>1989</v>
      </c>
      <c r="E266" s="8" t="s">
        <v>1928</v>
      </c>
      <c r="F266" s="8">
        <v>4.0</v>
      </c>
      <c r="G266" s="8">
        <v>640.23</v>
      </c>
      <c r="H266" s="8">
        <v>0.06</v>
      </c>
      <c r="I266" s="8">
        <f t="shared" si="1"/>
        <v>2560.92</v>
      </c>
      <c r="J266" s="8">
        <f t="shared" si="2"/>
        <v>-153.5952</v>
      </c>
      <c r="K266" s="8" t="str">
        <f t="shared" si="3"/>
        <v>Mar</v>
      </c>
      <c r="L266" s="8">
        <f t="shared" si="4"/>
        <v>2025</v>
      </c>
      <c r="N266" s="8" t="str">
        <f t="array" ref="N266">XLOOKUP(C266,Customer_Dim!A:A,Customer_Dim!B:B,"Not Found")</f>
        <v>Earl Smith DDS</v>
      </c>
      <c r="O266" s="8" t="str">
        <f t="array" ref="O266">XLOOKUP(C266,Customer_Dim!A:A,Customer_Dim!E:E,"Not Found")</f>
        <v>West Sarah</v>
      </c>
      <c r="P266" s="8" t="str">
        <f t="array" ref="P266">XLOOKUP(D266,Product_Dim!A:A,Product_Dim!B:B,"Not Found")</f>
        <v>Not Found</v>
      </c>
      <c r="Q266" s="8" t="str">
        <f t="array" ref="Q266">XLOOKUP(D266,Product_Dim!A:A,Product_Dim!C:C,"Not Found")</f>
        <v>Not Found</v>
      </c>
      <c r="R266" s="8" t="str">
        <f t="array" ref="R266">XLOOKUP(E266,Store_Dim!A:A,Store_Dim!B:B,"Not Found")</f>
        <v>South</v>
      </c>
      <c r="S266" s="8" t="str">
        <f t="array" ref="S266">XLOOKUP(E266,Store_Dim!A:A,Store_Dim!D:D,"Not Found")</f>
        <v>Online</v>
      </c>
    </row>
    <row r="267" ht="14.25" customHeight="1">
      <c r="A267" s="8" t="s">
        <v>2220</v>
      </c>
      <c r="B267" s="12">
        <v>45745.0</v>
      </c>
      <c r="C267" s="8" t="s">
        <v>490</v>
      </c>
      <c r="D267" s="8" t="s">
        <v>1645</v>
      </c>
      <c r="E267" s="8" t="s">
        <v>1917</v>
      </c>
      <c r="F267" s="8">
        <v>1.0</v>
      </c>
      <c r="G267" s="8">
        <v>518.0</v>
      </c>
      <c r="H267" s="8">
        <v>0.25</v>
      </c>
      <c r="I267" s="8">
        <f t="shared" si="1"/>
        <v>518</v>
      </c>
      <c r="J267" s="8">
        <f t="shared" si="2"/>
        <v>-129.25</v>
      </c>
      <c r="K267" s="8" t="str">
        <f t="shared" si="3"/>
        <v>Mar</v>
      </c>
      <c r="L267" s="8">
        <f t="shared" si="4"/>
        <v>2025</v>
      </c>
      <c r="N267" s="8" t="str">
        <f t="array" ref="N267">XLOOKUP(C267,Customer_Dim!A:A,Customer_Dim!B:B,"Not Found")</f>
        <v>Cristian Wright</v>
      </c>
      <c r="O267" s="8" t="str">
        <f t="array" ref="O267">XLOOKUP(C267,Customer_Dim!A:A,Customer_Dim!E:E,"Not Found")</f>
        <v>Port Denise</v>
      </c>
      <c r="P267" s="8" t="str">
        <f t="array" ref="P267">XLOOKUP(D267,Product_Dim!A:A,Product_Dim!B:B,"Not Found")</f>
        <v>Multi-Purpose Storage Box</v>
      </c>
      <c r="Q267" s="8" t="str">
        <f t="array" ref="Q267">XLOOKUP(D267,Product_Dim!A:A,Product_Dim!C:C,"Not Found")</f>
        <v>Home</v>
      </c>
      <c r="R267" s="8" t="str">
        <f t="array" ref="R267">XLOOKUP(E267,Store_Dim!A:A,Store_Dim!B:B,"Not Found")</f>
        <v>East</v>
      </c>
      <c r="S267" s="8" t="str">
        <f t="array" ref="S267">XLOOKUP(E267,Store_Dim!A:A,Store_Dim!D:D,"Not Found")</f>
        <v>Online</v>
      </c>
    </row>
    <row r="268" ht="14.25" customHeight="1">
      <c r="A268" s="8" t="s">
        <v>2221</v>
      </c>
      <c r="B268" s="12">
        <v>45746.0</v>
      </c>
      <c r="C268" s="8" t="s">
        <v>1359</v>
      </c>
      <c r="D268" s="8" t="s">
        <v>1781</v>
      </c>
      <c r="E268" s="8" t="s">
        <v>1912</v>
      </c>
      <c r="F268" s="8">
        <v>4.0</v>
      </c>
      <c r="G268" s="8">
        <v>779.25</v>
      </c>
      <c r="H268" s="8">
        <v>0.25</v>
      </c>
      <c r="I268" s="8">
        <f t="shared" si="1"/>
        <v>3117</v>
      </c>
      <c r="J268" s="8">
        <f t="shared" si="2"/>
        <v>-779</v>
      </c>
      <c r="K268" s="8" t="str">
        <f t="shared" si="3"/>
        <v>Mar</v>
      </c>
      <c r="L268" s="8">
        <f t="shared" si="4"/>
        <v>2025</v>
      </c>
      <c r="N268" s="8" t="str">
        <f t="array" ref="N268">XLOOKUP(C268,Customer_Dim!A:A,Customer_Dim!B:B,"Not Found")</f>
        <v>Thomas Moore</v>
      </c>
      <c r="O268" s="8" t="str">
        <f t="array" ref="O268">XLOOKUP(C268,Customer_Dim!A:A,Customer_Dim!E:E,"Not Found")</f>
        <v>Williamsberg</v>
      </c>
      <c r="P268" s="8" t="str">
        <f t="array" ref="P268">XLOOKUP(D268,Product_Dim!A:A,Product_Dim!B:B,"Not Found")</f>
        <v>Matte Lipstick Set</v>
      </c>
      <c r="Q268" s="8" t="str">
        <f t="array" ref="Q268">XLOOKUP(D268,Product_Dim!A:A,Product_Dim!C:C,"Not Found")</f>
        <v>Beauty</v>
      </c>
      <c r="R268" s="8" t="str">
        <f t="array" ref="R268">XLOOKUP(E268,Store_Dim!A:A,Store_Dim!B:B,"Not Found")</f>
        <v>South</v>
      </c>
      <c r="S268" s="8" t="str">
        <f t="array" ref="S268">XLOOKUP(E268,Store_Dim!A:A,Store_Dim!D:D,"Not Found")</f>
        <v>Online</v>
      </c>
    </row>
    <row r="269" ht="14.25" customHeight="1">
      <c r="A269" s="8" t="s">
        <v>2222</v>
      </c>
      <c r="B269" s="12">
        <v>45747.0</v>
      </c>
      <c r="C269" s="8" t="s">
        <v>421</v>
      </c>
      <c r="D269" s="8" t="s">
        <v>1839</v>
      </c>
      <c r="E269" s="8" t="s">
        <v>1919</v>
      </c>
      <c r="F269" s="8">
        <v>2.0</v>
      </c>
      <c r="G269" s="8">
        <v>467.75</v>
      </c>
      <c r="H269" s="8">
        <v>0.26</v>
      </c>
      <c r="I269" s="8">
        <f t="shared" si="1"/>
        <v>935.5</v>
      </c>
      <c r="J269" s="8">
        <f t="shared" si="2"/>
        <v>-242.97</v>
      </c>
      <c r="K269" s="8" t="str">
        <f t="shared" si="3"/>
        <v>Mar</v>
      </c>
      <c r="L269" s="8">
        <f t="shared" si="4"/>
        <v>2025</v>
      </c>
      <c r="N269" s="8" t="str">
        <f t="array" ref="N269">XLOOKUP(C269,Customer_Dim!A:A,Customer_Dim!B:B,"Not Found")</f>
        <v>Earl Allen</v>
      </c>
      <c r="O269" s="8" t="str">
        <f t="array" ref="O269">XLOOKUP(C269,Customer_Dim!A:A,Customer_Dim!E:E,"Not Found")</f>
        <v>New Jenniferburgh</v>
      </c>
      <c r="P269" s="8" t="str">
        <f t="array" ref="P269">XLOOKUP(D269,Product_Dim!A:A,Product_Dim!B:B,"Not Found")</f>
        <v>Hydrating Face Cleanser</v>
      </c>
      <c r="Q269" s="8" t="str">
        <f t="array" ref="Q269">XLOOKUP(D269,Product_Dim!A:A,Product_Dim!C:C,"Not Found")</f>
        <v>Beauty</v>
      </c>
      <c r="R269" s="8" t="str">
        <f t="array" ref="R269">XLOOKUP(E269,Store_Dim!A:A,Store_Dim!B:B,"Not Found")</f>
        <v>South</v>
      </c>
      <c r="S269" s="8" t="str">
        <f t="array" ref="S269">XLOOKUP(E269,Store_Dim!A:A,Store_Dim!D:D,"Not Found")</f>
        <v>Online</v>
      </c>
    </row>
    <row r="270" ht="14.25" customHeight="1">
      <c r="A270" s="8" t="s">
        <v>2223</v>
      </c>
      <c r="B270" s="12">
        <v>45748.0</v>
      </c>
      <c r="C270" s="8" t="s">
        <v>1279</v>
      </c>
      <c r="D270" s="8" t="s">
        <v>1860</v>
      </c>
      <c r="E270" s="8" t="s">
        <v>1939</v>
      </c>
      <c r="F270" s="8">
        <v>3.0</v>
      </c>
      <c r="H270" s="8">
        <v>0.06</v>
      </c>
      <c r="I270" s="8">
        <f t="shared" si="1"/>
        <v>0</v>
      </c>
      <c r="J270" s="8">
        <f t="shared" si="2"/>
        <v>0.06</v>
      </c>
      <c r="K270" s="8" t="str">
        <f t="shared" si="3"/>
        <v>Apr</v>
      </c>
      <c r="L270" s="8">
        <f t="shared" si="4"/>
        <v>2025</v>
      </c>
      <c r="N270" s="8" t="str">
        <f t="array" ref="N270">XLOOKUP(C270,Customer_Dim!A:A,Customer_Dim!B:B,"Not Found")</f>
        <v>David Lozano</v>
      </c>
      <c r="O270" s="8" t="str">
        <f t="array" ref="O270">XLOOKUP(C270,Customer_Dim!A:A,Customer_Dim!E:E,"Not Found")</f>
        <v>North Michaelfurt</v>
      </c>
      <c r="P270" s="8" t="str">
        <f t="array" ref="P270">XLOOKUP(D270,Product_Dim!A:A,Product_Dim!B:B,"Not Found")</f>
        <v>Gaming Mouse Pad XL</v>
      </c>
      <c r="Q270" s="8" t="str">
        <f t="array" ref="Q270">XLOOKUP(D270,Product_Dim!A:A,Product_Dim!C:C,"Not Found")</f>
        <v>Electronics</v>
      </c>
      <c r="R270" s="8" t="str">
        <f t="array" ref="R270">XLOOKUP(E270,Store_Dim!A:A,Store_Dim!B:B,"Not Found")</f>
        <v>East</v>
      </c>
      <c r="S270" s="8" t="str">
        <f t="array" ref="S270">XLOOKUP(E270,Store_Dim!A:A,Store_Dim!D:D,"Not Found")</f>
        <v>Flagship</v>
      </c>
    </row>
    <row r="271" ht="14.25" customHeight="1">
      <c r="A271" s="8" t="s">
        <v>2224</v>
      </c>
      <c r="B271" s="12">
        <v>45749.0</v>
      </c>
      <c r="C271" s="8" t="s">
        <v>723</v>
      </c>
      <c r="D271" s="8" t="s">
        <v>1696</v>
      </c>
      <c r="E271" s="8" t="s">
        <v>1899</v>
      </c>
      <c r="F271" s="8">
        <v>4.0</v>
      </c>
      <c r="G271" s="8">
        <v>747.01</v>
      </c>
      <c r="H271" s="8">
        <v>0.13</v>
      </c>
      <c r="I271" s="8">
        <f t="shared" si="1"/>
        <v>2988.04</v>
      </c>
      <c r="J271" s="8">
        <f t="shared" si="2"/>
        <v>-388.3152</v>
      </c>
      <c r="K271" s="8" t="str">
        <f t="shared" si="3"/>
        <v>Apr</v>
      </c>
      <c r="L271" s="8">
        <f t="shared" si="4"/>
        <v>2025</v>
      </c>
      <c r="N271" s="8" t="str">
        <f t="array" ref="N271">XLOOKUP(C271,Customer_Dim!A:A,Customer_Dim!B:B,"Not Found")</f>
        <v>Jordan Wells</v>
      </c>
      <c r="O271" s="8" t="str">
        <f t="array" ref="O271">XLOOKUP(C271,Customer_Dim!A:A,Customer_Dim!E:E,"Not Found")</f>
        <v>Phillipschester   </v>
      </c>
      <c r="P271" s="8" t="str">
        <f t="array" ref="P271">XLOOKUP(D271,Product_Dim!A:A,Product_Dim!B:B,"Not Found")</f>
        <v>Men's Casual Sneakers</v>
      </c>
      <c r="Q271" s="8" t="str">
        <f t="array" ref="Q271">XLOOKUP(D271,Product_Dim!A:A,Product_Dim!C:C,"Not Found")</f>
        <v>Clothing</v>
      </c>
      <c r="R271" s="8" t="str">
        <f t="array" ref="R271">XLOOKUP(E271,Store_Dim!A:A,Store_Dim!B:B,"Not Found")</f>
        <v>East</v>
      </c>
      <c r="S271" s="8" t="str">
        <f t="array" ref="S271">XLOOKUP(E271,Store_Dim!A:A,Store_Dim!D:D,"Not Found")</f>
        <v>Flagship</v>
      </c>
    </row>
    <row r="272" ht="14.25" customHeight="1">
      <c r="A272" s="8" t="s">
        <v>2225</v>
      </c>
      <c r="B272" s="12">
        <v>45750.0</v>
      </c>
      <c r="C272" s="8" t="s">
        <v>370</v>
      </c>
      <c r="D272" s="8" t="s">
        <v>1857</v>
      </c>
      <c r="E272" s="8" t="s">
        <v>1929</v>
      </c>
      <c r="F272" s="8">
        <v>4.0</v>
      </c>
      <c r="G272" s="8">
        <v>461.83</v>
      </c>
      <c r="H272" s="8">
        <v>0.28</v>
      </c>
      <c r="I272" s="8">
        <f t="shared" si="1"/>
        <v>1847.32</v>
      </c>
      <c r="J272" s="8">
        <f t="shared" si="2"/>
        <v>-516.9696</v>
      </c>
      <c r="K272" s="8" t="str">
        <f t="shared" si="3"/>
        <v>Apr</v>
      </c>
      <c r="L272" s="8">
        <f t="shared" si="4"/>
        <v>2025</v>
      </c>
      <c r="N272" s="8" t="str">
        <f t="array" ref="N272">XLOOKUP(C272,Customer_Dim!A:A,Customer_Dim!B:B,"Not Found")</f>
        <v>Colleen Maynard</v>
      </c>
      <c r="O272" s="8" t="str">
        <f t="array" ref="O272">XLOOKUP(C272,Customer_Dim!A:A,Customer_Dim!E:E,"Not Found")</f>
        <v>Singletonmouth</v>
      </c>
      <c r="P272" s="8" t="str">
        <f t="array" ref="P272">XLOOKUP(D272,Product_Dim!A:A,Product_Dim!B:B,"Not Found")</f>
        <v>Face Foundation Kit</v>
      </c>
      <c r="Q272" s="8" t="str">
        <f t="array" ref="Q272">XLOOKUP(D272,Product_Dim!A:A,Product_Dim!C:C,"Not Found")</f>
        <v>Beauty</v>
      </c>
      <c r="R272" s="8" t="str">
        <f t="array" ref="R272">XLOOKUP(E272,Store_Dim!A:A,Store_Dim!B:B,"Not Found")</f>
        <v>North</v>
      </c>
      <c r="S272" s="8" t="str">
        <f t="array" ref="S272">XLOOKUP(E272,Store_Dim!A:A,Store_Dim!D:D,"Not Found")</f>
        <v>Online</v>
      </c>
    </row>
    <row r="273" ht="14.25" customHeight="1">
      <c r="A273" s="8" t="s">
        <v>2226</v>
      </c>
      <c r="B273" s="12">
        <v>45751.0</v>
      </c>
      <c r="C273" s="8" t="s">
        <v>470</v>
      </c>
      <c r="D273" s="8" t="s">
        <v>1800</v>
      </c>
      <c r="E273" s="8" t="s">
        <v>1921</v>
      </c>
      <c r="F273" s="8">
        <v>2.0</v>
      </c>
      <c r="G273" s="8">
        <v>105.15</v>
      </c>
      <c r="H273" s="8">
        <v>0.06</v>
      </c>
      <c r="I273" s="8">
        <f t="shared" si="1"/>
        <v>210.3</v>
      </c>
      <c r="J273" s="8">
        <f t="shared" si="2"/>
        <v>-12.558</v>
      </c>
      <c r="K273" s="8" t="str">
        <f t="shared" si="3"/>
        <v>Apr</v>
      </c>
      <c r="L273" s="8">
        <f t="shared" si="4"/>
        <v>2025</v>
      </c>
      <c r="N273" s="8" t="str">
        <f t="array" ref="N273">XLOOKUP(C273,Customer_Dim!A:A,Customer_Dim!B:B,"Not Found")</f>
        <v>Morgan Bowen</v>
      </c>
      <c r="O273" s="8" t="str">
        <f t="array" ref="O273">XLOOKUP(C273,Customer_Dim!A:A,Customer_Dim!E:E,"Not Found")</f>
        <v>Parksfort</v>
      </c>
      <c r="P273" s="8" t="str">
        <f t="array" ref="P273">XLOOKUP(D273,Product_Dim!A:A,Product_Dim!B:B,"Not Found")</f>
        <v>Kitchen Storage Rack</v>
      </c>
      <c r="Q273" s="8" t="str">
        <f t="array" ref="Q273">XLOOKUP(D273,Product_Dim!A:A,Product_Dim!C:C,"Not Found")</f>
        <v>Home</v>
      </c>
      <c r="R273" s="8" t="str">
        <f t="array" ref="R273">XLOOKUP(E273,Store_Dim!A:A,Store_Dim!B:B,"Not Found")</f>
        <v>West</v>
      </c>
      <c r="S273" s="8" t="str">
        <f t="array" ref="S273">XLOOKUP(E273,Store_Dim!A:A,Store_Dim!D:D,"Not Found")</f>
        <v>Online</v>
      </c>
    </row>
    <row r="274" ht="14.25" customHeight="1">
      <c r="A274" s="8" t="s">
        <v>2227</v>
      </c>
      <c r="B274" s="12">
        <v>45752.0</v>
      </c>
      <c r="C274" s="8" t="s">
        <v>144</v>
      </c>
      <c r="D274" s="8" t="s">
        <v>1652</v>
      </c>
      <c r="E274" s="8" t="s">
        <v>1910</v>
      </c>
      <c r="F274" s="8">
        <v>3.0</v>
      </c>
      <c r="G274" s="8">
        <v>610.24</v>
      </c>
      <c r="H274" s="8">
        <v>0.17</v>
      </c>
      <c r="I274" s="8">
        <f t="shared" si="1"/>
        <v>1830.72</v>
      </c>
      <c r="J274" s="8">
        <f t="shared" si="2"/>
        <v>-311.0524</v>
      </c>
      <c r="K274" s="8" t="str">
        <f t="shared" si="3"/>
        <v>Apr</v>
      </c>
      <c r="L274" s="8">
        <f t="shared" si="4"/>
        <v>2025</v>
      </c>
      <c r="N274" s="8" t="str">
        <f t="array" ref="N274">XLOOKUP(C274,Customer_Dim!A:A,Customer_Dim!B:B,"Not Found")</f>
        <v>Robert Jones DDS</v>
      </c>
      <c r="O274" s="8" t="str">
        <f t="array" ref="O274">XLOOKUP(C274,Customer_Dim!A:A,Customer_Dim!E:E,"Not Found")</f>
        <v>Tristanton</v>
      </c>
      <c r="P274" s="8" t="str">
        <f t="array" ref="P274">XLOOKUP(D274,Product_Dim!A:A,Product_Dim!B:B,"Not Found")</f>
        <v>Men's Formal Shirt</v>
      </c>
      <c r="Q274" s="8" t="str">
        <f t="array" ref="Q274">XLOOKUP(D274,Product_Dim!A:A,Product_Dim!C:C,"Not Found")</f>
        <v>Clothing</v>
      </c>
      <c r="R274" s="8" t="str">
        <f t="array" ref="R274">XLOOKUP(E274,Store_Dim!A:A,Store_Dim!B:B,"Not Found")</f>
        <v>North</v>
      </c>
      <c r="S274" s="8" t="str">
        <f t="array" ref="S274">XLOOKUP(E274,Store_Dim!A:A,Store_Dim!D:D,"Not Found")</f>
        <v>Outlet</v>
      </c>
    </row>
    <row r="275" ht="14.25" customHeight="1">
      <c r="A275" s="8" t="s">
        <v>2228</v>
      </c>
      <c r="B275" s="12">
        <v>45753.0</v>
      </c>
      <c r="C275" s="8" t="s">
        <v>999</v>
      </c>
      <c r="D275" s="8" t="s">
        <v>1812</v>
      </c>
      <c r="E275" s="8" t="s">
        <v>1921</v>
      </c>
      <c r="F275" s="8">
        <v>1.0</v>
      </c>
      <c r="G275" s="8">
        <v>872.12</v>
      </c>
      <c r="H275" s="8">
        <v>0.07</v>
      </c>
      <c r="I275" s="8">
        <f t="shared" si="1"/>
        <v>872.12</v>
      </c>
      <c r="J275" s="8">
        <f t="shared" si="2"/>
        <v>-60.9784</v>
      </c>
      <c r="K275" s="8" t="str">
        <f t="shared" si="3"/>
        <v>Apr</v>
      </c>
      <c r="L275" s="8">
        <f t="shared" si="4"/>
        <v>2025</v>
      </c>
      <c r="N275" s="8" t="str">
        <f t="array" ref="N275">XLOOKUP(C275,Customer_Dim!A:A,Customer_Dim!B:B,"Not Found")</f>
        <v>Jason Mullins</v>
      </c>
      <c r="O275" s="8" t="str">
        <f t="array" ref="O275">XLOOKUP(C275,Customer_Dim!A:A,Customer_Dim!E:E,"Not Found")</f>
        <v>Brianchester</v>
      </c>
      <c r="P275" s="8" t="str">
        <f t="array" ref="P275">XLOOKUP(D275,Product_Dim!A:A,Product_Dim!B:B,"Not Found")</f>
        <v>Bluetooth Car Audio System</v>
      </c>
      <c r="Q275" s="8" t="str">
        <f t="array" ref="Q275">XLOOKUP(D275,Product_Dim!A:A,Product_Dim!C:C,"Not Found")</f>
        <v>Electronics</v>
      </c>
      <c r="R275" s="8" t="str">
        <f t="array" ref="R275">XLOOKUP(E275,Store_Dim!A:A,Store_Dim!B:B,"Not Found")</f>
        <v>West</v>
      </c>
      <c r="S275" s="8" t="str">
        <f t="array" ref="S275">XLOOKUP(E275,Store_Dim!A:A,Store_Dim!D:D,"Not Found")</f>
        <v>Online</v>
      </c>
    </row>
    <row r="276" ht="14.25" customHeight="1">
      <c r="A276" s="8" t="s">
        <v>2229</v>
      </c>
      <c r="B276" s="12">
        <v>45754.0</v>
      </c>
      <c r="C276" s="8" t="s">
        <v>1359</v>
      </c>
      <c r="D276" s="8" t="s">
        <v>1606</v>
      </c>
      <c r="E276" s="8" t="s">
        <v>1903</v>
      </c>
      <c r="F276" s="8">
        <v>1.0</v>
      </c>
      <c r="G276" s="8">
        <v>406.79</v>
      </c>
      <c r="H276" s="8">
        <v>0.03</v>
      </c>
      <c r="I276" s="8">
        <f t="shared" si="1"/>
        <v>406.79</v>
      </c>
      <c r="J276" s="8">
        <f t="shared" si="2"/>
        <v>-12.1737</v>
      </c>
      <c r="K276" s="8" t="str">
        <f t="shared" si="3"/>
        <v>Apr</v>
      </c>
      <c r="L276" s="8">
        <f t="shared" si="4"/>
        <v>2025</v>
      </c>
      <c r="N276" s="8" t="str">
        <f t="array" ref="N276">XLOOKUP(C276,Customer_Dim!A:A,Customer_Dim!B:B,"Not Found")</f>
        <v>Thomas Moore</v>
      </c>
      <c r="O276" s="8" t="str">
        <f t="array" ref="O276">XLOOKUP(C276,Customer_Dim!A:A,Customer_Dim!E:E,"Not Found")</f>
        <v>Williamsberg</v>
      </c>
      <c r="P276" s="8" t="str">
        <f t="array" ref="P276">XLOOKUP(D276,Product_Dim!A:A,Product_Dim!B:B,"Not Found")</f>
        <v>Ceramic Kitchen Bowl Set</v>
      </c>
      <c r="Q276" s="8" t="str">
        <f t="array" ref="Q276">XLOOKUP(D276,Product_Dim!A:A,Product_Dim!C:C,"Not Found")</f>
        <v>Home</v>
      </c>
      <c r="R276" s="8" t="str">
        <f t="array" ref="R276">XLOOKUP(E276,Store_Dim!A:A,Store_Dim!B:B,"Not Found")</f>
        <v>North</v>
      </c>
      <c r="S276" s="8" t="str">
        <f t="array" ref="S276">XLOOKUP(E276,Store_Dim!A:A,Store_Dim!D:D,"Not Found")</f>
        <v>Flagship</v>
      </c>
    </row>
    <row r="277" ht="14.25" customHeight="1">
      <c r="A277" s="8" t="s">
        <v>2230</v>
      </c>
      <c r="B277" s="12">
        <v>45755.0</v>
      </c>
      <c r="C277" s="8" t="s">
        <v>1179</v>
      </c>
      <c r="D277" s="8" t="s">
        <v>1751</v>
      </c>
      <c r="E277" s="8" t="s">
        <v>1932</v>
      </c>
      <c r="F277" s="8">
        <v>1.0</v>
      </c>
      <c r="G277" s="8">
        <v>606.01</v>
      </c>
      <c r="H277" s="8">
        <v>0.04</v>
      </c>
      <c r="I277" s="8">
        <f t="shared" si="1"/>
        <v>606.01</v>
      </c>
      <c r="J277" s="8">
        <f t="shared" si="2"/>
        <v>-24.2004</v>
      </c>
      <c r="K277" s="8" t="str">
        <f t="shared" si="3"/>
        <v>Apr</v>
      </c>
      <c r="L277" s="8">
        <f t="shared" si="4"/>
        <v>2025</v>
      </c>
      <c r="N277" s="8" t="str">
        <f t="array" ref="N277">XLOOKUP(C277,Customer_Dim!A:A,Customer_Dim!B:B,"Not Found")</f>
        <v>Jacqueline Anthony</v>
      </c>
      <c r="O277" s="8" t="str">
        <f t="array" ref="O277">XLOOKUP(C277,Customer_Dim!A:A,Customer_Dim!E:E,"Not Found")</f>
        <v>Vincentside</v>
      </c>
      <c r="P277" s="8" t="str">
        <f t="array" ref="P277">XLOOKUP(D277,Product_Dim!A:A,Product_Dim!B:B,"Not Found")</f>
        <v>Sports Stopwatch Pro</v>
      </c>
      <c r="Q277" s="8" t="str">
        <f t="array" ref="Q277">XLOOKUP(D277,Product_Dim!A:A,Product_Dim!C:C,"Not Found")</f>
        <v>Sports</v>
      </c>
      <c r="R277" s="8" t="str">
        <f t="array" ref="R277">XLOOKUP(E277,Store_Dim!A:A,Store_Dim!B:B,"Not Found")</f>
        <v>South</v>
      </c>
      <c r="S277" s="8" t="str">
        <f t="array" ref="S277">XLOOKUP(E277,Store_Dim!A:A,Store_Dim!D:D,"Not Found")</f>
        <v>Outlet</v>
      </c>
    </row>
    <row r="278" ht="14.25" customHeight="1">
      <c r="A278" s="8" t="s">
        <v>2231</v>
      </c>
      <c r="B278" s="12">
        <v>45756.0</v>
      </c>
      <c r="C278" s="8" t="s">
        <v>1110</v>
      </c>
      <c r="D278" s="8" t="s">
        <v>1632</v>
      </c>
      <c r="E278" s="8" t="s">
        <v>1915</v>
      </c>
      <c r="F278" s="8">
        <v>4.0</v>
      </c>
      <c r="G278" s="8">
        <v>322.58</v>
      </c>
      <c r="H278" s="8">
        <v>0.06</v>
      </c>
      <c r="I278" s="8">
        <f t="shared" si="1"/>
        <v>1290.32</v>
      </c>
      <c r="J278" s="8">
        <f t="shared" si="2"/>
        <v>-77.3592</v>
      </c>
      <c r="K278" s="8" t="str">
        <f t="shared" si="3"/>
        <v>Apr</v>
      </c>
      <c r="L278" s="8">
        <f t="shared" si="4"/>
        <v>2025</v>
      </c>
      <c r="N278" s="8" t="str">
        <f t="array" ref="N278">XLOOKUP(C278,Customer_Dim!A:A,Customer_Dim!B:B,"Not Found")</f>
        <v>Heather Valenzuela</v>
      </c>
      <c r="O278" s="8" t="str">
        <f t="array" ref="O278">XLOOKUP(C278,Customer_Dim!A:A,Customer_Dim!E:E,"Not Found")</f>
        <v>New Angiefurt</v>
      </c>
      <c r="P278" s="8" t="str">
        <f t="array" ref="P278">XLOOKUP(D278,Product_Dim!A:A,Product_Dim!B:B,"Not Found")</f>
        <v>Soccer Training Cone Set</v>
      </c>
      <c r="Q278" s="8" t="str">
        <f t="array" ref="Q278">XLOOKUP(D278,Product_Dim!A:A,Product_Dim!C:C,"Not Found")</f>
        <v>Sports</v>
      </c>
      <c r="R278" s="8" t="str">
        <f t="array" ref="R278">XLOOKUP(E278,Store_Dim!A:A,Store_Dim!B:B,"Not Found")</f>
        <v>North</v>
      </c>
      <c r="S278" s="8" t="str">
        <f t="array" ref="S278">XLOOKUP(E278,Store_Dim!A:A,Store_Dim!D:D,"Not Found")</f>
        <v>Outlet</v>
      </c>
    </row>
    <row r="279" ht="14.25" customHeight="1">
      <c r="A279" s="8" t="s">
        <v>2232</v>
      </c>
      <c r="B279" s="12">
        <v>45757.0</v>
      </c>
      <c r="C279" s="8" t="s">
        <v>1505</v>
      </c>
      <c r="D279" s="8" t="s">
        <v>1821</v>
      </c>
      <c r="E279" s="8" t="s">
        <v>1939</v>
      </c>
      <c r="F279" s="8">
        <v>4.0</v>
      </c>
      <c r="G279" s="8">
        <v>463.17</v>
      </c>
      <c r="H279" s="8">
        <v>0.06</v>
      </c>
      <c r="I279" s="8">
        <f t="shared" si="1"/>
        <v>1852.68</v>
      </c>
      <c r="J279" s="8">
        <f t="shared" si="2"/>
        <v>-111.1008</v>
      </c>
      <c r="K279" s="8" t="str">
        <f t="shared" si="3"/>
        <v>Apr</v>
      </c>
      <c r="L279" s="8">
        <f t="shared" si="4"/>
        <v>2025</v>
      </c>
      <c r="N279" s="8" t="str">
        <f t="array" ref="N279">XLOOKUP(C279,Customer_Dim!A:A,Customer_Dim!B:B,"Not Found")</f>
        <v>Jessica Castro</v>
      </c>
      <c r="O279" s="8" t="str">
        <f t="array" ref="O279">XLOOKUP(C279,Customer_Dim!A:A,Customer_Dim!E:E,"Not Found")</f>
        <v>West Markton</v>
      </c>
      <c r="P279" s="8" t="str">
        <f t="array" ref="P279">XLOOKUP(D279,Product_Dim!A:A,Product_Dim!B:B,"Not Found")</f>
        <v>WiFi Mesh Router</v>
      </c>
      <c r="Q279" s="8" t="str">
        <f t="array" ref="Q279">XLOOKUP(D279,Product_Dim!A:A,Product_Dim!C:C,"Not Found")</f>
        <v>Electronics</v>
      </c>
      <c r="R279" s="8" t="str">
        <f t="array" ref="R279">XLOOKUP(E279,Store_Dim!A:A,Store_Dim!B:B,"Not Found")</f>
        <v>East</v>
      </c>
      <c r="S279" s="8" t="str">
        <f t="array" ref="S279">XLOOKUP(E279,Store_Dim!A:A,Store_Dim!D:D,"Not Found")</f>
        <v>Flagship</v>
      </c>
    </row>
    <row r="280" ht="14.25" customHeight="1">
      <c r="A280" s="8" t="s">
        <v>2233</v>
      </c>
      <c r="B280" s="12">
        <v>45758.0</v>
      </c>
      <c r="C280" s="8" t="s">
        <v>1011</v>
      </c>
      <c r="D280" s="8" t="s">
        <v>1659</v>
      </c>
      <c r="E280" s="8" t="s">
        <v>1919</v>
      </c>
      <c r="F280" s="8">
        <v>4.0</v>
      </c>
      <c r="G280" s="8">
        <v>285.82</v>
      </c>
      <c r="H280" s="8">
        <v>0.18</v>
      </c>
      <c r="I280" s="8">
        <f t="shared" si="1"/>
        <v>1143.28</v>
      </c>
      <c r="J280" s="8">
        <f t="shared" si="2"/>
        <v>-205.6104</v>
      </c>
      <c r="K280" s="8" t="str">
        <f t="shared" si="3"/>
        <v>Apr</v>
      </c>
      <c r="L280" s="8">
        <f t="shared" si="4"/>
        <v>2025</v>
      </c>
      <c r="N280" s="8" t="str">
        <f t="array" ref="N280">XLOOKUP(C280,Customer_Dim!A:A,Customer_Dim!B:B,"Not Found")</f>
        <v>Robert House</v>
      </c>
      <c r="O280" s="8" t="str">
        <f t="array" ref="O280">XLOOKUP(C280,Customer_Dim!A:A,Customer_Dim!E:E,"Not Found")</f>
        <v>Lake James</v>
      </c>
      <c r="P280" s="8" t="str">
        <f t="array" ref="P280">XLOOKUP(D280,Product_Dim!A:A,Product_Dim!B:B,"Not Found")</f>
        <v>Women's Scarf Set</v>
      </c>
      <c r="Q280" s="8" t="str">
        <f t="array" ref="Q280">XLOOKUP(D280,Product_Dim!A:A,Product_Dim!C:C,"Not Found")</f>
        <v>Clothing</v>
      </c>
      <c r="R280" s="8" t="str">
        <f t="array" ref="R280">XLOOKUP(E280,Store_Dim!A:A,Store_Dim!B:B,"Not Found")</f>
        <v>South</v>
      </c>
      <c r="S280" s="8" t="str">
        <f t="array" ref="S280">XLOOKUP(E280,Store_Dim!A:A,Store_Dim!D:D,"Not Found")</f>
        <v>Online</v>
      </c>
    </row>
    <row r="281" ht="14.25" customHeight="1">
      <c r="A281" s="8" t="s">
        <v>2234</v>
      </c>
      <c r="B281" s="12">
        <v>45759.0</v>
      </c>
      <c r="C281" s="8" t="s">
        <v>1041</v>
      </c>
      <c r="D281" s="8" t="s">
        <v>1696</v>
      </c>
      <c r="E281" s="8" t="s">
        <v>1928</v>
      </c>
      <c r="F281" s="8">
        <v>3.0</v>
      </c>
      <c r="G281" s="8">
        <v>995.38</v>
      </c>
      <c r="H281" s="8">
        <v>0.1</v>
      </c>
      <c r="I281" s="8">
        <f t="shared" si="1"/>
        <v>2986.14</v>
      </c>
      <c r="J281" s="8">
        <f t="shared" si="2"/>
        <v>-298.514</v>
      </c>
      <c r="K281" s="8" t="str">
        <f t="shared" si="3"/>
        <v>Apr</v>
      </c>
      <c r="L281" s="8">
        <f t="shared" si="4"/>
        <v>2025</v>
      </c>
      <c r="N281" s="8" t="str">
        <f t="array" ref="N281">XLOOKUP(C281,Customer_Dim!A:A,Customer_Dim!B:B,"Not Found")</f>
        <v>Robert King</v>
      </c>
      <c r="O281" s="8" t="str">
        <f t="array" ref="O281">XLOOKUP(C281,Customer_Dim!A:A,Customer_Dim!E:E,"Not Found")</f>
        <v>Cindyton</v>
      </c>
      <c r="P281" s="8" t="str">
        <f t="array" ref="P281">XLOOKUP(D281,Product_Dim!A:A,Product_Dim!B:B,"Not Found")</f>
        <v>Men's Casual Sneakers</v>
      </c>
      <c r="Q281" s="8" t="str">
        <f t="array" ref="Q281">XLOOKUP(D281,Product_Dim!A:A,Product_Dim!C:C,"Not Found")</f>
        <v>Clothing</v>
      </c>
      <c r="R281" s="8" t="str">
        <f t="array" ref="R281">XLOOKUP(E281,Store_Dim!A:A,Store_Dim!B:B,"Not Found")</f>
        <v>South</v>
      </c>
      <c r="S281" s="8" t="str">
        <f t="array" ref="S281">XLOOKUP(E281,Store_Dim!A:A,Store_Dim!D:D,"Not Found")</f>
        <v>Online</v>
      </c>
    </row>
    <row r="282" ht="14.25" customHeight="1">
      <c r="A282" s="8" t="s">
        <v>2235</v>
      </c>
      <c r="B282" s="12">
        <v>45760.0</v>
      </c>
      <c r="C282" s="8" t="s">
        <v>424</v>
      </c>
      <c r="D282" s="8" t="s">
        <v>1775</v>
      </c>
      <c r="E282" s="8" t="s">
        <v>1921</v>
      </c>
      <c r="F282" s="8">
        <v>1.0</v>
      </c>
      <c r="G282" s="8">
        <v>329.31</v>
      </c>
      <c r="H282" s="8">
        <v>0.09</v>
      </c>
      <c r="I282" s="8">
        <f t="shared" si="1"/>
        <v>329.31</v>
      </c>
      <c r="J282" s="8">
        <f t="shared" si="2"/>
        <v>-29.5479</v>
      </c>
      <c r="K282" s="8" t="str">
        <f t="shared" si="3"/>
        <v>Apr</v>
      </c>
      <c r="L282" s="8">
        <f t="shared" si="4"/>
        <v>2025</v>
      </c>
      <c r="N282" s="8" t="str">
        <f t="array" ref="N282">XLOOKUP(C282,Customer_Dim!A:A,Customer_Dim!B:B,"Not Found")</f>
        <v>Michael Jones</v>
      </c>
      <c r="O282" s="8" t="str">
        <f t="array" ref="O282">XLOOKUP(C282,Customer_Dim!A:A,Customer_Dim!E:E,"Not Found")</f>
        <v>North Edwardton</v>
      </c>
      <c r="P282" s="8" t="str">
        <f t="array" ref="P282">XLOOKUP(D282,Product_Dim!A:A,Product_Dim!B:B,"Not Found")</f>
        <v>Laptop Cooling Pad</v>
      </c>
      <c r="Q282" s="8" t="str">
        <f t="array" ref="Q282">XLOOKUP(D282,Product_Dim!A:A,Product_Dim!C:C,"Not Found")</f>
        <v>Electronics</v>
      </c>
      <c r="R282" s="8" t="str">
        <f t="array" ref="R282">XLOOKUP(E282,Store_Dim!A:A,Store_Dim!B:B,"Not Found")</f>
        <v>West</v>
      </c>
      <c r="S282" s="8" t="str">
        <f t="array" ref="S282">XLOOKUP(E282,Store_Dim!A:A,Store_Dim!D:D,"Not Found")</f>
        <v>Online</v>
      </c>
    </row>
    <row r="283" ht="14.25" customHeight="1">
      <c r="A283" s="8" t="s">
        <v>2236</v>
      </c>
      <c r="B283" s="12">
        <v>45761.0</v>
      </c>
      <c r="C283" s="8" t="s">
        <v>1523</v>
      </c>
      <c r="D283" s="8" t="s">
        <v>1728</v>
      </c>
      <c r="E283" s="8" t="s">
        <v>1935</v>
      </c>
      <c r="F283" s="8">
        <v>3.0</v>
      </c>
      <c r="G283" s="8">
        <v>64.2</v>
      </c>
      <c r="H283" s="8">
        <v>0.08</v>
      </c>
      <c r="I283" s="8">
        <f t="shared" si="1"/>
        <v>192.6</v>
      </c>
      <c r="J283" s="8">
        <f t="shared" si="2"/>
        <v>-15.328</v>
      </c>
      <c r="K283" s="8" t="str">
        <f t="shared" si="3"/>
        <v>Apr</v>
      </c>
      <c r="L283" s="8">
        <f t="shared" si="4"/>
        <v>2025</v>
      </c>
      <c r="N283" s="8" t="str">
        <f t="array" ref="N283">XLOOKUP(C283,Customer_Dim!A:A,Customer_Dim!B:B,"Not Found")</f>
        <v>Scott Harris</v>
      </c>
      <c r="O283" s="8" t="str">
        <f t="array" ref="O283">XLOOKUP(C283,Customer_Dim!A:A,Customer_Dim!E:E,"Not Found")</f>
        <v>North Nataliemouth</v>
      </c>
      <c r="P283" s="8" t="str">
        <f t="array" ref="P283">XLOOKUP(D283,Product_Dim!A:A,Product_Dim!B:B,"Not Found")</f>
        <v>Makeup Brush Set</v>
      </c>
      <c r="Q283" s="8" t="str">
        <f t="array" ref="Q283">XLOOKUP(D283,Product_Dim!A:A,Product_Dim!C:C,"Not Found")</f>
        <v>Beauty</v>
      </c>
      <c r="R283" s="8" t="str">
        <f t="array" ref="R283">XLOOKUP(E283,Store_Dim!A:A,Store_Dim!B:B,"Not Found")</f>
        <v>West</v>
      </c>
      <c r="S283" s="8" t="str">
        <f t="array" ref="S283">XLOOKUP(E283,Store_Dim!A:A,Store_Dim!D:D,"Not Found")</f>
        <v>Flagship</v>
      </c>
    </row>
    <row r="284" ht="14.25" customHeight="1">
      <c r="A284" s="8" t="s">
        <v>2237</v>
      </c>
      <c r="B284" s="12">
        <v>45762.0</v>
      </c>
      <c r="C284" s="8" t="s">
        <v>851</v>
      </c>
      <c r="D284" s="8" t="s">
        <v>1610</v>
      </c>
      <c r="E284" s="8" t="s">
        <v>1931</v>
      </c>
      <c r="F284" s="8">
        <v>3.0</v>
      </c>
      <c r="G284" s="8">
        <v>697.13</v>
      </c>
      <c r="H284" s="8">
        <v>0.25</v>
      </c>
      <c r="I284" s="8">
        <f t="shared" si="1"/>
        <v>2091.39</v>
      </c>
      <c r="J284" s="8">
        <f t="shared" si="2"/>
        <v>-522.5975</v>
      </c>
      <c r="K284" s="8" t="str">
        <f t="shared" si="3"/>
        <v>Apr</v>
      </c>
      <c r="L284" s="8">
        <f t="shared" si="4"/>
        <v>2025</v>
      </c>
      <c r="N284" s="8" t="str">
        <f t="array" ref="N284">XLOOKUP(C284,Customer_Dim!A:A,Customer_Dim!B:B,"Not Found")</f>
        <v>Katherine Cowan</v>
      </c>
      <c r="O284" s="8" t="str">
        <f t="array" ref="O284">XLOOKUP(C284,Customer_Dim!A:A,Customer_Dim!E:E,"Not Found")</f>
        <v>New Ana</v>
      </c>
      <c r="P284" s="8" t="str">
        <f t="array" ref="P284">XLOOKUP(D284,Product_Dim!A:A,Product_Dim!B:B,"Not Found")</f>
        <v>HD Smart TV Stick</v>
      </c>
      <c r="Q284" s="8" t="str">
        <f t="array" ref="Q284">XLOOKUP(D284,Product_Dim!A:A,Product_Dim!C:C,"Not Found")</f>
        <v>Electronics</v>
      </c>
      <c r="R284" s="8" t="str">
        <f t="array" ref="R284">XLOOKUP(E284,Store_Dim!A:A,Store_Dim!B:B,"Not Found")</f>
        <v>East</v>
      </c>
      <c r="S284" s="8" t="str">
        <f t="array" ref="S284">XLOOKUP(E284,Store_Dim!A:A,Store_Dim!D:D,"Not Found")</f>
        <v>Flagship</v>
      </c>
    </row>
    <row r="285" ht="14.25" customHeight="1">
      <c r="A285" s="8" t="s">
        <v>2238</v>
      </c>
      <c r="B285" s="12">
        <v>45763.0</v>
      </c>
      <c r="C285" s="8" t="s">
        <v>106</v>
      </c>
      <c r="D285" s="8" t="s">
        <v>1601</v>
      </c>
      <c r="E285" s="8" t="s">
        <v>1915</v>
      </c>
      <c r="F285" s="8">
        <v>3.0</v>
      </c>
      <c r="G285" s="8">
        <v>134.3</v>
      </c>
      <c r="H285" s="8">
        <v>0.14</v>
      </c>
      <c r="I285" s="8">
        <f t="shared" si="1"/>
        <v>402.9</v>
      </c>
      <c r="J285" s="8">
        <f t="shared" si="2"/>
        <v>-56.266</v>
      </c>
      <c r="K285" s="8" t="str">
        <f t="shared" si="3"/>
        <v>Apr</v>
      </c>
      <c r="L285" s="8">
        <f t="shared" si="4"/>
        <v>2025</v>
      </c>
      <c r="N285" s="8" t="str">
        <f t="array" ref="N285">XLOOKUP(C285,Customer_Dim!A:A,Customer_Dim!B:B,"Not Found")</f>
        <v>   paul fox</v>
      </c>
      <c r="O285" s="8" t="str">
        <f t="array" ref="O285">XLOOKUP(C285,Customer_Dim!A:A,Customer_Dim!E:E,"Not Found")</f>
        <v>Michaelton</v>
      </c>
      <c r="P285" s="8" t="str">
        <f t="array" ref="P285">XLOOKUP(D285,Product_Dim!A:A,Product_Dim!B:B,"Not Found")</f>
        <v>Adjustable Dumbbell Set</v>
      </c>
      <c r="Q285" s="8" t="str">
        <f t="array" ref="Q285">XLOOKUP(D285,Product_Dim!A:A,Product_Dim!C:C,"Not Found")</f>
        <v>Sports</v>
      </c>
      <c r="R285" s="8" t="str">
        <f t="array" ref="R285">XLOOKUP(E285,Store_Dim!A:A,Store_Dim!B:B,"Not Found")</f>
        <v>North</v>
      </c>
      <c r="S285" s="8" t="str">
        <f t="array" ref="S285">XLOOKUP(E285,Store_Dim!A:A,Store_Dim!D:D,"Not Found")</f>
        <v>Outlet</v>
      </c>
    </row>
    <row r="286" ht="14.25" customHeight="1">
      <c r="A286" s="8" t="s">
        <v>2239</v>
      </c>
      <c r="B286" s="12">
        <v>45764.0</v>
      </c>
      <c r="C286" s="8" t="s">
        <v>845</v>
      </c>
      <c r="D286" s="8" t="s">
        <v>1842</v>
      </c>
      <c r="E286" s="8" t="s">
        <v>1931</v>
      </c>
      <c r="F286" s="8">
        <v>1.0</v>
      </c>
      <c r="G286" s="8">
        <v>520.93</v>
      </c>
      <c r="H286" s="8">
        <v>0.15</v>
      </c>
      <c r="I286" s="8">
        <f t="shared" si="1"/>
        <v>520.93</v>
      </c>
      <c r="J286" s="8">
        <f t="shared" si="2"/>
        <v>-77.9895</v>
      </c>
      <c r="K286" s="8" t="str">
        <f t="shared" si="3"/>
        <v>Apr</v>
      </c>
      <c r="L286" s="8">
        <f t="shared" si="4"/>
        <v>2025</v>
      </c>
      <c r="N286" s="8" t="str">
        <f t="array" ref="N286">XLOOKUP(C286,Customer_Dim!A:A,Customer_Dim!B:B,"Not Found")</f>
        <v>Russell Lamb</v>
      </c>
      <c r="O286" s="8" t="str">
        <f t="array" ref="O286">XLOOKUP(C286,Customer_Dim!A:A,Customer_Dim!E:E,"Not Found")</f>
        <v>North Jonathon</v>
      </c>
      <c r="P286" s="8" t="str">
        <f t="array" ref="P286">XLOOKUP(D286,Product_Dim!A:A,Product_Dim!B:B,"Not Found")</f>
        <v>Wooden Bookshelf</v>
      </c>
      <c r="Q286" s="8" t="str">
        <f t="array" ref="Q286">XLOOKUP(D286,Product_Dim!A:A,Product_Dim!C:C,"Not Found")</f>
        <v>Home</v>
      </c>
      <c r="R286" s="8" t="str">
        <f t="array" ref="R286">XLOOKUP(E286,Store_Dim!A:A,Store_Dim!B:B,"Not Found")</f>
        <v>East</v>
      </c>
      <c r="S286" s="8" t="str">
        <f t="array" ref="S286">XLOOKUP(E286,Store_Dim!A:A,Store_Dim!D:D,"Not Found")</f>
        <v>Flagship</v>
      </c>
    </row>
    <row r="287" ht="14.25" customHeight="1">
      <c r="A287" s="8" t="s">
        <v>2240</v>
      </c>
      <c r="B287" s="12">
        <v>45765.0</v>
      </c>
      <c r="C287" s="8" t="s">
        <v>742</v>
      </c>
      <c r="D287" s="8" t="s">
        <v>1638</v>
      </c>
      <c r="E287" s="8" t="s">
        <v>1919</v>
      </c>
      <c r="F287" s="8">
        <v>2.0</v>
      </c>
      <c r="G287" s="8">
        <v>350.12</v>
      </c>
      <c r="H287" s="8">
        <v>0.21</v>
      </c>
      <c r="I287" s="8">
        <f t="shared" si="1"/>
        <v>700.24</v>
      </c>
      <c r="J287" s="8">
        <f t="shared" si="2"/>
        <v>-146.8404</v>
      </c>
      <c r="K287" s="8" t="str">
        <f t="shared" si="3"/>
        <v>Apr</v>
      </c>
      <c r="L287" s="8">
        <f t="shared" si="4"/>
        <v>2025</v>
      </c>
      <c r="N287" s="8" t="str">
        <f t="array" ref="N287">XLOOKUP(C287,Customer_Dim!A:A,Customer_Dim!B:B,"Not Found")</f>
        <v>Elizabeth Stanley</v>
      </c>
      <c r="O287" s="8" t="str">
        <f t="array" ref="O287">XLOOKUP(C287,Customer_Dim!A:A,Customer_Dim!E:E,"Not Found")</f>
        <v>Bethanyton</v>
      </c>
      <c r="P287" s="8" t="str">
        <f t="array" ref="P287">XLOOKUP(D287,Product_Dim!A:A,Product_Dim!B:B,"Not Found")</f>
        <v>Knee Support Brace</v>
      </c>
      <c r="Q287" s="8" t="str">
        <f t="array" ref="Q287">XLOOKUP(D287,Product_Dim!A:A,Product_Dim!C:C,"Not Found")</f>
        <v>Sports</v>
      </c>
      <c r="R287" s="8" t="str">
        <f t="array" ref="R287">XLOOKUP(E287,Store_Dim!A:A,Store_Dim!B:B,"Not Found")</f>
        <v>South</v>
      </c>
      <c r="S287" s="8" t="str">
        <f t="array" ref="S287">XLOOKUP(E287,Store_Dim!A:A,Store_Dim!D:D,"Not Found")</f>
        <v>Online</v>
      </c>
    </row>
    <row r="288" ht="14.25" customHeight="1">
      <c r="A288" s="8" t="s">
        <v>2241</v>
      </c>
      <c r="B288" s="12">
        <v>45766.0</v>
      </c>
      <c r="C288" s="8" t="s">
        <v>1453</v>
      </c>
      <c r="D288" s="8" t="s">
        <v>1732</v>
      </c>
      <c r="E288" s="8" t="s">
        <v>1941</v>
      </c>
      <c r="F288" s="8">
        <v>3.0</v>
      </c>
      <c r="G288" s="8">
        <v>807.95</v>
      </c>
      <c r="H288" s="8">
        <v>0.1</v>
      </c>
      <c r="I288" s="8">
        <f t="shared" si="1"/>
        <v>2423.85</v>
      </c>
      <c r="J288" s="8">
        <f t="shared" si="2"/>
        <v>-242.285</v>
      </c>
      <c r="K288" s="8" t="str">
        <f t="shared" si="3"/>
        <v>Apr</v>
      </c>
      <c r="L288" s="8">
        <f t="shared" si="4"/>
        <v>2025</v>
      </c>
      <c r="N288" s="8" t="str">
        <f t="array" ref="N288">XLOOKUP(C288,Customer_Dim!A:A,Customer_Dim!B:B,"Not Found")</f>
        <v>Cynthia Parrish</v>
      </c>
      <c r="O288" s="8" t="str">
        <f t="array" ref="O288">XLOOKUP(C288,Customer_Dim!A:A,Customer_Dim!E:E,"Not Found")</f>
        <v>Espinozaberg</v>
      </c>
      <c r="P288" s="8" t="str">
        <f t="array" ref="P288">XLOOKUP(D288,Product_Dim!A:A,Product_Dim!B:B,"Not Found")</f>
        <v>Car Dashboard Phone Holder</v>
      </c>
      <c r="Q288" s="8" t="str">
        <f t="array" ref="Q288">XLOOKUP(D288,Product_Dim!A:A,Product_Dim!C:C,"Not Found")</f>
        <v>Electronics</v>
      </c>
      <c r="R288" s="8" t="str">
        <f t="array" ref="R288">XLOOKUP(E288,Store_Dim!A:A,Store_Dim!B:B,"Not Found")</f>
        <v>East</v>
      </c>
      <c r="S288" s="8" t="str">
        <f t="array" ref="S288">XLOOKUP(E288,Store_Dim!A:A,Store_Dim!D:D,"Not Found")</f>
        <v>Online</v>
      </c>
    </row>
    <row r="289" ht="14.25" customHeight="1">
      <c r="A289" s="8" t="s">
        <v>2242</v>
      </c>
      <c r="B289" s="12">
        <v>45767.0</v>
      </c>
      <c r="C289" s="8" t="s">
        <v>1068</v>
      </c>
      <c r="D289" s="8" t="s">
        <v>1700</v>
      </c>
      <c r="E289" s="8" t="s">
        <v>1917</v>
      </c>
      <c r="F289" s="8">
        <v>4.0</v>
      </c>
      <c r="G289" s="8">
        <v>766.03</v>
      </c>
      <c r="H289" s="8">
        <v>0.29</v>
      </c>
      <c r="I289" s="8">
        <f t="shared" si="1"/>
        <v>3064.12</v>
      </c>
      <c r="J289" s="8">
        <f t="shared" si="2"/>
        <v>-888.3048</v>
      </c>
      <c r="K289" s="8" t="str">
        <f t="shared" si="3"/>
        <v>Apr</v>
      </c>
      <c r="L289" s="8">
        <f t="shared" si="4"/>
        <v>2025</v>
      </c>
      <c r="N289" s="8" t="str">
        <f t="array" ref="N289">XLOOKUP(C289,Customer_Dim!A:A,Customer_Dim!B:B,"Not Found")</f>
        <v>Jennifer Woods</v>
      </c>
      <c r="O289" s="8" t="str">
        <f t="array" ref="O289">XLOOKUP(C289,Customer_Dim!A:A,Customer_Dim!E:E,"Not Found")</f>
        <v>West Brendamouth</v>
      </c>
      <c r="P289" s="8" t="str">
        <f t="array" ref="P289">XLOOKUP(D289,Product_Dim!A:A,Product_Dim!B:B,"Not Found")</f>
        <v>Sports Water Hydration Pack</v>
      </c>
      <c r="Q289" s="8" t="str">
        <f t="array" ref="Q289">XLOOKUP(D289,Product_Dim!A:A,Product_Dim!C:C,"Not Found")</f>
        <v>Sports</v>
      </c>
      <c r="R289" s="8" t="str">
        <f t="array" ref="R289">XLOOKUP(E289,Store_Dim!A:A,Store_Dim!B:B,"Not Found")</f>
        <v>East</v>
      </c>
      <c r="S289" s="8" t="str">
        <f t="array" ref="S289">XLOOKUP(E289,Store_Dim!A:A,Store_Dim!D:D,"Not Found")</f>
        <v>Online</v>
      </c>
    </row>
    <row r="290" ht="14.25" customHeight="1">
      <c r="A290" s="8" t="s">
        <v>2243</v>
      </c>
      <c r="B290" s="12">
        <v>45768.0</v>
      </c>
      <c r="C290" s="8" t="s">
        <v>613</v>
      </c>
      <c r="D290" s="8" t="s">
        <v>1760</v>
      </c>
      <c r="E290" s="8" t="s">
        <v>1921</v>
      </c>
      <c r="F290" s="8">
        <v>3.0</v>
      </c>
      <c r="G290" s="8">
        <v>545.1</v>
      </c>
      <c r="H290" s="8">
        <v>0.08</v>
      </c>
      <c r="I290" s="8">
        <f t="shared" si="1"/>
        <v>1635.3</v>
      </c>
      <c r="J290" s="8">
        <f t="shared" si="2"/>
        <v>-130.744</v>
      </c>
      <c r="K290" s="8" t="str">
        <f t="shared" si="3"/>
        <v>Apr</v>
      </c>
      <c r="L290" s="8">
        <f t="shared" si="4"/>
        <v>2025</v>
      </c>
      <c r="N290" s="8" t="str">
        <f t="array" ref="N290">XLOOKUP(C290,Customer_Dim!A:A,Customer_Dim!B:B,"Not Found")</f>
        <v>Melissa Hamilton</v>
      </c>
      <c r="O290" s="8" t="str">
        <f t="array" ref="O290">XLOOKUP(C290,Customer_Dim!A:A,Customer_Dim!E:E,"Not Found")</f>
        <v>Hutchinsonville</v>
      </c>
      <c r="P290" s="8" t="str">
        <f t="array" ref="P290">XLOOKUP(D290,Product_Dim!A:A,Product_Dim!B:B,"Not Found")</f>
        <v>Foam Roller</v>
      </c>
      <c r="Q290" s="8" t="str">
        <f t="array" ref="Q290">XLOOKUP(D290,Product_Dim!A:A,Product_Dim!C:C,"Not Found")</f>
        <v>Sports</v>
      </c>
      <c r="R290" s="8" t="str">
        <f t="array" ref="R290">XLOOKUP(E290,Store_Dim!A:A,Store_Dim!B:B,"Not Found")</f>
        <v>West</v>
      </c>
      <c r="S290" s="8" t="str">
        <f t="array" ref="S290">XLOOKUP(E290,Store_Dim!A:A,Store_Dim!D:D,"Not Found")</f>
        <v>Online</v>
      </c>
    </row>
    <row r="291" ht="14.25" customHeight="1">
      <c r="A291" s="8" t="s">
        <v>2244</v>
      </c>
      <c r="B291" s="12">
        <v>45769.0</v>
      </c>
      <c r="C291" s="8" t="s">
        <v>854</v>
      </c>
      <c r="D291" s="8" t="s">
        <v>1784</v>
      </c>
      <c r="E291" s="8" t="s">
        <v>1919</v>
      </c>
      <c r="F291" s="8">
        <v>1.0</v>
      </c>
      <c r="G291" s="8">
        <v>203.61</v>
      </c>
      <c r="H291" s="8">
        <v>0.24</v>
      </c>
      <c r="I291" s="8">
        <f t="shared" si="1"/>
        <v>203.61</v>
      </c>
      <c r="J291" s="8">
        <f t="shared" si="2"/>
        <v>-48.6264</v>
      </c>
      <c r="K291" s="8" t="str">
        <f t="shared" si="3"/>
        <v>Apr</v>
      </c>
      <c r="L291" s="8">
        <f t="shared" si="4"/>
        <v>2025</v>
      </c>
      <c r="N291" s="8" t="str">
        <f t="array" ref="N291">XLOOKUP(C291,Customer_Dim!A:A,Customer_Dim!B:B,"Not Found")</f>
        <v>Crystal Davis</v>
      </c>
      <c r="O291" s="8" t="str">
        <f t="array" ref="O291">XLOOKUP(C291,Customer_Dim!A:A,Customer_Dim!E:E,"Not Found")</f>
        <v>Sallymouth</v>
      </c>
      <c r="P291" s="8" t="str">
        <f t="array" ref="P291">XLOOKUP(D291,Product_Dim!A:A,Product_Dim!B:B,"Not Found")</f>
        <v>Adjustable Dumbbells 20kg</v>
      </c>
      <c r="Q291" s="8" t="str">
        <f t="array" ref="Q291">XLOOKUP(D291,Product_Dim!A:A,Product_Dim!C:C,"Not Found")</f>
        <v>Sports</v>
      </c>
      <c r="R291" s="8" t="str">
        <f t="array" ref="R291">XLOOKUP(E291,Store_Dim!A:A,Store_Dim!B:B,"Not Found")</f>
        <v>South</v>
      </c>
      <c r="S291" s="8" t="str">
        <f t="array" ref="S291">XLOOKUP(E291,Store_Dim!A:A,Store_Dim!D:D,"Not Found")</f>
        <v>Online</v>
      </c>
    </row>
    <row r="292" ht="14.25" customHeight="1">
      <c r="A292" s="8" t="s">
        <v>2245</v>
      </c>
      <c r="B292" s="12">
        <v>45770.0</v>
      </c>
      <c r="C292" s="8" t="s">
        <v>1311</v>
      </c>
      <c r="D292" s="8" t="s">
        <v>1881</v>
      </c>
      <c r="E292" s="8" t="s">
        <v>1933</v>
      </c>
      <c r="F292" s="8">
        <v>4.0</v>
      </c>
      <c r="G292" s="8">
        <v>493.8</v>
      </c>
      <c r="H292" s="8">
        <v>0.24</v>
      </c>
      <c r="I292" s="8">
        <f t="shared" si="1"/>
        <v>1975.2</v>
      </c>
      <c r="J292" s="8">
        <f t="shared" si="2"/>
        <v>-473.808</v>
      </c>
      <c r="K292" s="8" t="str">
        <f t="shared" si="3"/>
        <v>Apr</v>
      </c>
      <c r="L292" s="8">
        <f t="shared" si="4"/>
        <v>2025</v>
      </c>
      <c r="N292" s="8" t="str">
        <f t="array" ref="N292">XLOOKUP(C292,Customer_Dim!A:A,Customer_Dim!B:B,"Not Found")</f>
        <v>Karen King</v>
      </c>
      <c r="O292" s="8" t="str">
        <f t="array" ref="O292">XLOOKUP(C292,Customer_Dim!A:A,Customer_Dim!E:E,"Not Found")</f>
        <v>Kimburgh</v>
      </c>
      <c r="P292" s="8" t="str">
        <f t="array" ref="P292">XLOOKUP(D292,Product_Dim!A:A,Product_Dim!B:B,"Not Found")</f>
        <v>Cricket Bat</v>
      </c>
      <c r="Q292" s="8" t="str">
        <f t="array" ref="Q292">XLOOKUP(D292,Product_Dim!A:A,Product_Dim!C:C,"Not Found")</f>
        <v>Sports</v>
      </c>
      <c r="R292" s="8" t="str">
        <f t="array" ref="R292">XLOOKUP(E292,Store_Dim!A:A,Store_Dim!B:B,"Not Found")</f>
        <v>North</v>
      </c>
      <c r="S292" s="8" t="str">
        <f t="array" ref="S292">XLOOKUP(E292,Store_Dim!A:A,Store_Dim!D:D,"Not Found")</f>
        <v>Flagship</v>
      </c>
    </row>
    <row r="293" ht="14.25" customHeight="1">
      <c r="A293" s="8" t="s">
        <v>2246</v>
      </c>
      <c r="B293" s="12">
        <v>45771.0</v>
      </c>
      <c r="C293" s="8" t="s">
        <v>87</v>
      </c>
      <c r="D293" s="8" t="s">
        <v>1710</v>
      </c>
      <c r="E293" s="8" t="s">
        <v>1937</v>
      </c>
      <c r="F293" s="8">
        <v>1.0</v>
      </c>
      <c r="G293" s="8">
        <v>640.55</v>
      </c>
      <c r="H293" s="8">
        <v>0.25</v>
      </c>
      <c r="I293" s="8">
        <f t="shared" si="1"/>
        <v>640.55</v>
      </c>
      <c r="J293" s="8">
        <f t="shared" si="2"/>
        <v>-159.8875</v>
      </c>
      <c r="K293" s="8" t="str">
        <f t="shared" si="3"/>
        <v>Apr</v>
      </c>
      <c r="L293" s="8">
        <f t="shared" si="4"/>
        <v>2025</v>
      </c>
      <c r="N293" s="8" t="str">
        <f t="array" ref="N293">XLOOKUP(C293,Customer_Dim!A:A,Customer_Dim!B:B,"Not Found")</f>
        <v>Adam Cruz</v>
      </c>
      <c r="O293" s="8" t="str">
        <f t="array" ref="O293">XLOOKUP(C293,Customer_Dim!A:A,Customer_Dim!E:E,"Not Found")</f>
        <v>Brandonville</v>
      </c>
      <c r="P293" s="8" t="str">
        <f t="array" ref="P293">XLOOKUP(D293,Product_Dim!A:A,Product_Dim!B:B,"Not Found")</f>
        <v>Yoga Exercise Mat</v>
      </c>
      <c r="Q293" s="8" t="str">
        <f t="array" ref="Q293">XLOOKUP(D293,Product_Dim!A:A,Product_Dim!C:C,"Not Found")</f>
        <v>Sports</v>
      </c>
      <c r="R293" s="8" t="str">
        <f t="array" ref="R293">XLOOKUP(E293,Store_Dim!A:A,Store_Dim!B:B,"Not Found")</f>
        <v>North</v>
      </c>
      <c r="S293" s="8" t="str">
        <f t="array" ref="S293">XLOOKUP(E293,Store_Dim!A:A,Store_Dim!D:D,"Not Found")</f>
        <v>Flagship</v>
      </c>
    </row>
    <row r="294" ht="14.25" customHeight="1">
      <c r="A294" s="8" t="s">
        <v>2247</v>
      </c>
      <c r="B294" s="12">
        <v>45772.0</v>
      </c>
      <c r="C294" s="8" t="s">
        <v>424</v>
      </c>
      <c r="D294" s="8" t="s">
        <v>1812</v>
      </c>
      <c r="E294" s="8" t="s">
        <v>1912</v>
      </c>
      <c r="F294" s="8">
        <v>1.0</v>
      </c>
      <c r="G294" s="8">
        <v>702.53</v>
      </c>
      <c r="H294" s="8">
        <v>0.3</v>
      </c>
      <c r="I294" s="8">
        <f t="shared" si="1"/>
        <v>702.53</v>
      </c>
      <c r="J294" s="8">
        <f t="shared" si="2"/>
        <v>-210.459</v>
      </c>
      <c r="K294" s="8" t="str">
        <f t="shared" si="3"/>
        <v>Apr</v>
      </c>
      <c r="L294" s="8">
        <f t="shared" si="4"/>
        <v>2025</v>
      </c>
      <c r="N294" s="8" t="str">
        <f t="array" ref="N294">XLOOKUP(C294,Customer_Dim!A:A,Customer_Dim!B:B,"Not Found")</f>
        <v>Michael Jones</v>
      </c>
      <c r="O294" s="8" t="str">
        <f t="array" ref="O294">XLOOKUP(C294,Customer_Dim!A:A,Customer_Dim!E:E,"Not Found")</f>
        <v>North Edwardton</v>
      </c>
      <c r="P294" s="8" t="str">
        <f t="array" ref="P294">XLOOKUP(D294,Product_Dim!A:A,Product_Dim!B:B,"Not Found")</f>
        <v>Bluetooth Car Audio System</v>
      </c>
      <c r="Q294" s="8" t="str">
        <f t="array" ref="Q294">XLOOKUP(D294,Product_Dim!A:A,Product_Dim!C:C,"Not Found")</f>
        <v>Electronics</v>
      </c>
      <c r="R294" s="8" t="str">
        <f t="array" ref="R294">XLOOKUP(E294,Store_Dim!A:A,Store_Dim!B:B,"Not Found")</f>
        <v>South</v>
      </c>
      <c r="S294" s="8" t="str">
        <f t="array" ref="S294">XLOOKUP(E294,Store_Dim!A:A,Store_Dim!D:D,"Not Found")</f>
        <v>Online</v>
      </c>
    </row>
    <row r="295" ht="14.25" customHeight="1">
      <c r="A295" s="8" t="s">
        <v>2248</v>
      </c>
      <c r="B295" s="12">
        <v>45773.0</v>
      </c>
      <c r="C295" s="8" t="s">
        <v>739</v>
      </c>
      <c r="D295" s="8" t="s">
        <v>1703</v>
      </c>
      <c r="E295" s="8" t="s">
        <v>1921</v>
      </c>
      <c r="F295" s="8">
        <v>4.0</v>
      </c>
      <c r="G295" s="8">
        <v>139.94</v>
      </c>
      <c r="H295" s="8">
        <v>0.24</v>
      </c>
      <c r="I295" s="8">
        <f t="shared" si="1"/>
        <v>559.76</v>
      </c>
      <c r="J295" s="8">
        <f t="shared" si="2"/>
        <v>-134.1024</v>
      </c>
      <c r="K295" s="8" t="str">
        <f t="shared" si="3"/>
        <v>Apr</v>
      </c>
      <c r="L295" s="8">
        <f t="shared" si="4"/>
        <v>2025</v>
      </c>
      <c r="N295" s="8" t="str">
        <f t="array" ref="N295">XLOOKUP(C295,Customer_Dim!A:A,Customer_Dim!B:B,"Not Found")</f>
        <v>Anthony Morgan</v>
      </c>
      <c r="O295" s="8" t="str">
        <f t="array" ref="O295">XLOOKUP(C295,Customer_Dim!A:A,Customer_Dim!E:E,"Not Found")</f>
        <v>New Anthonyfurt</v>
      </c>
      <c r="P295" s="8" t="str">
        <f t="array" ref="P295">XLOOKUP(D295,Product_Dim!A:A,Product_Dim!B:B,"Not Found")</f>
        <v>Portable Power Bank</v>
      </c>
      <c r="Q295" s="8" t="str">
        <f t="array" ref="Q295">XLOOKUP(D295,Product_Dim!A:A,Product_Dim!C:C,"Not Found")</f>
        <v>Electronics</v>
      </c>
      <c r="R295" s="8" t="str">
        <f t="array" ref="R295">XLOOKUP(E295,Store_Dim!A:A,Store_Dim!B:B,"Not Found")</f>
        <v>West</v>
      </c>
      <c r="S295" s="8" t="str">
        <f t="array" ref="S295">XLOOKUP(E295,Store_Dim!A:A,Store_Dim!D:D,"Not Found")</f>
        <v>Online</v>
      </c>
    </row>
    <row r="296" ht="14.25" customHeight="1">
      <c r="A296" s="8" t="s">
        <v>2249</v>
      </c>
      <c r="B296" s="12">
        <v>45774.0</v>
      </c>
      <c r="C296" s="8" t="s">
        <v>896</v>
      </c>
      <c r="D296" s="8" t="s">
        <v>1638</v>
      </c>
      <c r="E296" s="8" t="s">
        <v>1921</v>
      </c>
      <c r="F296" s="8">
        <v>2.0</v>
      </c>
      <c r="G296" s="8">
        <v>230.85</v>
      </c>
      <c r="H296" s="8">
        <v>0.18</v>
      </c>
      <c r="I296" s="8">
        <f t="shared" si="1"/>
        <v>461.7</v>
      </c>
      <c r="J296" s="8">
        <f t="shared" si="2"/>
        <v>-82.926</v>
      </c>
      <c r="K296" s="8" t="str">
        <f t="shared" si="3"/>
        <v>Apr</v>
      </c>
      <c r="L296" s="8">
        <f t="shared" si="4"/>
        <v>2025</v>
      </c>
      <c r="N296" s="8" t="str">
        <f t="array" ref="N296">XLOOKUP(C296,Customer_Dim!A:A,Customer_Dim!B:B,"Not Found")</f>
        <v>Jeffrey Gomez</v>
      </c>
      <c r="O296" s="8" t="str">
        <f t="array" ref="O296">XLOOKUP(C296,Customer_Dim!A:A,Customer_Dim!E:E,"Not Found")</f>
        <v>Lake Nicole</v>
      </c>
      <c r="P296" s="8" t="str">
        <f t="array" ref="P296">XLOOKUP(D296,Product_Dim!A:A,Product_Dim!B:B,"Not Found")</f>
        <v>Knee Support Brace</v>
      </c>
      <c r="Q296" s="8" t="str">
        <f t="array" ref="Q296">XLOOKUP(D296,Product_Dim!A:A,Product_Dim!C:C,"Not Found")</f>
        <v>Sports</v>
      </c>
      <c r="R296" s="8" t="str">
        <f t="array" ref="R296">XLOOKUP(E296,Store_Dim!A:A,Store_Dim!B:B,"Not Found")</f>
        <v>West</v>
      </c>
      <c r="S296" s="8" t="str">
        <f t="array" ref="S296">XLOOKUP(E296,Store_Dim!A:A,Store_Dim!D:D,"Not Found")</f>
        <v>Online</v>
      </c>
    </row>
    <row r="297" ht="14.25" customHeight="1">
      <c r="A297" s="8" t="s">
        <v>2250</v>
      </c>
      <c r="B297" s="12">
        <v>45775.0</v>
      </c>
      <c r="C297" s="8" t="s">
        <v>699</v>
      </c>
      <c r="D297" s="8" t="s">
        <v>1845</v>
      </c>
      <c r="E297" s="8" t="s">
        <v>1937</v>
      </c>
      <c r="F297" s="8">
        <v>4.0</v>
      </c>
      <c r="G297" s="8">
        <v>626.35</v>
      </c>
      <c r="H297" s="8">
        <v>0.25</v>
      </c>
      <c r="I297" s="8">
        <f t="shared" si="1"/>
        <v>2505.4</v>
      </c>
      <c r="J297" s="8">
        <f t="shared" si="2"/>
        <v>-626.1</v>
      </c>
      <c r="K297" s="8" t="str">
        <f t="shared" si="3"/>
        <v>Apr</v>
      </c>
      <c r="L297" s="8">
        <f t="shared" si="4"/>
        <v>2025</v>
      </c>
      <c r="N297" s="8" t="str">
        <f t="array" ref="N297">XLOOKUP(C297,Customer_Dim!A:A,Customer_Dim!B:B,"Not Found")</f>
        <v>Rodney Huffman</v>
      </c>
      <c r="O297" s="8" t="str">
        <f t="array" ref="O297">XLOOKUP(C297,Customer_Dim!A:A,Customer_Dim!E:E,"Not Found")</f>
        <v>Garzafort</v>
      </c>
      <c r="P297" s="8" t="str">
        <f t="array" ref="P297">XLOOKUP(D297,Product_Dim!A:A,Product_Dim!B:B,"Not Found")</f>
        <v>Women's Beanie Hat</v>
      </c>
      <c r="Q297" s="8" t="str">
        <f t="array" ref="Q297">XLOOKUP(D297,Product_Dim!A:A,Product_Dim!C:C,"Not Found")</f>
        <v>Clothing</v>
      </c>
      <c r="R297" s="8" t="str">
        <f t="array" ref="R297">XLOOKUP(E297,Store_Dim!A:A,Store_Dim!B:B,"Not Found")</f>
        <v>North</v>
      </c>
      <c r="S297" s="8" t="str">
        <f t="array" ref="S297">XLOOKUP(E297,Store_Dim!A:A,Store_Dim!D:D,"Not Found")</f>
        <v>Flagship</v>
      </c>
    </row>
    <row r="298" ht="14.25" customHeight="1">
      <c r="A298" s="8" t="s">
        <v>2251</v>
      </c>
      <c r="B298" s="12">
        <v>45776.0</v>
      </c>
      <c r="C298" s="8" t="s">
        <v>308</v>
      </c>
      <c r="D298" s="8" t="s">
        <v>1710</v>
      </c>
      <c r="E298" s="8" t="s">
        <v>1932</v>
      </c>
      <c r="F298" s="8">
        <v>4.0</v>
      </c>
      <c r="G298" s="8">
        <v>108.55</v>
      </c>
      <c r="H298" s="8">
        <v>0.18</v>
      </c>
      <c r="I298" s="8">
        <f t="shared" si="1"/>
        <v>434.2</v>
      </c>
      <c r="J298" s="8">
        <f t="shared" si="2"/>
        <v>-77.976</v>
      </c>
      <c r="K298" s="8" t="str">
        <f t="shared" si="3"/>
        <v>Apr</v>
      </c>
      <c r="L298" s="8">
        <f t="shared" si="4"/>
        <v>2025</v>
      </c>
      <c r="N298" s="8" t="str">
        <f t="array" ref="N298">XLOOKUP(C298,Customer_Dim!A:A,Customer_Dim!B:B,"Not Found")</f>
        <v>George Rosario</v>
      </c>
      <c r="O298" s="8" t="str">
        <f t="array" ref="O298">XLOOKUP(C298,Customer_Dim!A:A,Customer_Dim!E:E,"Not Found")</f>
        <v>Leburgh</v>
      </c>
      <c r="P298" s="8" t="str">
        <f t="array" ref="P298">XLOOKUP(D298,Product_Dim!A:A,Product_Dim!B:B,"Not Found")</f>
        <v>Yoga Exercise Mat</v>
      </c>
      <c r="Q298" s="8" t="str">
        <f t="array" ref="Q298">XLOOKUP(D298,Product_Dim!A:A,Product_Dim!C:C,"Not Found")</f>
        <v>Sports</v>
      </c>
      <c r="R298" s="8" t="str">
        <f t="array" ref="R298">XLOOKUP(E298,Store_Dim!A:A,Store_Dim!B:B,"Not Found")</f>
        <v>South</v>
      </c>
      <c r="S298" s="8" t="str">
        <f t="array" ref="S298">XLOOKUP(E298,Store_Dim!A:A,Store_Dim!D:D,"Not Found")</f>
        <v>Outlet</v>
      </c>
    </row>
    <row r="299" ht="14.25" customHeight="1">
      <c r="A299" s="8" t="s">
        <v>2252</v>
      </c>
      <c r="B299" s="12">
        <v>45777.0</v>
      </c>
      <c r="C299" s="8" t="s">
        <v>640</v>
      </c>
      <c r="D299" s="8" t="s">
        <v>1632</v>
      </c>
      <c r="E299" s="8" t="s">
        <v>1903</v>
      </c>
      <c r="F299" s="8">
        <v>4.0</v>
      </c>
      <c r="G299" s="8">
        <v>353.67</v>
      </c>
      <c r="H299" s="8">
        <v>0.03</v>
      </c>
      <c r="I299" s="8">
        <f t="shared" si="1"/>
        <v>1414.68</v>
      </c>
      <c r="J299" s="8">
        <f t="shared" si="2"/>
        <v>-42.4104</v>
      </c>
      <c r="K299" s="8" t="str">
        <f t="shared" si="3"/>
        <v>Apr</v>
      </c>
      <c r="L299" s="8">
        <f t="shared" si="4"/>
        <v>2025</v>
      </c>
      <c r="N299" s="8" t="str">
        <f t="array" ref="N299">XLOOKUP(C299,Customer_Dim!A:A,Customer_Dim!B:B,"Not Found")</f>
        <v>Todd Poole</v>
      </c>
      <c r="O299" s="8" t="str">
        <f t="array" ref="O299">XLOOKUP(C299,Customer_Dim!A:A,Customer_Dim!E:E,"Not Found")</f>
        <v>Johnsonshire</v>
      </c>
      <c r="P299" s="8" t="str">
        <f t="array" ref="P299">XLOOKUP(D299,Product_Dim!A:A,Product_Dim!B:B,"Not Found")</f>
        <v>Soccer Training Cone Set</v>
      </c>
      <c r="Q299" s="8" t="str">
        <f t="array" ref="Q299">XLOOKUP(D299,Product_Dim!A:A,Product_Dim!C:C,"Not Found")</f>
        <v>Sports</v>
      </c>
      <c r="R299" s="8" t="str">
        <f t="array" ref="R299">XLOOKUP(E299,Store_Dim!A:A,Store_Dim!B:B,"Not Found")</f>
        <v>North</v>
      </c>
      <c r="S299" s="8" t="str">
        <f t="array" ref="S299">XLOOKUP(E299,Store_Dim!A:A,Store_Dim!D:D,"Not Found")</f>
        <v>Flagship</v>
      </c>
    </row>
    <row r="300" ht="14.25" customHeight="1">
      <c r="A300" s="8" t="s">
        <v>2253</v>
      </c>
      <c r="B300" s="12">
        <v>45778.0</v>
      </c>
      <c r="C300" s="8" t="s">
        <v>251</v>
      </c>
      <c r="D300" s="8" t="s">
        <v>1860</v>
      </c>
      <c r="E300" s="8" t="s">
        <v>1903</v>
      </c>
      <c r="F300" s="8">
        <v>4.0</v>
      </c>
      <c r="G300" s="8">
        <v>61.98</v>
      </c>
      <c r="H300" s="8">
        <v>0.16</v>
      </c>
      <c r="I300" s="8">
        <f t="shared" si="1"/>
        <v>247.92</v>
      </c>
      <c r="J300" s="8">
        <f t="shared" si="2"/>
        <v>-39.5072</v>
      </c>
      <c r="K300" s="8" t="str">
        <f t="shared" si="3"/>
        <v>May</v>
      </c>
      <c r="L300" s="8">
        <f t="shared" si="4"/>
        <v>2025</v>
      </c>
      <c r="N300" s="8" t="str">
        <f t="array" ref="N300">XLOOKUP(C300,Customer_Dim!A:A,Customer_Dim!B:B,"Not Found")</f>
        <v>Michael Thomas</v>
      </c>
      <c r="O300" s="8" t="str">
        <f t="array" ref="O300">XLOOKUP(C300,Customer_Dim!A:A,Customer_Dim!E:E,"Not Found")</f>
        <v>Woodmouth</v>
      </c>
      <c r="P300" s="8" t="str">
        <f t="array" ref="P300">XLOOKUP(D300,Product_Dim!A:A,Product_Dim!B:B,"Not Found")</f>
        <v>Gaming Mouse Pad XL</v>
      </c>
      <c r="Q300" s="8" t="str">
        <f t="array" ref="Q300">XLOOKUP(D300,Product_Dim!A:A,Product_Dim!C:C,"Not Found")</f>
        <v>Electronics</v>
      </c>
      <c r="R300" s="8" t="str">
        <f t="array" ref="R300">XLOOKUP(E300,Store_Dim!A:A,Store_Dim!B:B,"Not Found")</f>
        <v>North</v>
      </c>
      <c r="S300" s="8" t="str">
        <f t="array" ref="S300">XLOOKUP(E300,Store_Dim!A:A,Store_Dim!D:D,"Not Found")</f>
        <v>Flagship</v>
      </c>
    </row>
    <row r="301" ht="14.25" customHeight="1">
      <c r="A301" s="8" t="s">
        <v>2254</v>
      </c>
      <c r="B301" s="12">
        <v>45779.0</v>
      </c>
      <c r="C301" s="8" t="s">
        <v>714</v>
      </c>
      <c r="D301" s="8" t="s">
        <v>1649</v>
      </c>
      <c r="E301" s="8" t="s">
        <v>1941</v>
      </c>
      <c r="F301" s="8">
        <v>2.0</v>
      </c>
      <c r="G301" s="8">
        <v>873.1</v>
      </c>
      <c r="H301" s="8">
        <v>0.12</v>
      </c>
      <c r="I301" s="8">
        <f t="shared" si="1"/>
        <v>1746.2</v>
      </c>
      <c r="J301" s="8">
        <f t="shared" si="2"/>
        <v>-209.424</v>
      </c>
      <c r="K301" s="8" t="str">
        <f t="shared" si="3"/>
        <v>May</v>
      </c>
      <c r="L301" s="8">
        <f t="shared" si="4"/>
        <v>2025</v>
      </c>
      <c r="N301" s="8" t="str">
        <f t="array" ref="N301">XLOOKUP(C301,Customer_Dim!A:A,Customer_Dim!B:B,"Not Found")</f>
        <v>Kathryn Garcia</v>
      </c>
      <c r="O301" s="8" t="str">
        <f t="array" ref="O301">XLOOKUP(C301,Customer_Dim!A:A,Customer_Dim!E:E,"Not Found")</f>
        <v>Morrismouth</v>
      </c>
      <c r="P301" s="8" t="str">
        <f t="array" ref="P301">XLOOKUP(D301,Product_Dim!A:A,Product_Dim!B:B,"Not Found")</f>
        <v>Carbon Fiber Tennis Racket</v>
      </c>
      <c r="Q301" s="8" t="str">
        <f t="array" ref="Q301">XLOOKUP(D301,Product_Dim!A:A,Product_Dim!C:C,"Not Found")</f>
        <v>Sports</v>
      </c>
      <c r="R301" s="8" t="str">
        <f t="array" ref="R301">XLOOKUP(E301,Store_Dim!A:A,Store_Dim!B:B,"Not Found")</f>
        <v>East</v>
      </c>
      <c r="S301" s="8" t="str">
        <f t="array" ref="S301">XLOOKUP(E301,Store_Dim!A:A,Store_Dim!D:D,"Not Found")</f>
        <v>Online</v>
      </c>
    </row>
    <row r="302" ht="14.25" customHeight="1">
      <c r="A302" s="8" t="s">
        <v>2255</v>
      </c>
      <c r="B302" s="12">
        <v>45780.0</v>
      </c>
      <c r="C302" s="8" t="s">
        <v>660</v>
      </c>
      <c r="D302" s="8" t="s">
        <v>1613</v>
      </c>
      <c r="E302" s="8" t="s">
        <v>1933</v>
      </c>
      <c r="F302" s="8">
        <v>4.0</v>
      </c>
      <c r="G302" s="8">
        <v>889.47</v>
      </c>
      <c r="H302" s="8">
        <v>0.24</v>
      </c>
      <c r="I302" s="8">
        <f t="shared" si="1"/>
        <v>3557.88</v>
      </c>
      <c r="J302" s="8">
        <f t="shared" si="2"/>
        <v>-853.6512</v>
      </c>
      <c r="K302" s="8" t="str">
        <f t="shared" si="3"/>
        <v>May</v>
      </c>
      <c r="L302" s="8">
        <f t="shared" si="4"/>
        <v>2025</v>
      </c>
      <c r="N302" s="8" t="str">
        <f t="array" ref="N302">XLOOKUP(C302,Customer_Dim!A:A,Customer_Dim!B:B,"Not Found")</f>
        <v>Wanda Snyder</v>
      </c>
      <c r="O302" s="8" t="str">
        <f t="array" ref="O302">XLOOKUP(C302,Customer_Dim!A:A,Customer_Dim!E:E,"Not Found")</f>
        <v>Frostmouth</v>
      </c>
      <c r="P302" s="8" t="str">
        <f t="array" ref="P302">XLOOKUP(D302,Product_Dim!A:A,Product_Dim!B:B,"Not Found")</f>
        <v>Hair Strengthening Shampoo</v>
      </c>
      <c r="Q302" s="8" t="str">
        <f t="array" ref="Q302">XLOOKUP(D302,Product_Dim!A:A,Product_Dim!C:C,"Not Found")</f>
        <v>Beauty</v>
      </c>
      <c r="R302" s="8" t="str">
        <f t="array" ref="R302">XLOOKUP(E302,Store_Dim!A:A,Store_Dim!B:B,"Not Found")</f>
        <v>North</v>
      </c>
      <c r="S302" s="8" t="str">
        <f t="array" ref="S302">XLOOKUP(E302,Store_Dim!A:A,Store_Dim!D:D,"Not Found")</f>
        <v>Flagship</v>
      </c>
    </row>
    <row r="303" ht="14.25" customHeight="1">
      <c r="A303" s="8" t="s">
        <v>2256</v>
      </c>
      <c r="B303" s="12">
        <v>45781.0</v>
      </c>
      <c r="C303" s="8" t="s">
        <v>128</v>
      </c>
      <c r="D303" s="8" t="s">
        <v>1812</v>
      </c>
      <c r="E303" s="8" t="s">
        <v>1928</v>
      </c>
      <c r="F303" s="8">
        <v>3.0</v>
      </c>
      <c r="G303" s="8">
        <v>803.76</v>
      </c>
      <c r="H303" s="8">
        <v>0.19</v>
      </c>
      <c r="I303" s="8">
        <f t="shared" si="1"/>
        <v>2411.28</v>
      </c>
      <c r="J303" s="8">
        <f t="shared" si="2"/>
        <v>-457.9532</v>
      </c>
      <c r="K303" s="8" t="str">
        <f t="shared" si="3"/>
        <v>May</v>
      </c>
      <c r="L303" s="8">
        <f t="shared" si="4"/>
        <v>2025</v>
      </c>
      <c r="N303" s="8" t="str">
        <f t="array" ref="N303">XLOOKUP(C303,Customer_Dim!A:A,Customer_Dim!B:B,"Not Found")</f>
        <v>Joshua Ryan</v>
      </c>
      <c r="O303" s="8" t="str">
        <f t="array" ref="O303">XLOOKUP(C303,Customer_Dim!A:A,Customer_Dim!E:E,"Not Found")</f>
        <v>New David</v>
      </c>
      <c r="P303" s="8" t="str">
        <f t="array" ref="P303">XLOOKUP(D303,Product_Dim!A:A,Product_Dim!B:B,"Not Found")</f>
        <v>Bluetooth Car Audio System</v>
      </c>
      <c r="Q303" s="8" t="str">
        <f t="array" ref="Q303">XLOOKUP(D303,Product_Dim!A:A,Product_Dim!C:C,"Not Found")</f>
        <v>Electronics</v>
      </c>
      <c r="R303" s="8" t="str">
        <f t="array" ref="R303">XLOOKUP(E303,Store_Dim!A:A,Store_Dim!B:B,"Not Found")</f>
        <v>South</v>
      </c>
      <c r="S303" s="8" t="str">
        <f t="array" ref="S303">XLOOKUP(E303,Store_Dim!A:A,Store_Dim!D:D,"Not Found")</f>
        <v>Online</v>
      </c>
    </row>
    <row r="304" ht="14.25" customHeight="1">
      <c r="A304" s="8" t="s">
        <v>2257</v>
      </c>
      <c r="B304" s="12">
        <v>45782.0</v>
      </c>
      <c r="C304" s="8" t="s">
        <v>1459</v>
      </c>
      <c r="D304" s="8" t="s">
        <v>1815</v>
      </c>
      <c r="E304" s="8" t="s">
        <v>1915</v>
      </c>
      <c r="F304" s="8">
        <v>2.0</v>
      </c>
      <c r="G304" s="8">
        <v>865.14</v>
      </c>
      <c r="H304" s="8">
        <v>0.2</v>
      </c>
      <c r="I304" s="8">
        <f t="shared" si="1"/>
        <v>1730.28</v>
      </c>
      <c r="J304" s="8">
        <f t="shared" si="2"/>
        <v>-345.856</v>
      </c>
      <c r="K304" s="8" t="str">
        <f t="shared" si="3"/>
        <v>May</v>
      </c>
      <c r="L304" s="8">
        <f t="shared" si="4"/>
        <v>2025</v>
      </c>
      <c r="N304" s="8" t="str">
        <f t="array" ref="N304">XLOOKUP(C304,Customer_Dim!A:A,Customer_Dim!B:B,"Not Found")</f>
        <v>Gregory Curtis</v>
      </c>
      <c r="O304" s="8" t="str">
        <f t="array" ref="O304">XLOOKUP(C304,Customer_Dim!A:A,Customer_Dim!E:E,"Not Found")</f>
        <v>Bergermouth</v>
      </c>
      <c r="P304" s="8" t="str">
        <f t="array" ref="P304">XLOOKUP(D304,Product_Dim!A:A,Product_Dim!B:B,"Not Found")</f>
        <v>Women's Ankle Boots</v>
      </c>
      <c r="Q304" s="8" t="str">
        <f t="array" ref="Q304">XLOOKUP(D304,Product_Dim!A:A,Product_Dim!C:C,"Not Found")</f>
        <v>Clothing</v>
      </c>
      <c r="R304" s="8" t="str">
        <f t="array" ref="R304">XLOOKUP(E304,Store_Dim!A:A,Store_Dim!B:B,"Not Found")</f>
        <v>North</v>
      </c>
      <c r="S304" s="8" t="str">
        <f t="array" ref="S304">XLOOKUP(E304,Store_Dim!A:A,Store_Dim!D:D,"Not Found")</f>
        <v>Outlet</v>
      </c>
    </row>
    <row r="305" ht="14.25" customHeight="1">
      <c r="A305" s="8" t="s">
        <v>2258</v>
      </c>
      <c r="B305" s="12">
        <v>45783.0</v>
      </c>
      <c r="C305" s="8" t="s">
        <v>357</v>
      </c>
      <c r="D305" s="8" t="s">
        <v>1677</v>
      </c>
      <c r="E305" s="8" t="s">
        <v>1924</v>
      </c>
      <c r="F305" s="8">
        <v>2.0</v>
      </c>
      <c r="G305" s="8">
        <v>916.49</v>
      </c>
      <c r="H305" s="8">
        <v>0.3</v>
      </c>
      <c r="I305" s="8">
        <f t="shared" si="1"/>
        <v>1832.98</v>
      </c>
      <c r="J305" s="8">
        <f t="shared" si="2"/>
        <v>-549.594</v>
      </c>
      <c r="K305" s="8" t="str">
        <f t="shared" si="3"/>
        <v>May</v>
      </c>
      <c r="L305" s="8">
        <f t="shared" si="4"/>
        <v>2025</v>
      </c>
      <c r="N305" s="8" t="str">
        <f t="array" ref="N305">XLOOKUP(C305,Customer_Dim!A:A,Customer_Dim!B:B,"Not Found")</f>
        <v>David Cobb</v>
      </c>
      <c r="O305" s="8" t="str">
        <f t="array" ref="O305">XLOOKUP(C305,Customer_Dim!A:A,Customer_Dim!E:E,"Not Found")</f>
        <v>Lake Thomas</v>
      </c>
      <c r="P305" s="8" t="str">
        <f t="array" ref="P305">XLOOKUP(D305,Product_Dim!A:A,Product_Dim!B:B,"Not Found")</f>
        <v>Basketball</v>
      </c>
      <c r="Q305" s="8" t="str">
        <f t="array" ref="Q305">XLOOKUP(D305,Product_Dim!A:A,Product_Dim!C:C,"Not Found")</f>
        <v>Sports</v>
      </c>
      <c r="R305" s="8" t="str">
        <f t="array" ref="R305">XLOOKUP(E305,Store_Dim!A:A,Store_Dim!B:B,"Not Found")</f>
        <v>South</v>
      </c>
      <c r="S305" s="8" t="str">
        <f t="array" ref="S305">XLOOKUP(E305,Store_Dim!A:A,Store_Dim!D:D,"Not Found")</f>
        <v>Flagship</v>
      </c>
    </row>
    <row r="306" ht="14.25" customHeight="1">
      <c r="A306" s="8" t="s">
        <v>2259</v>
      </c>
      <c r="B306" s="12">
        <v>45784.0</v>
      </c>
      <c r="C306" s="8" t="s">
        <v>174</v>
      </c>
      <c r="D306" s="8" t="s">
        <v>1742</v>
      </c>
      <c r="E306" s="8" t="s">
        <v>1929</v>
      </c>
      <c r="F306" s="8">
        <v>3.0</v>
      </c>
      <c r="G306" s="8">
        <v>781.39</v>
      </c>
      <c r="H306" s="8">
        <v>0.12</v>
      </c>
      <c r="I306" s="8">
        <f t="shared" si="1"/>
        <v>2344.17</v>
      </c>
      <c r="J306" s="8">
        <f t="shared" si="2"/>
        <v>-281.1804</v>
      </c>
      <c r="K306" s="8" t="str">
        <f t="shared" si="3"/>
        <v>May</v>
      </c>
      <c r="L306" s="8">
        <f t="shared" si="4"/>
        <v>2025</v>
      </c>
      <c r="N306" s="8" t="str">
        <f t="array" ref="N306">XLOOKUP(C306,Customer_Dim!A:A,Customer_Dim!B:B,"Not Found")</f>
        <v>William Martin</v>
      </c>
      <c r="O306" s="8" t="str">
        <f t="array" ref="O306">XLOOKUP(C306,Customer_Dim!A:A,Customer_Dim!E:E,"Not Found")</f>
        <v>Ryanburgh</v>
      </c>
      <c r="P306" s="8" t="str">
        <f t="array" ref="P306">XLOOKUP(D306,Product_Dim!A:A,Product_Dim!B:B,"Not Found")</f>
        <v>HDMI Cable – 2m</v>
      </c>
      <c r="Q306" s="8" t="str">
        <f t="array" ref="Q306">XLOOKUP(D306,Product_Dim!A:A,Product_Dim!C:C,"Not Found")</f>
        <v>Electronics</v>
      </c>
      <c r="R306" s="8" t="str">
        <f t="array" ref="R306">XLOOKUP(E306,Store_Dim!A:A,Store_Dim!B:B,"Not Found")</f>
        <v>North</v>
      </c>
      <c r="S306" s="8" t="str">
        <f t="array" ref="S306">XLOOKUP(E306,Store_Dim!A:A,Store_Dim!D:D,"Not Found")</f>
        <v>Online</v>
      </c>
    </row>
    <row r="307" ht="14.25" customHeight="1">
      <c r="A307" s="8" t="s">
        <v>2260</v>
      </c>
      <c r="B307" s="12">
        <v>45785.0</v>
      </c>
      <c r="C307" s="8" t="s">
        <v>699</v>
      </c>
      <c r="D307" s="8" t="s">
        <v>1700</v>
      </c>
      <c r="E307" s="8" t="s">
        <v>1929</v>
      </c>
      <c r="F307" s="8">
        <v>4.0</v>
      </c>
      <c r="G307" s="8">
        <v>619.74</v>
      </c>
      <c r="H307" s="8">
        <v>0.13</v>
      </c>
      <c r="I307" s="8">
        <f t="shared" si="1"/>
        <v>2478.96</v>
      </c>
      <c r="J307" s="8">
        <f t="shared" si="2"/>
        <v>-322.1348</v>
      </c>
      <c r="K307" s="8" t="str">
        <f t="shared" si="3"/>
        <v>May</v>
      </c>
      <c r="L307" s="8">
        <f t="shared" si="4"/>
        <v>2025</v>
      </c>
      <c r="N307" s="8" t="str">
        <f t="array" ref="N307">XLOOKUP(C307,Customer_Dim!A:A,Customer_Dim!B:B,"Not Found")</f>
        <v>Rodney Huffman</v>
      </c>
      <c r="O307" s="8" t="str">
        <f t="array" ref="O307">XLOOKUP(C307,Customer_Dim!A:A,Customer_Dim!E:E,"Not Found")</f>
        <v>Garzafort</v>
      </c>
      <c r="P307" s="8" t="str">
        <f t="array" ref="P307">XLOOKUP(D307,Product_Dim!A:A,Product_Dim!B:B,"Not Found")</f>
        <v>Sports Water Hydration Pack</v>
      </c>
      <c r="Q307" s="8" t="str">
        <f t="array" ref="Q307">XLOOKUP(D307,Product_Dim!A:A,Product_Dim!C:C,"Not Found")</f>
        <v>Sports</v>
      </c>
      <c r="R307" s="8" t="str">
        <f t="array" ref="R307">XLOOKUP(E307,Store_Dim!A:A,Store_Dim!B:B,"Not Found")</f>
        <v>North</v>
      </c>
      <c r="S307" s="8" t="str">
        <f t="array" ref="S307">XLOOKUP(E307,Store_Dim!A:A,Store_Dim!D:D,"Not Found")</f>
        <v>Online</v>
      </c>
    </row>
    <row r="308" ht="14.25" customHeight="1">
      <c r="A308" s="8" t="s">
        <v>2261</v>
      </c>
      <c r="B308" s="12">
        <v>45786.0</v>
      </c>
      <c r="C308" s="8" t="s">
        <v>1497</v>
      </c>
      <c r="D308" s="8" t="s">
        <v>1775</v>
      </c>
      <c r="E308" s="8" t="s">
        <v>1932</v>
      </c>
      <c r="F308" s="8">
        <v>2.0</v>
      </c>
      <c r="G308" s="8">
        <v>837.76</v>
      </c>
      <c r="H308" s="8">
        <v>0.03</v>
      </c>
      <c r="I308" s="8">
        <f t="shared" si="1"/>
        <v>1675.52</v>
      </c>
      <c r="J308" s="8">
        <f t="shared" si="2"/>
        <v>-50.2356</v>
      </c>
      <c r="K308" s="8" t="str">
        <f t="shared" si="3"/>
        <v>May</v>
      </c>
      <c r="L308" s="8">
        <f t="shared" si="4"/>
        <v>2025</v>
      </c>
      <c r="N308" s="8" t="str">
        <f t="array" ref="N308">XLOOKUP(C308,Customer_Dim!A:A,Customer_Dim!B:B,"Not Found")</f>
        <v>Bryan Tran</v>
      </c>
      <c r="O308" s="8" t="str">
        <f t="array" ref="O308">XLOOKUP(C308,Customer_Dim!A:A,Customer_Dim!E:E,"Not Found")</f>
        <v>Kelseybury</v>
      </c>
      <c r="P308" s="8" t="str">
        <f t="array" ref="P308">XLOOKUP(D308,Product_Dim!A:A,Product_Dim!B:B,"Not Found")</f>
        <v>Laptop Cooling Pad</v>
      </c>
      <c r="Q308" s="8" t="str">
        <f t="array" ref="Q308">XLOOKUP(D308,Product_Dim!A:A,Product_Dim!C:C,"Not Found")</f>
        <v>Electronics</v>
      </c>
      <c r="R308" s="8" t="str">
        <f t="array" ref="R308">XLOOKUP(E308,Store_Dim!A:A,Store_Dim!B:B,"Not Found")</f>
        <v>South</v>
      </c>
      <c r="S308" s="8" t="str">
        <f t="array" ref="S308">XLOOKUP(E308,Store_Dim!A:A,Store_Dim!D:D,"Not Found")</f>
        <v>Outlet</v>
      </c>
    </row>
    <row r="309" ht="14.25" customHeight="1">
      <c r="A309" s="8" t="s">
        <v>2262</v>
      </c>
      <c r="B309" s="12">
        <v>45787.0</v>
      </c>
      <c r="C309" s="8" t="s">
        <v>1411</v>
      </c>
      <c r="D309" s="8" t="s">
        <v>1860</v>
      </c>
      <c r="E309" s="8" t="s">
        <v>1903</v>
      </c>
      <c r="F309" s="8">
        <v>3.0</v>
      </c>
      <c r="G309" s="8">
        <v>135.94</v>
      </c>
      <c r="H309" s="8">
        <v>0.2</v>
      </c>
      <c r="I309" s="8">
        <f t="shared" si="1"/>
        <v>407.82</v>
      </c>
      <c r="J309" s="8">
        <f t="shared" si="2"/>
        <v>-81.364</v>
      </c>
      <c r="K309" s="8" t="str">
        <f t="shared" si="3"/>
        <v>May</v>
      </c>
      <c r="L309" s="8">
        <f t="shared" si="4"/>
        <v>2025</v>
      </c>
      <c r="N309" s="8" t="str">
        <f t="array" ref="N309">XLOOKUP(C309,Customer_Dim!A:A,Customer_Dim!B:B,"Not Found")</f>
        <v>Ashley Roberts</v>
      </c>
      <c r="O309" s="8" t="str">
        <f t="array" ref="O309">XLOOKUP(C309,Customer_Dim!A:A,Customer_Dim!E:E,"Not Found")</f>
        <v>Josephmouth</v>
      </c>
      <c r="P309" s="8" t="str">
        <f t="array" ref="P309">XLOOKUP(D309,Product_Dim!A:A,Product_Dim!B:B,"Not Found")</f>
        <v>Gaming Mouse Pad XL</v>
      </c>
      <c r="Q309" s="8" t="str">
        <f t="array" ref="Q309">XLOOKUP(D309,Product_Dim!A:A,Product_Dim!C:C,"Not Found")</f>
        <v>Electronics</v>
      </c>
      <c r="R309" s="8" t="str">
        <f t="array" ref="R309">XLOOKUP(E309,Store_Dim!A:A,Store_Dim!B:B,"Not Found")</f>
        <v>North</v>
      </c>
      <c r="S309" s="8" t="str">
        <f t="array" ref="S309">XLOOKUP(E309,Store_Dim!A:A,Store_Dim!D:D,"Not Found")</f>
        <v>Flagship</v>
      </c>
    </row>
    <row r="310" ht="14.25" customHeight="1">
      <c r="A310" s="8" t="s">
        <v>2263</v>
      </c>
      <c r="B310" s="12">
        <v>45788.0</v>
      </c>
      <c r="C310" s="8" t="s">
        <v>1491</v>
      </c>
      <c r="D310" s="8" t="s">
        <v>1812</v>
      </c>
      <c r="E310" s="8" t="s">
        <v>1903</v>
      </c>
      <c r="F310" s="8">
        <v>4.0</v>
      </c>
      <c r="G310" s="8">
        <v>396.53</v>
      </c>
      <c r="H310" s="8">
        <v>0.07</v>
      </c>
      <c r="I310" s="8">
        <f t="shared" si="1"/>
        <v>1586.12</v>
      </c>
      <c r="J310" s="8">
        <f t="shared" si="2"/>
        <v>-110.9584</v>
      </c>
      <c r="K310" s="8" t="str">
        <f t="shared" si="3"/>
        <v>May</v>
      </c>
      <c r="L310" s="8">
        <f t="shared" si="4"/>
        <v>2025</v>
      </c>
      <c r="N310" s="8" t="str">
        <f t="array" ref="N310">XLOOKUP(C310,Customer_Dim!A:A,Customer_Dim!B:B,"Not Found")</f>
        <v>Dylan Gutierrez</v>
      </c>
      <c r="O310" s="8" t="str">
        <f t="array" ref="O310">XLOOKUP(C310,Customer_Dim!A:A,Customer_Dim!E:E,"Not Found")</f>
        <v>New Jamesview</v>
      </c>
      <c r="P310" s="8" t="str">
        <f t="array" ref="P310">XLOOKUP(D310,Product_Dim!A:A,Product_Dim!B:B,"Not Found")</f>
        <v>Bluetooth Car Audio System</v>
      </c>
      <c r="Q310" s="8" t="str">
        <f t="array" ref="Q310">XLOOKUP(D310,Product_Dim!A:A,Product_Dim!C:C,"Not Found")</f>
        <v>Electronics</v>
      </c>
      <c r="R310" s="8" t="str">
        <f t="array" ref="R310">XLOOKUP(E310,Store_Dim!A:A,Store_Dim!B:B,"Not Found")</f>
        <v>North</v>
      </c>
      <c r="S310" s="8" t="str">
        <f t="array" ref="S310">XLOOKUP(E310,Store_Dim!A:A,Store_Dim!D:D,"Not Found")</f>
        <v>Flagship</v>
      </c>
    </row>
    <row r="311" ht="14.25" customHeight="1">
      <c r="A311" s="8" t="s">
        <v>2264</v>
      </c>
      <c r="B311" s="12">
        <v>45789.0</v>
      </c>
      <c r="C311" s="8" t="s">
        <v>726</v>
      </c>
      <c r="D311" s="8" t="s">
        <v>1671</v>
      </c>
      <c r="E311" s="8" t="s">
        <v>1932</v>
      </c>
      <c r="F311" s="8">
        <v>2.0</v>
      </c>
      <c r="G311" s="8">
        <v>722.45</v>
      </c>
      <c r="H311" s="8">
        <v>0.22</v>
      </c>
      <c r="I311" s="8">
        <f t="shared" si="1"/>
        <v>1444.9</v>
      </c>
      <c r="J311" s="8">
        <f t="shared" si="2"/>
        <v>-317.658</v>
      </c>
      <c r="K311" s="8" t="str">
        <f t="shared" si="3"/>
        <v>May</v>
      </c>
      <c r="L311" s="8">
        <f t="shared" si="4"/>
        <v>2025</v>
      </c>
      <c r="N311" s="8" t="str">
        <f t="array" ref="N311">XLOOKUP(C311,Customer_Dim!A:A,Customer_Dim!B:B,"Not Found")</f>
        <v>George Davis</v>
      </c>
      <c r="O311" s="8" t="str">
        <f t="array" ref="O311">XLOOKUP(C311,Customer_Dim!A:A,Customer_Dim!E:E,"Not Found")</f>
        <v>    lake lisa</v>
      </c>
      <c r="P311" s="8" t="str">
        <f t="array" ref="P311">XLOOKUP(D311,Product_Dim!A:A,Product_Dim!B:B,"Not Found")</f>
        <v>Fabric Sofa Throw Blanket</v>
      </c>
      <c r="Q311" s="8" t="str">
        <f t="array" ref="Q311">XLOOKUP(D311,Product_Dim!A:A,Product_Dim!C:C,"Not Found")</f>
        <v>Home</v>
      </c>
      <c r="R311" s="8" t="str">
        <f t="array" ref="R311">XLOOKUP(E311,Store_Dim!A:A,Store_Dim!B:B,"Not Found")</f>
        <v>South</v>
      </c>
      <c r="S311" s="8" t="str">
        <f t="array" ref="S311">XLOOKUP(E311,Store_Dim!A:A,Store_Dim!D:D,"Not Found")</f>
        <v>Outlet</v>
      </c>
    </row>
    <row r="312" ht="14.25" customHeight="1">
      <c r="A312" s="8" t="s">
        <v>2265</v>
      </c>
      <c r="B312" s="12">
        <v>45790.0</v>
      </c>
      <c r="C312" s="8" t="s">
        <v>191</v>
      </c>
      <c r="D312" s="8" t="s">
        <v>1781</v>
      </c>
      <c r="E312" s="8" t="s">
        <v>1906</v>
      </c>
      <c r="F312" s="8">
        <v>2.0</v>
      </c>
      <c r="G312" s="8">
        <v>138.41</v>
      </c>
      <c r="H312" s="8">
        <v>0.02</v>
      </c>
      <c r="I312" s="8">
        <f t="shared" si="1"/>
        <v>276.82</v>
      </c>
      <c r="J312" s="8">
        <f t="shared" si="2"/>
        <v>-5.5164</v>
      </c>
      <c r="K312" s="8" t="str">
        <f t="shared" si="3"/>
        <v>May</v>
      </c>
      <c r="L312" s="8">
        <f t="shared" si="4"/>
        <v>2025</v>
      </c>
      <c r="N312" s="8" t="str">
        <f t="array" ref="N312">XLOOKUP(C312,Customer_Dim!A:A,Customer_Dim!B:B,"Not Found")</f>
        <v>Gina Knight</v>
      </c>
      <c r="O312" s="8" t="str">
        <f t="array" ref="O312">XLOOKUP(C312,Customer_Dim!A:A,Customer_Dim!E:E,"Not Found")</f>
        <v>Lake Roberthaven</v>
      </c>
      <c r="P312" s="8" t="str">
        <f t="array" ref="P312">XLOOKUP(D312,Product_Dim!A:A,Product_Dim!B:B,"Not Found")</f>
        <v>Matte Lipstick Set</v>
      </c>
      <c r="Q312" s="8" t="str">
        <f t="array" ref="Q312">XLOOKUP(D312,Product_Dim!A:A,Product_Dim!C:C,"Not Found")</f>
        <v>Beauty</v>
      </c>
      <c r="R312" s="8" t="str">
        <f t="array" ref="R312">XLOOKUP(E312,Store_Dim!A:A,Store_Dim!B:B,"Not Found")</f>
        <v>South</v>
      </c>
      <c r="S312" s="8" t="str">
        <f t="array" ref="S312">XLOOKUP(E312,Store_Dim!A:A,Store_Dim!D:D,"Not Found")</f>
        <v>Outlet</v>
      </c>
    </row>
    <row r="313" ht="14.25" customHeight="1">
      <c r="A313" s="8" t="s">
        <v>2266</v>
      </c>
      <c r="B313" s="12">
        <v>45791.0</v>
      </c>
      <c r="C313" s="8" t="s">
        <v>446</v>
      </c>
      <c r="D313" s="8" t="s">
        <v>1830</v>
      </c>
      <c r="E313" s="8" t="s">
        <v>1906</v>
      </c>
      <c r="F313" s="8">
        <v>4.0</v>
      </c>
      <c r="G313" s="8">
        <v>741.51</v>
      </c>
      <c r="H313" s="8">
        <v>0.09</v>
      </c>
      <c r="I313" s="8">
        <f t="shared" si="1"/>
        <v>2966.04</v>
      </c>
      <c r="J313" s="8">
        <f t="shared" si="2"/>
        <v>-266.8536</v>
      </c>
      <c r="K313" s="8" t="str">
        <f t="shared" si="3"/>
        <v>May</v>
      </c>
      <c r="L313" s="8">
        <f t="shared" si="4"/>
        <v>2025</v>
      </c>
      <c r="N313" s="8" t="str">
        <f t="array" ref="N313">XLOOKUP(C313,Customer_Dim!A:A,Customer_Dim!B:B,"Not Found")</f>
        <v>James Wolfe</v>
      </c>
      <c r="O313" s="8" t="str">
        <f t="array" ref="O313">XLOOKUP(C313,Customer_Dim!A:A,Customer_Dim!E:E,"Not Found")</f>
        <v>Benjaminton</v>
      </c>
      <c r="P313" s="8" t="str">
        <f t="array" ref="P313">XLOOKUP(D313,Product_Dim!A:A,Product_Dim!B:B,"Not Found")</f>
        <v>Wall-Mounted Spice Rack</v>
      </c>
      <c r="Q313" s="8" t="str">
        <f t="array" ref="Q313">XLOOKUP(D313,Product_Dim!A:A,Product_Dim!C:C,"Not Found")</f>
        <v>Home</v>
      </c>
      <c r="R313" s="8" t="str">
        <f t="array" ref="R313">XLOOKUP(E313,Store_Dim!A:A,Store_Dim!B:B,"Not Found")</f>
        <v>South</v>
      </c>
      <c r="S313" s="8" t="str">
        <f t="array" ref="S313">XLOOKUP(E313,Store_Dim!A:A,Store_Dim!D:D,"Not Found")</f>
        <v>Outlet</v>
      </c>
    </row>
    <row r="314" ht="14.25" customHeight="1">
      <c r="A314" s="8" t="s">
        <v>2267</v>
      </c>
      <c r="B314" s="12">
        <v>45792.0</v>
      </c>
      <c r="C314" s="8" t="s">
        <v>110</v>
      </c>
      <c r="D314" s="8" t="s">
        <v>1830</v>
      </c>
      <c r="E314" s="8" t="s">
        <v>1937</v>
      </c>
      <c r="F314" s="8">
        <v>2.0</v>
      </c>
      <c r="G314" s="8">
        <v>588.9</v>
      </c>
      <c r="H314" s="8">
        <v>0.19</v>
      </c>
      <c r="I314" s="8">
        <f t="shared" si="1"/>
        <v>1177.8</v>
      </c>
      <c r="J314" s="8">
        <f t="shared" si="2"/>
        <v>-223.592</v>
      </c>
      <c r="K314" s="8" t="str">
        <f t="shared" si="3"/>
        <v>May</v>
      </c>
      <c r="L314" s="8">
        <f t="shared" si="4"/>
        <v>2025</v>
      </c>
      <c r="N314" s="8" t="str">
        <f t="array" ref="N314">XLOOKUP(C314,Customer_Dim!A:A,Customer_Dim!B:B,"Not Found")</f>
        <v>Jonathan Steele</v>
      </c>
      <c r="O314" s="8" t="str">
        <f t="array" ref="O314">XLOOKUP(C314,Customer_Dim!A:A,Customer_Dim!E:E,"Not Found")</f>
        <v>Molinabury</v>
      </c>
      <c r="P314" s="8" t="str">
        <f t="array" ref="P314">XLOOKUP(D314,Product_Dim!A:A,Product_Dim!B:B,"Not Found")</f>
        <v>Wall-Mounted Spice Rack</v>
      </c>
      <c r="Q314" s="8" t="str">
        <f t="array" ref="Q314">XLOOKUP(D314,Product_Dim!A:A,Product_Dim!C:C,"Not Found")</f>
        <v>Home</v>
      </c>
      <c r="R314" s="8" t="str">
        <f t="array" ref="R314">XLOOKUP(E314,Store_Dim!A:A,Store_Dim!B:B,"Not Found")</f>
        <v>North</v>
      </c>
      <c r="S314" s="8" t="str">
        <f t="array" ref="S314">XLOOKUP(E314,Store_Dim!A:A,Store_Dim!D:D,"Not Found")</f>
        <v>Flagship</v>
      </c>
    </row>
    <row r="315" ht="14.25" customHeight="1">
      <c r="A315" s="8" t="s">
        <v>2268</v>
      </c>
      <c r="B315" s="12">
        <v>45793.0</v>
      </c>
      <c r="C315" s="8" t="s">
        <v>975</v>
      </c>
      <c r="D315" s="8" t="s">
        <v>1739</v>
      </c>
      <c r="E315" s="8" t="s">
        <v>1906</v>
      </c>
      <c r="F315" s="8">
        <v>1.0</v>
      </c>
      <c r="G315" s="8">
        <v>88.92</v>
      </c>
      <c r="H315" s="8">
        <v>0.19</v>
      </c>
      <c r="I315" s="8">
        <f t="shared" si="1"/>
        <v>88.92</v>
      </c>
      <c r="J315" s="8">
        <f t="shared" si="2"/>
        <v>-16.7048</v>
      </c>
      <c r="K315" s="8" t="str">
        <f t="shared" si="3"/>
        <v>May</v>
      </c>
      <c r="L315" s="8">
        <f t="shared" si="4"/>
        <v>2025</v>
      </c>
      <c r="N315" s="8" t="str">
        <f t="array" ref="N315">XLOOKUP(C315,Customer_Dim!A:A,Customer_Dim!B:B,"Not Found")</f>
        <v>Miss Alexandria Li DVM</v>
      </c>
      <c r="O315" s="8" t="str">
        <f t="array" ref="O315">XLOOKUP(C315,Customer_Dim!A:A,Customer_Dim!E:E,"Not Found")</f>
        <v>Port Jenniferton</v>
      </c>
      <c r="P315" s="8" t="str">
        <f t="array" ref="P315">XLOOKUP(D315,Product_Dim!A:A,Product_Dim!B:B,"Not Found")</f>
        <v>Boxing Hand Wraps</v>
      </c>
      <c r="Q315" s="8" t="str">
        <f t="array" ref="Q315">XLOOKUP(D315,Product_Dim!A:A,Product_Dim!C:C,"Not Found")</f>
        <v>Sports</v>
      </c>
      <c r="R315" s="8" t="str">
        <f t="array" ref="R315">XLOOKUP(E315,Store_Dim!A:A,Store_Dim!B:B,"Not Found")</f>
        <v>South</v>
      </c>
      <c r="S315" s="8" t="str">
        <f t="array" ref="S315">XLOOKUP(E315,Store_Dim!A:A,Store_Dim!D:D,"Not Found")</f>
        <v>Outlet</v>
      </c>
    </row>
    <row r="316" ht="14.25" customHeight="1">
      <c r="A316" s="8" t="s">
        <v>2269</v>
      </c>
      <c r="B316" s="12">
        <v>45794.0</v>
      </c>
      <c r="C316" s="8" t="s">
        <v>421</v>
      </c>
      <c r="D316" s="8" t="s">
        <v>1772</v>
      </c>
      <c r="E316" s="8" t="s">
        <v>1935</v>
      </c>
      <c r="F316" s="8">
        <v>1.0</v>
      </c>
      <c r="G316" s="8">
        <v>299.13</v>
      </c>
      <c r="H316" s="8">
        <v>0.1</v>
      </c>
      <c r="I316" s="8">
        <f t="shared" si="1"/>
        <v>299.13</v>
      </c>
      <c r="J316" s="8">
        <f t="shared" si="2"/>
        <v>-29.813</v>
      </c>
      <c r="K316" s="8" t="str">
        <f t="shared" si="3"/>
        <v>May</v>
      </c>
      <c r="L316" s="8">
        <f t="shared" si="4"/>
        <v>2025</v>
      </c>
      <c r="N316" s="8" t="str">
        <f t="array" ref="N316">XLOOKUP(C316,Customer_Dim!A:A,Customer_Dim!B:B,"Not Found")</f>
        <v>Earl Allen</v>
      </c>
      <c r="O316" s="8" t="str">
        <f t="array" ref="O316">XLOOKUP(C316,Customer_Dim!A:A,Customer_Dim!E:E,"Not Found")</f>
        <v>New Jenniferburgh</v>
      </c>
      <c r="P316" s="8" t="str">
        <f t="array" ref="P316">XLOOKUP(D316,Product_Dim!A:A,Product_Dim!B:B,"Not Found")</f>
        <v>Tennis Ball 3-Pack</v>
      </c>
      <c r="Q316" s="8" t="str">
        <f t="array" ref="Q316">XLOOKUP(D316,Product_Dim!A:A,Product_Dim!C:C,"Not Found")</f>
        <v>Sports</v>
      </c>
      <c r="R316" s="8" t="str">
        <f t="array" ref="R316">XLOOKUP(E316,Store_Dim!A:A,Store_Dim!B:B,"Not Found")</f>
        <v>West</v>
      </c>
      <c r="S316" s="8" t="str">
        <f t="array" ref="S316">XLOOKUP(E316,Store_Dim!A:A,Store_Dim!D:D,"Not Found")</f>
        <v>Flagship</v>
      </c>
    </row>
    <row r="317" ht="14.25" customHeight="1">
      <c r="A317" s="8" t="s">
        <v>2270</v>
      </c>
      <c r="B317" s="12">
        <v>45795.0</v>
      </c>
      <c r="C317" s="8" t="s">
        <v>415</v>
      </c>
      <c r="D317" s="8" t="s">
        <v>1821</v>
      </c>
      <c r="E317" s="8" t="s">
        <v>1910</v>
      </c>
      <c r="F317" s="8">
        <v>2.0</v>
      </c>
      <c r="G317" s="8">
        <v>548.3</v>
      </c>
      <c r="H317" s="8">
        <v>0.23</v>
      </c>
      <c r="I317" s="8">
        <f t="shared" si="1"/>
        <v>1096.6</v>
      </c>
      <c r="J317" s="8">
        <f t="shared" si="2"/>
        <v>-251.988</v>
      </c>
      <c r="K317" s="8" t="str">
        <f t="shared" si="3"/>
        <v>May</v>
      </c>
      <c r="L317" s="8">
        <f t="shared" si="4"/>
        <v>2025</v>
      </c>
      <c r="N317" s="8" t="str">
        <f t="array" ref="N317">XLOOKUP(C317,Customer_Dim!A:A,Customer_Dim!B:B,"Not Found")</f>
        <v>Anthony Phillips</v>
      </c>
      <c r="O317" s="8" t="str">
        <f t="array" ref="O317">XLOOKUP(C317,Customer_Dim!A:A,Customer_Dim!E:E,"Not Found")</f>
        <v>North Davidport</v>
      </c>
      <c r="P317" s="8" t="str">
        <f t="array" ref="P317">XLOOKUP(D317,Product_Dim!A:A,Product_Dim!B:B,"Not Found")</f>
        <v>WiFi Mesh Router</v>
      </c>
      <c r="Q317" s="8" t="str">
        <f t="array" ref="Q317">XLOOKUP(D317,Product_Dim!A:A,Product_Dim!C:C,"Not Found")</f>
        <v>Electronics</v>
      </c>
      <c r="R317" s="8" t="str">
        <f t="array" ref="R317">XLOOKUP(E317,Store_Dim!A:A,Store_Dim!B:B,"Not Found")</f>
        <v>North</v>
      </c>
      <c r="S317" s="8" t="str">
        <f t="array" ref="S317">XLOOKUP(E317,Store_Dim!A:A,Store_Dim!D:D,"Not Found")</f>
        <v>Outlet</v>
      </c>
    </row>
    <row r="318" ht="14.25" customHeight="1">
      <c r="A318" s="8" t="s">
        <v>2271</v>
      </c>
      <c r="B318" s="12">
        <v>45796.0</v>
      </c>
      <c r="C318" s="8" t="s">
        <v>851</v>
      </c>
      <c r="D318" s="8" t="s">
        <v>1751</v>
      </c>
      <c r="E318" s="8" t="s">
        <v>1926</v>
      </c>
      <c r="F318" s="8">
        <v>3.0</v>
      </c>
      <c r="G318" s="8">
        <v>977.55</v>
      </c>
      <c r="H318" s="8">
        <v>0.02</v>
      </c>
      <c r="I318" s="8">
        <f t="shared" si="1"/>
        <v>2932.65</v>
      </c>
      <c r="J318" s="8">
        <f t="shared" si="2"/>
        <v>-58.633</v>
      </c>
      <c r="K318" s="8" t="str">
        <f t="shared" si="3"/>
        <v>May</v>
      </c>
      <c r="L318" s="8">
        <f t="shared" si="4"/>
        <v>2025</v>
      </c>
      <c r="N318" s="8" t="str">
        <f t="array" ref="N318">XLOOKUP(C318,Customer_Dim!A:A,Customer_Dim!B:B,"Not Found")</f>
        <v>Katherine Cowan</v>
      </c>
      <c r="O318" s="8" t="str">
        <f t="array" ref="O318">XLOOKUP(C318,Customer_Dim!A:A,Customer_Dim!E:E,"Not Found")</f>
        <v>New Ana</v>
      </c>
      <c r="P318" s="8" t="str">
        <f t="array" ref="P318">XLOOKUP(D318,Product_Dim!A:A,Product_Dim!B:B,"Not Found")</f>
        <v>Sports Stopwatch Pro</v>
      </c>
      <c r="Q318" s="8" t="str">
        <f t="array" ref="Q318">XLOOKUP(D318,Product_Dim!A:A,Product_Dim!C:C,"Not Found")</f>
        <v>Sports</v>
      </c>
      <c r="R318" s="8" t="str">
        <f t="array" ref="R318">XLOOKUP(E318,Store_Dim!A:A,Store_Dim!B:B,"Not Found")</f>
        <v>East</v>
      </c>
      <c r="S318" s="8" t="str">
        <f t="array" ref="S318">XLOOKUP(E318,Store_Dim!A:A,Store_Dim!D:D,"Not Found")</f>
        <v>Online</v>
      </c>
    </row>
    <row r="319" ht="14.25" customHeight="1">
      <c r="A319" s="8" t="s">
        <v>2272</v>
      </c>
      <c r="B319" s="12">
        <v>45797.0</v>
      </c>
      <c r="C319" s="8" t="s">
        <v>1101</v>
      </c>
      <c r="D319" s="8" t="s">
        <v>1719</v>
      </c>
      <c r="E319" s="8" t="s">
        <v>1939</v>
      </c>
      <c r="F319" s="8">
        <v>1.0</v>
      </c>
      <c r="G319" s="8">
        <v>459.42</v>
      </c>
      <c r="H319" s="8">
        <v>0.28</v>
      </c>
      <c r="I319" s="8">
        <f t="shared" si="1"/>
        <v>459.42</v>
      </c>
      <c r="J319" s="8">
        <f t="shared" si="2"/>
        <v>-128.3576</v>
      </c>
      <c r="K319" s="8" t="str">
        <f t="shared" si="3"/>
        <v>May</v>
      </c>
      <c r="L319" s="8">
        <f t="shared" si="4"/>
        <v>2025</v>
      </c>
      <c r="N319" s="8" t="str">
        <f t="array" ref="N319">XLOOKUP(C319,Customer_Dim!A:A,Customer_Dim!B:B,"Not Found")</f>
        <v>John Jordan</v>
      </c>
      <c r="O319" s="8" t="str">
        <f t="array" ref="O319">XLOOKUP(C319,Customer_Dim!A:A,Customer_Dim!E:E,"Not Found")</f>
        <v>Port Crystalberg</v>
      </c>
      <c r="P319" s="8" t="str">
        <f t="array" ref="P319">XLOOKUP(D319,Product_Dim!A:A,Product_Dim!B:B,"Not Found")</f>
        <v>Adjustable Jump Rope</v>
      </c>
      <c r="Q319" s="8" t="str">
        <f t="array" ref="Q319">XLOOKUP(D319,Product_Dim!A:A,Product_Dim!C:C,"Not Found")</f>
        <v>Sports</v>
      </c>
      <c r="R319" s="8" t="str">
        <f t="array" ref="R319">XLOOKUP(E319,Store_Dim!A:A,Store_Dim!B:B,"Not Found")</f>
        <v>East</v>
      </c>
      <c r="S319" s="8" t="str">
        <f t="array" ref="S319">XLOOKUP(E319,Store_Dim!A:A,Store_Dim!D:D,"Not Found")</f>
        <v>Flagship</v>
      </c>
    </row>
    <row r="320" ht="14.25" customHeight="1">
      <c r="A320" s="8" t="s">
        <v>2273</v>
      </c>
      <c r="B320" s="12">
        <v>45798.0</v>
      </c>
      <c r="C320" s="8" t="s">
        <v>328</v>
      </c>
      <c r="D320" s="8" t="s">
        <v>1572</v>
      </c>
      <c r="E320" s="8" t="s">
        <v>1912</v>
      </c>
      <c r="F320" s="8">
        <v>2.0</v>
      </c>
      <c r="G320" s="8">
        <v>123.19</v>
      </c>
      <c r="H320" s="8">
        <v>0.19</v>
      </c>
      <c r="I320" s="8">
        <f t="shared" si="1"/>
        <v>246.38</v>
      </c>
      <c r="J320" s="8">
        <f t="shared" si="2"/>
        <v>-46.6222</v>
      </c>
      <c r="K320" s="8" t="str">
        <f t="shared" si="3"/>
        <v>May</v>
      </c>
      <c r="L320" s="8">
        <f t="shared" si="4"/>
        <v>2025</v>
      </c>
      <c r="N320" s="8" t="str">
        <f t="array" ref="N320">XLOOKUP(C320,Customer_Dim!A:A,Customer_Dim!B:B,"Not Found")</f>
        <v>Timothy Wright</v>
      </c>
      <c r="O320" s="8" t="str">
        <f t="array" ref="O320">XLOOKUP(C320,Customer_Dim!A:A,Customer_Dim!E:E,"Not Found")</f>
        <v>Ashleystad</v>
      </c>
      <c r="P320" s="8" t="str">
        <f t="array" ref="P320">XLOOKUP(D320,Product_Dim!A:A,Product_Dim!B:B,"Not Found")</f>
        <v>Women's Casual Hoodie</v>
      </c>
      <c r="Q320" s="8" t="str">
        <f t="array" ref="Q320">XLOOKUP(D320,Product_Dim!A:A,Product_Dim!C:C,"Not Found")</f>
        <v>Clothing</v>
      </c>
      <c r="R320" s="8" t="str">
        <f t="array" ref="R320">XLOOKUP(E320,Store_Dim!A:A,Store_Dim!B:B,"Not Found")</f>
        <v>South</v>
      </c>
      <c r="S320" s="8" t="str">
        <f t="array" ref="S320">XLOOKUP(E320,Store_Dim!A:A,Store_Dim!D:D,"Not Found")</f>
        <v>Online</v>
      </c>
    </row>
    <row r="321" ht="14.25" customHeight="1">
      <c r="A321" s="8" t="s">
        <v>2274</v>
      </c>
      <c r="B321" s="12">
        <v>45799.0</v>
      </c>
      <c r="C321" s="8" t="s">
        <v>1137</v>
      </c>
      <c r="D321" s="8" t="s">
        <v>1754</v>
      </c>
      <c r="E321" s="8" t="s">
        <v>1941</v>
      </c>
      <c r="F321" s="8">
        <v>1.0</v>
      </c>
      <c r="G321" s="8">
        <v>222.95</v>
      </c>
      <c r="H321" s="8">
        <v>0.02</v>
      </c>
      <c r="I321" s="8">
        <f t="shared" si="1"/>
        <v>222.95</v>
      </c>
      <c r="J321" s="8">
        <f t="shared" si="2"/>
        <v>-4.439</v>
      </c>
      <c r="K321" s="8" t="str">
        <f t="shared" si="3"/>
        <v>May</v>
      </c>
      <c r="L321" s="8">
        <f t="shared" si="4"/>
        <v>2025</v>
      </c>
      <c r="N321" s="8" t="str">
        <f t="array" ref="N321">XLOOKUP(C321,Customer_Dim!A:A,Customer_Dim!B:B,"Not Found")</f>
        <v>Ashley Anderson</v>
      </c>
      <c r="O321" s="8" t="str">
        <f t="array" ref="O321">XLOOKUP(C321,Customer_Dim!A:A,Customer_Dim!E:E,"Not Found")</f>
        <v>West Johnmouth</v>
      </c>
      <c r="P321" s="8" t="str">
        <f t="array" ref="P321">XLOOKUP(D321,Product_Dim!A:A,Product_Dim!B:B,"Not Found")</f>
        <v>Ceramic Plant Pot</v>
      </c>
      <c r="Q321" s="8" t="str">
        <f t="array" ref="Q321">XLOOKUP(D321,Product_Dim!A:A,Product_Dim!C:C,"Not Found")</f>
        <v>Home</v>
      </c>
      <c r="R321" s="8" t="str">
        <f t="array" ref="R321">XLOOKUP(E321,Store_Dim!A:A,Store_Dim!B:B,"Not Found")</f>
        <v>East</v>
      </c>
      <c r="S321" s="8" t="str">
        <f t="array" ref="S321">XLOOKUP(E321,Store_Dim!A:A,Store_Dim!D:D,"Not Found")</f>
        <v>Online</v>
      </c>
    </row>
    <row r="322" ht="14.25" customHeight="1">
      <c r="A322" s="8" t="s">
        <v>2275</v>
      </c>
      <c r="B322" s="12">
        <v>45800.0</v>
      </c>
      <c r="C322" s="8" t="s">
        <v>1059</v>
      </c>
      <c r="D322" s="8" t="s">
        <v>1681</v>
      </c>
      <c r="E322" s="8" t="s">
        <v>1912</v>
      </c>
      <c r="F322" s="8">
        <v>3.0</v>
      </c>
      <c r="G322" s="8">
        <v>601.93</v>
      </c>
      <c r="H322" s="8">
        <v>0.14</v>
      </c>
      <c r="I322" s="8">
        <f t="shared" si="1"/>
        <v>1805.79</v>
      </c>
      <c r="J322" s="8">
        <f t="shared" si="2"/>
        <v>-252.6706</v>
      </c>
      <c r="K322" s="8" t="str">
        <f t="shared" si="3"/>
        <v>May</v>
      </c>
      <c r="L322" s="8">
        <f t="shared" si="4"/>
        <v>2025</v>
      </c>
      <c r="N322" s="8" t="str">
        <f t="array" ref="N322">XLOOKUP(C322,Customer_Dim!A:A,Customer_Dim!B:B,"Not Found")</f>
        <v>Dr. Lindsay Hanna</v>
      </c>
      <c r="O322" s="8" t="str">
        <f t="array" ref="O322">XLOOKUP(C322,Customer_Dim!A:A,Customer_Dim!E:E,"Not Found")</f>
        <v>New Paulstad</v>
      </c>
      <c r="P322" s="8" t="str">
        <f t="array" ref="P322">XLOOKUP(D322,Product_Dim!A:A,Product_Dim!B:B,"Not Found")</f>
        <v>Vitamin C Face Serum</v>
      </c>
      <c r="Q322" s="8" t="str">
        <f t="array" ref="Q322">XLOOKUP(D322,Product_Dim!A:A,Product_Dim!C:C,"Not Found")</f>
        <v>Beauty</v>
      </c>
      <c r="R322" s="8" t="str">
        <f t="array" ref="R322">XLOOKUP(E322,Store_Dim!A:A,Store_Dim!B:B,"Not Found")</f>
        <v>South</v>
      </c>
      <c r="S322" s="8" t="str">
        <f t="array" ref="S322">XLOOKUP(E322,Store_Dim!A:A,Store_Dim!D:D,"Not Found")</f>
        <v>Online</v>
      </c>
    </row>
    <row r="323" ht="14.25" customHeight="1">
      <c r="A323" s="8" t="s">
        <v>2276</v>
      </c>
      <c r="B323" s="12">
        <v>45801.0</v>
      </c>
      <c r="C323" s="8" t="s">
        <v>954</v>
      </c>
      <c r="D323" s="8" t="s">
        <v>1797</v>
      </c>
      <c r="E323" s="8" t="s">
        <v>1906</v>
      </c>
      <c r="F323" s="8">
        <v>1.0</v>
      </c>
      <c r="G323" s="8">
        <v>564.1</v>
      </c>
      <c r="H323" s="8">
        <v>0.03</v>
      </c>
      <c r="I323" s="8">
        <f t="shared" si="1"/>
        <v>564.1</v>
      </c>
      <c r="J323" s="8">
        <f t="shared" si="2"/>
        <v>-16.893</v>
      </c>
      <c r="K323" s="8" t="str">
        <f t="shared" si="3"/>
        <v>May</v>
      </c>
      <c r="L323" s="8">
        <f t="shared" si="4"/>
        <v>2025</v>
      </c>
      <c r="N323" s="8" t="str">
        <f t="array" ref="N323">XLOOKUP(C323,Customer_Dim!A:A,Customer_Dim!B:B,"Not Found")</f>
        <v>Jennifer Carr</v>
      </c>
      <c r="O323" s="8" t="str">
        <f t="array" ref="O323">XLOOKUP(C323,Customer_Dim!A:A,Customer_Dim!E:E,"Not Found")</f>
        <v>Lake Brett</v>
      </c>
      <c r="P323" s="8" t="str">
        <f t="array" ref="P323">XLOOKUP(D323,Product_Dim!A:A,Product_Dim!B:B,"Not Found")</f>
        <v>Men's Sports Shorts</v>
      </c>
      <c r="Q323" s="8" t="str">
        <f t="array" ref="Q323">XLOOKUP(D323,Product_Dim!A:A,Product_Dim!C:C,"Not Found")</f>
        <v>Clothing</v>
      </c>
      <c r="R323" s="8" t="str">
        <f t="array" ref="R323">XLOOKUP(E323,Store_Dim!A:A,Store_Dim!B:B,"Not Found")</f>
        <v>South</v>
      </c>
      <c r="S323" s="8" t="str">
        <f t="array" ref="S323">XLOOKUP(E323,Store_Dim!A:A,Store_Dim!D:D,"Not Found")</f>
        <v>Outlet</v>
      </c>
    </row>
    <row r="324" ht="14.25" customHeight="1">
      <c r="A324" s="8" t="s">
        <v>2277</v>
      </c>
      <c r="B324" s="12">
        <v>45802.0</v>
      </c>
      <c r="C324" s="8" t="s">
        <v>351</v>
      </c>
      <c r="D324" s="8" t="s">
        <v>1830</v>
      </c>
      <c r="E324" s="8" t="s">
        <v>1915</v>
      </c>
      <c r="F324" s="8">
        <v>1.0</v>
      </c>
      <c r="G324" s="8">
        <v>516.62</v>
      </c>
      <c r="H324" s="8">
        <v>0.18</v>
      </c>
      <c r="I324" s="8">
        <f t="shared" si="1"/>
        <v>516.62</v>
      </c>
      <c r="J324" s="8">
        <f t="shared" si="2"/>
        <v>-92.8116</v>
      </c>
      <c r="K324" s="8" t="str">
        <f t="shared" si="3"/>
        <v>May</v>
      </c>
      <c r="L324" s="8">
        <f t="shared" si="4"/>
        <v>2025</v>
      </c>
      <c r="N324" s="8" t="str">
        <f t="array" ref="N324">XLOOKUP(C324,Customer_Dim!A:A,Customer_Dim!B:B,"Not Found")</f>
        <v>Amy Fowler</v>
      </c>
      <c r="O324" s="8" t="str">
        <f t="array" ref="O324">XLOOKUP(C324,Customer_Dim!A:A,Customer_Dim!E:E,"Not Found")</f>
        <v>West Bobbyshire</v>
      </c>
      <c r="P324" s="8" t="str">
        <f t="array" ref="P324">XLOOKUP(D324,Product_Dim!A:A,Product_Dim!B:B,"Not Found")</f>
        <v>Wall-Mounted Spice Rack</v>
      </c>
      <c r="Q324" s="8" t="str">
        <f t="array" ref="Q324">XLOOKUP(D324,Product_Dim!A:A,Product_Dim!C:C,"Not Found")</f>
        <v>Home</v>
      </c>
      <c r="R324" s="8" t="str">
        <f t="array" ref="R324">XLOOKUP(E324,Store_Dim!A:A,Store_Dim!B:B,"Not Found")</f>
        <v>North</v>
      </c>
      <c r="S324" s="8" t="str">
        <f t="array" ref="S324">XLOOKUP(E324,Store_Dim!A:A,Store_Dim!D:D,"Not Found")</f>
        <v>Outlet</v>
      </c>
    </row>
    <row r="325" ht="14.25" customHeight="1">
      <c r="A325" s="8" t="s">
        <v>2278</v>
      </c>
      <c r="B325" s="12">
        <v>45803.0</v>
      </c>
      <c r="C325" s="8" t="s">
        <v>1373</v>
      </c>
      <c r="D325" s="8" t="s">
        <v>1778</v>
      </c>
      <c r="E325" s="8" t="s">
        <v>1929</v>
      </c>
      <c r="F325" s="8">
        <v>1.0</v>
      </c>
      <c r="G325" s="8">
        <v>934.75</v>
      </c>
      <c r="H325" s="8">
        <v>0.11</v>
      </c>
      <c r="I325" s="8">
        <f t="shared" si="1"/>
        <v>934.75</v>
      </c>
      <c r="J325" s="8">
        <f t="shared" si="2"/>
        <v>-102.7125</v>
      </c>
      <c r="K325" s="8" t="str">
        <f t="shared" si="3"/>
        <v>May</v>
      </c>
      <c r="L325" s="8">
        <f t="shared" si="4"/>
        <v>2025</v>
      </c>
      <c r="N325" s="8" t="str">
        <f t="array" ref="N325">XLOOKUP(C325,Customer_Dim!A:A,Customer_Dim!B:B,"Not Found")</f>
        <v>Monica Flynn</v>
      </c>
      <c r="O325" s="8" t="str">
        <f t="array" ref="O325">XLOOKUP(C325,Customer_Dim!A:A,Customer_Dim!E:E,"Not Found")</f>
        <v>Amberburgh</v>
      </c>
      <c r="P325" s="8" t="str">
        <f t="array" ref="P325">XLOOKUP(D325,Product_Dim!A:A,Product_Dim!B:B,"Not Found")</f>
        <v>Organic Sunscreen Lotion</v>
      </c>
      <c r="Q325" s="8" t="str">
        <f t="array" ref="Q325">XLOOKUP(D325,Product_Dim!A:A,Product_Dim!C:C,"Not Found")</f>
        <v>Beauty</v>
      </c>
      <c r="R325" s="8" t="str">
        <f t="array" ref="R325">XLOOKUP(E325,Store_Dim!A:A,Store_Dim!B:B,"Not Found")</f>
        <v>North</v>
      </c>
      <c r="S325" s="8" t="str">
        <f t="array" ref="S325">XLOOKUP(E325,Store_Dim!A:A,Store_Dim!D:D,"Not Found")</f>
        <v>Online</v>
      </c>
    </row>
    <row r="326" ht="14.25" customHeight="1">
      <c r="A326" s="8" t="s">
        <v>2279</v>
      </c>
      <c r="B326" s="12">
        <v>45804.0</v>
      </c>
      <c r="C326" s="8" t="s">
        <v>767</v>
      </c>
      <c r="D326" s="8" t="s">
        <v>1884</v>
      </c>
      <c r="E326" s="8" t="s">
        <v>1919</v>
      </c>
      <c r="F326" s="8">
        <v>4.0</v>
      </c>
      <c r="G326" s="8">
        <v>548.44</v>
      </c>
      <c r="H326" s="8">
        <v>0.05</v>
      </c>
      <c r="I326" s="8">
        <f t="shared" si="1"/>
        <v>2193.76</v>
      </c>
      <c r="J326" s="8">
        <f t="shared" si="2"/>
        <v>-109.638</v>
      </c>
      <c r="K326" s="8" t="str">
        <f t="shared" si="3"/>
        <v>May</v>
      </c>
      <c r="L326" s="8">
        <f t="shared" si="4"/>
        <v>2025</v>
      </c>
      <c r="N326" s="8" t="str">
        <f t="array" ref="N326">XLOOKUP(C326,Customer_Dim!A:A,Customer_Dim!B:B,"Not Found")</f>
        <v>Nathaniel Hill</v>
      </c>
      <c r="O326" s="8" t="str">
        <f t="array" ref="O326">XLOOKUP(C326,Customer_Dim!A:A,Customer_Dim!E:E,"Not Found")</f>
        <v>Lake Mark</v>
      </c>
      <c r="P326" s="8" t="str">
        <f t="array" ref="P326">XLOOKUP(D326,Product_Dim!A:A,Product_Dim!B:B,"Not Found")</f>
        <v>Portable Bluetooth Speaker</v>
      </c>
      <c r="Q326" s="8" t="str">
        <f t="array" ref="Q326">XLOOKUP(D326,Product_Dim!A:A,Product_Dim!C:C,"Not Found")</f>
        <v>Electronics</v>
      </c>
      <c r="R326" s="8" t="str">
        <f t="array" ref="R326">XLOOKUP(E326,Store_Dim!A:A,Store_Dim!B:B,"Not Found")</f>
        <v>South</v>
      </c>
      <c r="S326" s="8" t="str">
        <f t="array" ref="S326">XLOOKUP(E326,Store_Dim!A:A,Store_Dim!D:D,"Not Found")</f>
        <v>Online</v>
      </c>
    </row>
    <row r="327" ht="14.25" customHeight="1">
      <c r="A327" s="8" t="s">
        <v>2280</v>
      </c>
      <c r="B327" s="12">
        <v>45805.0</v>
      </c>
      <c r="C327" s="8" t="s">
        <v>72</v>
      </c>
      <c r="D327" s="8" t="s">
        <v>1696</v>
      </c>
      <c r="E327" s="8" t="s">
        <v>1910</v>
      </c>
      <c r="F327" s="8">
        <v>3.0</v>
      </c>
      <c r="G327" s="8">
        <v>361.11</v>
      </c>
      <c r="H327" s="8">
        <v>0.06</v>
      </c>
      <c r="I327" s="8">
        <f t="shared" si="1"/>
        <v>1083.33</v>
      </c>
      <c r="J327" s="8">
        <f t="shared" si="2"/>
        <v>-64.9398</v>
      </c>
      <c r="K327" s="8" t="str">
        <f t="shared" si="3"/>
        <v>May</v>
      </c>
      <c r="L327" s="8">
        <f t="shared" si="4"/>
        <v>2025</v>
      </c>
      <c r="N327" s="8" t="str">
        <f t="array" ref="N327">XLOOKUP(C327,Customer_Dim!A:A,Customer_Dim!B:B,"Not Found")</f>
        <v>Nathan Hernandez</v>
      </c>
      <c r="O327" s="8" t="str">
        <f t="array" ref="O327">XLOOKUP(C327,Customer_Dim!A:A,Customer_Dim!E:E,"Not Found")</f>
        <v>New Becky</v>
      </c>
      <c r="P327" s="8" t="str">
        <f t="array" ref="P327">XLOOKUP(D327,Product_Dim!A:A,Product_Dim!B:B,"Not Found")</f>
        <v>Men's Casual Sneakers</v>
      </c>
      <c r="Q327" s="8" t="str">
        <f t="array" ref="Q327">XLOOKUP(D327,Product_Dim!A:A,Product_Dim!C:C,"Not Found")</f>
        <v>Clothing</v>
      </c>
      <c r="R327" s="8" t="str">
        <f t="array" ref="R327">XLOOKUP(E327,Store_Dim!A:A,Store_Dim!B:B,"Not Found")</f>
        <v>North</v>
      </c>
      <c r="S327" s="8" t="str">
        <f t="array" ref="S327">XLOOKUP(E327,Store_Dim!A:A,Store_Dim!D:D,"Not Found")</f>
        <v>Outlet</v>
      </c>
    </row>
    <row r="328" ht="14.25" customHeight="1">
      <c r="A328" s="8" t="s">
        <v>2281</v>
      </c>
      <c r="B328" s="12">
        <v>45806.0</v>
      </c>
      <c r="C328" s="8" t="s">
        <v>628</v>
      </c>
      <c r="D328" s="8" t="s">
        <v>1617</v>
      </c>
      <c r="E328" s="8" t="s">
        <v>1903</v>
      </c>
      <c r="F328" s="8">
        <v>2.0</v>
      </c>
      <c r="G328" s="8">
        <v>610.37</v>
      </c>
      <c r="H328" s="8">
        <v>0.1</v>
      </c>
      <c r="I328" s="8">
        <f t="shared" si="1"/>
        <v>1220.74</v>
      </c>
      <c r="J328" s="8">
        <f t="shared" si="2"/>
        <v>-121.974</v>
      </c>
      <c r="K328" s="8" t="str">
        <f t="shared" si="3"/>
        <v>May</v>
      </c>
      <c r="L328" s="8">
        <f t="shared" si="4"/>
        <v>2025</v>
      </c>
      <c r="N328" s="8" t="str">
        <f t="array" ref="N328">XLOOKUP(C328,Customer_Dim!A:A,Customer_Dim!B:B,"Not Found")</f>
        <v>Dr. Suzanne Bullock</v>
      </c>
      <c r="O328" s="8" t="str">
        <f t="array" ref="O328">XLOOKUP(C328,Customer_Dim!A:A,Customer_Dim!E:E,"Not Found")</f>
        <v>Lake Blaketon</v>
      </c>
      <c r="P328" s="8" t="str">
        <f t="array" ref="P328">XLOOKUP(D328,Product_Dim!A:A,Product_Dim!B:B,"Not Found")</f>
        <v>USB-C Fast Charger</v>
      </c>
      <c r="Q328" s="8" t="str">
        <f t="array" ref="Q328">XLOOKUP(D328,Product_Dim!A:A,Product_Dim!C:C,"Not Found")</f>
        <v>Electronics</v>
      </c>
      <c r="R328" s="8" t="str">
        <f t="array" ref="R328">XLOOKUP(E328,Store_Dim!A:A,Store_Dim!B:B,"Not Found")</f>
        <v>North</v>
      </c>
      <c r="S328" s="8" t="str">
        <f t="array" ref="S328">XLOOKUP(E328,Store_Dim!A:A,Store_Dim!D:D,"Not Found")</f>
        <v>Flagship</v>
      </c>
    </row>
    <row r="329" ht="14.25" customHeight="1">
      <c r="A329" s="8" t="s">
        <v>2282</v>
      </c>
      <c r="B329" s="12">
        <v>45807.0</v>
      </c>
      <c r="C329" s="8" t="s">
        <v>1065</v>
      </c>
      <c r="D329" s="8" t="s">
        <v>1742</v>
      </c>
      <c r="E329" s="8" t="s">
        <v>1935</v>
      </c>
      <c r="F329" s="8">
        <v>1.0</v>
      </c>
      <c r="G329" s="8">
        <v>272.2</v>
      </c>
      <c r="H329" s="8">
        <v>0.3</v>
      </c>
      <c r="I329" s="8">
        <f t="shared" si="1"/>
        <v>272.2</v>
      </c>
      <c r="J329" s="8">
        <f t="shared" si="2"/>
        <v>-81.36</v>
      </c>
      <c r="K329" s="8" t="str">
        <f t="shared" si="3"/>
        <v>May</v>
      </c>
      <c r="L329" s="8">
        <f t="shared" si="4"/>
        <v>2025</v>
      </c>
      <c r="N329" s="8" t="str">
        <f t="array" ref="N329">XLOOKUP(C329,Customer_Dim!A:A,Customer_Dim!B:B,"Not Found")</f>
        <v>Mr. Christopher Sims</v>
      </c>
      <c r="O329" s="8" t="str">
        <f t="array" ref="O329">XLOOKUP(C329,Customer_Dim!A:A,Customer_Dim!E:E,"Not Found")</f>
        <v>Donaldsontown</v>
      </c>
      <c r="P329" s="8" t="str">
        <f t="array" ref="P329">XLOOKUP(D329,Product_Dim!A:A,Product_Dim!B:B,"Not Found")</f>
        <v>HDMI Cable – 2m</v>
      </c>
      <c r="Q329" s="8" t="str">
        <f t="array" ref="Q329">XLOOKUP(D329,Product_Dim!A:A,Product_Dim!C:C,"Not Found")</f>
        <v>Electronics</v>
      </c>
      <c r="R329" s="8" t="str">
        <f t="array" ref="R329">XLOOKUP(E329,Store_Dim!A:A,Store_Dim!B:B,"Not Found")</f>
        <v>West</v>
      </c>
      <c r="S329" s="8" t="str">
        <f t="array" ref="S329">XLOOKUP(E329,Store_Dim!A:A,Store_Dim!D:D,"Not Found")</f>
        <v>Flagship</v>
      </c>
    </row>
    <row r="330" ht="14.25" customHeight="1">
      <c r="A330" s="8" t="s">
        <v>2283</v>
      </c>
      <c r="B330" s="12">
        <v>45808.0</v>
      </c>
      <c r="C330" s="8" t="s">
        <v>1373</v>
      </c>
      <c r="D330" s="8" t="s">
        <v>1821</v>
      </c>
      <c r="E330" s="8" t="s">
        <v>1917</v>
      </c>
      <c r="F330" s="8">
        <v>3.0</v>
      </c>
      <c r="G330" s="8">
        <v>573.1</v>
      </c>
      <c r="H330" s="8">
        <v>0.16</v>
      </c>
      <c r="I330" s="8">
        <f t="shared" si="1"/>
        <v>1719.3</v>
      </c>
      <c r="J330" s="8">
        <f t="shared" si="2"/>
        <v>-274.928</v>
      </c>
      <c r="K330" s="8" t="str">
        <f t="shared" si="3"/>
        <v>May</v>
      </c>
      <c r="L330" s="8">
        <f t="shared" si="4"/>
        <v>2025</v>
      </c>
      <c r="N330" s="8" t="str">
        <f t="array" ref="N330">XLOOKUP(C330,Customer_Dim!A:A,Customer_Dim!B:B,"Not Found")</f>
        <v>Monica Flynn</v>
      </c>
      <c r="O330" s="8" t="str">
        <f t="array" ref="O330">XLOOKUP(C330,Customer_Dim!A:A,Customer_Dim!E:E,"Not Found")</f>
        <v>Amberburgh</v>
      </c>
      <c r="P330" s="8" t="str">
        <f t="array" ref="P330">XLOOKUP(D330,Product_Dim!A:A,Product_Dim!B:B,"Not Found")</f>
        <v>WiFi Mesh Router</v>
      </c>
      <c r="Q330" s="8" t="str">
        <f t="array" ref="Q330">XLOOKUP(D330,Product_Dim!A:A,Product_Dim!C:C,"Not Found")</f>
        <v>Electronics</v>
      </c>
      <c r="R330" s="8" t="str">
        <f t="array" ref="R330">XLOOKUP(E330,Store_Dim!A:A,Store_Dim!B:B,"Not Found")</f>
        <v>East</v>
      </c>
      <c r="S330" s="8" t="str">
        <f t="array" ref="S330">XLOOKUP(E330,Store_Dim!A:A,Store_Dim!D:D,"Not Found")</f>
        <v>Online</v>
      </c>
    </row>
    <row r="331" ht="14.25" customHeight="1">
      <c r="A331" s="8" t="s">
        <v>2284</v>
      </c>
      <c r="B331" s="12">
        <v>45809.0</v>
      </c>
      <c r="C331" s="8" t="s">
        <v>1029</v>
      </c>
      <c r="D331" s="8" t="s">
        <v>1587</v>
      </c>
      <c r="E331" s="8" t="s">
        <v>1899</v>
      </c>
      <c r="F331" s="8">
        <v>4.0</v>
      </c>
      <c r="G331" s="8">
        <v>24.72</v>
      </c>
      <c r="H331" s="8">
        <v>0.28</v>
      </c>
      <c r="I331" s="8">
        <f t="shared" si="1"/>
        <v>98.88</v>
      </c>
      <c r="J331" s="8">
        <f t="shared" si="2"/>
        <v>-27.4064</v>
      </c>
      <c r="K331" s="8" t="str">
        <f t="shared" si="3"/>
        <v>Jun</v>
      </c>
      <c r="L331" s="8">
        <f t="shared" si="4"/>
        <v>2025</v>
      </c>
      <c r="N331" s="8" t="str">
        <f t="array" ref="N331">XLOOKUP(C331,Customer_Dim!A:A,Customer_Dim!B:B,"Not Found")</f>
        <v>Samuel Arias</v>
      </c>
      <c r="O331" s="8" t="str">
        <f t="array" ref="O331">XLOOKUP(C331,Customer_Dim!A:A,Customer_Dim!E:E,"Not Found")</f>
        <v>North Nicole</v>
      </c>
      <c r="P331" s="8" t="str">
        <f t="array" ref="P331">XLOOKUP(D331,Product_Dim!A:A,Product_Dim!B:B,"Not Found")</f>
        <v>Herbal Face Moisturizer</v>
      </c>
      <c r="Q331" s="8" t="str">
        <f t="array" ref="Q331">XLOOKUP(D331,Product_Dim!A:A,Product_Dim!C:C,"Not Found")</f>
        <v>Beauty</v>
      </c>
      <c r="R331" s="8" t="str">
        <f t="array" ref="R331">XLOOKUP(E331,Store_Dim!A:A,Store_Dim!B:B,"Not Found")</f>
        <v>East</v>
      </c>
      <c r="S331" s="8" t="str">
        <f t="array" ref="S331">XLOOKUP(E331,Store_Dim!A:A,Store_Dim!D:D,"Not Found")</f>
        <v>Flagship</v>
      </c>
    </row>
    <row r="332" ht="14.25" customHeight="1">
      <c r="A332" s="8" t="s">
        <v>2285</v>
      </c>
      <c r="B332" s="12">
        <v>45810.0</v>
      </c>
      <c r="C332" s="8" t="s">
        <v>818</v>
      </c>
      <c r="D332" s="8" t="s">
        <v>1601</v>
      </c>
      <c r="E332" s="8" t="s">
        <v>1924</v>
      </c>
      <c r="F332" s="8">
        <v>3.0</v>
      </c>
      <c r="G332" s="8">
        <v>268.89</v>
      </c>
      <c r="H332" s="8">
        <v>0.07</v>
      </c>
      <c r="I332" s="8">
        <f t="shared" si="1"/>
        <v>806.67</v>
      </c>
      <c r="J332" s="8">
        <f t="shared" si="2"/>
        <v>-56.3969</v>
      </c>
      <c r="K332" s="8" t="str">
        <f t="shared" si="3"/>
        <v>Jun</v>
      </c>
      <c r="L332" s="8">
        <f t="shared" si="4"/>
        <v>2025</v>
      </c>
      <c r="N332" s="8" t="str">
        <f t="array" ref="N332">XLOOKUP(C332,Customer_Dim!A:A,Customer_Dim!B:B,"Not Found")</f>
        <v>Tyler Garner</v>
      </c>
      <c r="O332" s="8" t="str">
        <f t="array" ref="O332">XLOOKUP(C332,Customer_Dim!A:A,Customer_Dim!E:E,"Not Found")</f>
        <v>Port Coreyfort</v>
      </c>
      <c r="P332" s="8" t="str">
        <f t="array" ref="P332">XLOOKUP(D332,Product_Dim!A:A,Product_Dim!B:B,"Not Found")</f>
        <v>Adjustable Dumbbell Set</v>
      </c>
      <c r="Q332" s="8" t="str">
        <f t="array" ref="Q332">XLOOKUP(D332,Product_Dim!A:A,Product_Dim!C:C,"Not Found")</f>
        <v>Sports</v>
      </c>
      <c r="R332" s="8" t="str">
        <f t="array" ref="R332">XLOOKUP(E332,Store_Dim!A:A,Store_Dim!B:B,"Not Found")</f>
        <v>South</v>
      </c>
      <c r="S332" s="8" t="str">
        <f t="array" ref="S332">XLOOKUP(E332,Store_Dim!A:A,Store_Dim!D:D,"Not Found")</f>
        <v>Flagship</v>
      </c>
    </row>
    <row r="333" ht="14.25" customHeight="1">
      <c r="A333" s="8" t="s">
        <v>2286</v>
      </c>
      <c r="B333" s="12">
        <v>45811.0</v>
      </c>
      <c r="C333" s="8" t="s">
        <v>836</v>
      </c>
      <c r="D333" s="8" t="s">
        <v>1793</v>
      </c>
      <c r="E333" s="8" t="s">
        <v>1924</v>
      </c>
      <c r="F333" s="8">
        <v>1.0</v>
      </c>
      <c r="G333" s="8">
        <v>78.5</v>
      </c>
      <c r="H333" s="8">
        <v>0.17</v>
      </c>
      <c r="I333" s="8">
        <f t="shared" si="1"/>
        <v>78.5</v>
      </c>
      <c r="J333" s="8">
        <f t="shared" si="2"/>
        <v>-13.175</v>
      </c>
      <c r="K333" s="8" t="str">
        <f t="shared" si="3"/>
        <v>Jun</v>
      </c>
      <c r="L333" s="8">
        <f t="shared" si="4"/>
        <v>2025</v>
      </c>
      <c r="N333" s="8" t="str">
        <f t="array" ref="N333">XLOOKUP(C333,Customer_Dim!A:A,Customer_Dim!B:B,"Not Found")</f>
        <v>Christopher David</v>
      </c>
      <c r="O333" s="8" t="str">
        <f t="array" ref="O333">XLOOKUP(C333,Customer_Dim!A:A,Customer_Dim!E:E,"Not Found")</f>
        <v>Karenmouth</v>
      </c>
      <c r="P333" s="8" t="str">
        <f t="array" ref="P333">XLOOKUP(D333,Product_Dim!A:A,Product_Dim!B:B,"Not Found")</f>
        <v>Wooden Nightstand</v>
      </c>
      <c r="Q333" s="8" t="str">
        <f t="array" ref="Q333">XLOOKUP(D333,Product_Dim!A:A,Product_Dim!C:C,"Not Found")</f>
        <v>Home</v>
      </c>
      <c r="R333" s="8" t="str">
        <f t="array" ref="R333">XLOOKUP(E333,Store_Dim!A:A,Store_Dim!B:B,"Not Found")</f>
        <v>South</v>
      </c>
      <c r="S333" s="8" t="str">
        <f t="array" ref="S333">XLOOKUP(E333,Store_Dim!A:A,Store_Dim!D:D,"Not Found")</f>
        <v>Flagship</v>
      </c>
    </row>
    <row r="334" ht="14.25" customHeight="1">
      <c r="A334" s="8" t="s">
        <v>2287</v>
      </c>
      <c r="B334" s="12">
        <v>45812.0</v>
      </c>
      <c r="C334" s="8" t="s">
        <v>467</v>
      </c>
      <c r="D334" s="8" t="s">
        <v>1693</v>
      </c>
      <c r="E334" s="8" t="s">
        <v>1912</v>
      </c>
      <c r="F334" s="8">
        <v>3.0</v>
      </c>
      <c r="G334" s="8">
        <v>399.42</v>
      </c>
      <c r="H334" s="8">
        <v>0.02</v>
      </c>
      <c r="I334" s="8">
        <f t="shared" si="1"/>
        <v>1198.26</v>
      </c>
      <c r="J334" s="8">
        <f t="shared" si="2"/>
        <v>-23.9452</v>
      </c>
      <c r="K334" s="8" t="str">
        <f t="shared" si="3"/>
        <v>Jun</v>
      </c>
      <c r="L334" s="8">
        <f t="shared" si="4"/>
        <v>2025</v>
      </c>
      <c r="N334" s="8" t="str">
        <f t="array" ref="N334">XLOOKUP(C334,Customer_Dim!A:A,Customer_Dim!B:B,"Not Found")</f>
        <v>Hayley Pope</v>
      </c>
      <c r="O334" s="8" t="str">
        <f t="array" ref="O334">XLOOKUP(C334,Customer_Dim!A:A,Customer_Dim!E:E,"Not Found")</f>
        <v>West Stephenville</v>
      </c>
      <c r="P334" s="8" t="str">
        <f t="array" ref="P334">XLOOKUP(D334,Product_Dim!A:A,Product_Dim!B:B,"Not Found")</f>
        <v>Women's Summer Dress</v>
      </c>
      <c r="Q334" s="8" t="str">
        <f t="array" ref="Q334">XLOOKUP(D334,Product_Dim!A:A,Product_Dim!C:C,"Not Found")</f>
        <v>Clothing</v>
      </c>
      <c r="R334" s="8" t="str">
        <f t="array" ref="R334">XLOOKUP(E334,Store_Dim!A:A,Store_Dim!B:B,"Not Found")</f>
        <v>South</v>
      </c>
      <c r="S334" s="8" t="str">
        <f t="array" ref="S334">XLOOKUP(E334,Store_Dim!A:A,Store_Dim!D:D,"Not Found")</f>
        <v>Online</v>
      </c>
    </row>
    <row r="335" ht="14.25" customHeight="1">
      <c r="A335" s="8" t="s">
        <v>2288</v>
      </c>
      <c r="B335" s="12">
        <v>45813.0</v>
      </c>
      <c r="C335" s="8" t="s">
        <v>317</v>
      </c>
      <c r="D335" s="8" t="s">
        <v>1677</v>
      </c>
      <c r="E335" s="8" t="s">
        <v>1941</v>
      </c>
      <c r="F335" s="8">
        <v>3.0</v>
      </c>
      <c r="G335" s="8">
        <v>455.82</v>
      </c>
      <c r="H335" s="8">
        <v>0.01</v>
      </c>
      <c r="I335" s="8">
        <f t="shared" si="1"/>
        <v>1367.46</v>
      </c>
      <c r="J335" s="8">
        <f t="shared" si="2"/>
        <v>-13.6646</v>
      </c>
      <c r="K335" s="8" t="str">
        <f t="shared" si="3"/>
        <v>Jun</v>
      </c>
      <c r="L335" s="8">
        <f t="shared" si="4"/>
        <v>2025</v>
      </c>
      <c r="N335" s="8" t="str">
        <f t="array" ref="N335">XLOOKUP(C335,Customer_Dim!A:A,Customer_Dim!B:B,"Not Found")</f>
        <v>Richard Delgado</v>
      </c>
      <c r="O335" s="8" t="str">
        <f t="array" ref="O335">XLOOKUP(C335,Customer_Dim!A:A,Customer_Dim!E:E,"Not Found")</f>
        <v>West Theodorechester</v>
      </c>
      <c r="P335" s="8" t="str">
        <f t="array" ref="P335">XLOOKUP(D335,Product_Dim!A:A,Product_Dim!B:B,"Not Found")</f>
        <v>Basketball</v>
      </c>
      <c r="Q335" s="8" t="str">
        <f t="array" ref="Q335">XLOOKUP(D335,Product_Dim!A:A,Product_Dim!C:C,"Not Found")</f>
        <v>Sports</v>
      </c>
      <c r="R335" s="8" t="str">
        <f t="array" ref="R335">XLOOKUP(E335,Store_Dim!A:A,Store_Dim!B:B,"Not Found")</f>
        <v>East</v>
      </c>
      <c r="S335" s="8" t="str">
        <f t="array" ref="S335">XLOOKUP(E335,Store_Dim!A:A,Store_Dim!D:D,"Not Found")</f>
        <v>Online</v>
      </c>
    </row>
    <row r="336" ht="14.25" customHeight="1">
      <c r="A336" s="8" t="s">
        <v>2289</v>
      </c>
      <c r="B336" s="12">
        <v>45814.0</v>
      </c>
      <c r="C336" s="8" t="s">
        <v>1110</v>
      </c>
      <c r="D336" s="8" t="s">
        <v>1739</v>
      </c>
      <c r="E336" s="8" t="s">
        <v>1915</v>
      </c>
      <c r="F336" s="8">
        <v>2.0</v>
      </c>
      <c r="G336" s="8">
        <v>613.23</v>
      </c>
      <c r="H336" s="8">
        <v>0.15</v>
      </c>
      <c r="I336" s="8">
        <f t="shared" si="1"/>
        <v>1226.46</v>
      </c>
      <c r="J336" s="8">
        <f t="shared" si="2"/>
        <v>-183.819</v>
      </c>
      <c r="K336" s="8" t="str">
        <f t="shared" si="3"/>
        <v>Jun</v>
      </c>
      <c r="L336" s="8">
        <f t="shared" si="4"/>
        <v>2025</v>
      </c>
      <c r="N336" s="8" t="str">
        <f t="array" ref="N336">XLOOKUP(C336,Customer_Dim!A:A,Customer_Dim!B:B,"Not Found")</f>
        <v>Heather Valenzuela</v>
      </c>
      <c r="O336" s="8" t="str">
        <f t="array" ref="O336">XLOOKUP(C336,Customer_Dim!A:A,Customer_Dim!E:E,"Not Found")</f>
        <v>New Angiefurt</v>
      </c>
      <c r="P336" s="8" t="str">
        <f t="array" ref="P336">XLOOKUP(D336,Product_Dim!A:A,Product_Dim!B:B,"Not Found")</f>
        <v>Boxing Hand Wraps</v>
      </c>
      <c r="Q336" s="8" t="str">
        <f t="array" ref="Q336">XLOOKUP(D336,Product_Dim!A:A,Product_Dim!C:C,"Not Found")</f>
        <v>Sports</v>
      </c>
      <c r="R336" s="8" t="str">
        <f t="array" ref="R336">XLOOKUP(E336,Store_Dim!A:A,Store_Dim!B:B,"Not Found")</f>
        <v>North</v>
      </c>
      <c r="S336" s="8" t="str">
        <f t="array" ref="S336">XLOOKUP(E336,Store_Dim!A:A,Store_Dim!D:D,"Not Found")</f>
        <v>Outlet</v>
      </c>
    </row>
    <row r="337" ht="14.25" customHeight="1">
      <c r="A337" s="8" t="s">
        <v>2290</v>
      </c>
      <c r="B337" s="12">
        <v>45815.0</v>
      </c>
      <c r="C337" s="8" t="s">
        <v>1430</v>
      </c>
      <c r="D337" s="8" t="s">
        <v>1572</v>
      </c>
      <c r="E337" s="8" t="s">
        <v>1932</v>
      </c>
      <c r="F337" s="8">
        <v>4.0</v>
      </c>
      <c r="G337" s="8">
        <v>971.9</v>
      </c>
      <c r="H337" s="8">
        <v>0.28</v>
      </c>
      <c r="I337" s="8">
        <f t="shared" si="1"/>
        <v>3887.6</v>
      </c>
      <c r="J337" s="8">
        <f t="shared" si="2"/>
        <v>-1088.248</v>
      </c>
      <c r="K337" s="8" t="str">
        <f t="shared" si="3"/>
        <v>Jun</v>
      </c>
      <c r="L337" s="8">
        <f t="shared" si="4"/>
        <v>2025</v>
      </c>
      <c r="N337" s="8" t="str">
        <f t="array" ref="N337">XLOOKUP(C337,Customer_Dim!A:A,Customer_Dim!B:B,"Not Found")</f>
        <v>Kelly Garrett</v>
      </c>
      <c r="O337" s="8" t="str">
        <f t="array" ref="O337">XLOOKUP(C337,Customer_Dim!A:A,Customer_Dim!E:E,"Not Found")</f>
        <v>Port Taylorberg</v>
      </c>
      <c r="P337" s="8" t="str">
        <f t="array" ref="P337">XLOOKUP(D337,Product_Dim!A:A,Product_Dim!B:B,"Not Found")</f>
        <v>Women's Casual Hoodie</v>
      </c>
      <c r="Q337" s="8" t="str">
        <f t="array" ref="Q337">XLOOKUP(D337,Product_Dim!A:A,Product_Dim!C:C,"Not Found")</f>
        <v>Clothing</v>
      </c>
      <c r="R337" s="8" t="str">
        <f t="array" ref="R337">XLOOKUP(E337,Store_Dim!A:A,Store_Dim!B:B,"Not Found")</f>
        <v>South</v>
      </c>
      <c r="S337" s="8" t="str">
        <f t="array" ref="S337">XLOOKUP(E337,Store_Dim!A:A,Store_Dim!D:D,"Not Found")</f>
        <v>Outlet</v>
      </c>
    </row>
    <row r="338" ht="14.25" customHeight="1">
      <c r="A338" s="8" t="s">
        <v>2291</v>
      </c>
      <c r="B338" s="12">
        <v>45816.0</v>
      </c>
      <c r="C338" s="8" t="s">
        <v>147</v>
      </c>
      <c r="D338" s="8" t="s">
        <v>1668</v>
      </c>
      <c r="E338" s="8" t="s">
        <v>1919</v>
      </c>
      <c r="F338" s="8">
        <v>3.0</v>
      </c>
      <c r="G338" s="8">
        <v>884.92</v>
      </c>
      <c r="H338" s="8">
        <v>0.06</v>
      </c>
      <c r="I338" s="8">
        <f t="shared" si="1"/>
        <v>2654.76</v>
      </c>
      <c r="J338" s="8">
        <f t="shared" si="2"/>
        <v>-159.2256</v>
      </c>
      <c r="K338" s="8" t="str">
        <f t="shared" si="3"/>
        <v>Jun</v>
      </c>
      <c r="L338" s="8">
        <f t="shared" si="4"/>
        <v>2025</v>
      </c>
      <c r="N338" s="8" t="str">
        <f t="array" ref="N338">XLOOKUP(C338,Customer_Dim!A:A,Customer_Dim!B:B,"Not Found")</f>
        <v>Christopher Olson</v>
      </c>
      <c r="O338" s="8" t="str">
        <f t="array" ref="O338">XLOOKUP(C338,Customer_Dim!A:A,Customer_Dim!E:E,"Not Found")</f>
        <v>West Richard</v>
      </c>
      <c r="P338" s="8" t="str">
        <f t="array" ref="P338">XLOOKUP(D338,Product_Dim!A:A,Product_Dim!B:B,"Not Found")</f>
        <v>Sports Stopwatch Timer</v>
      </c>
      <c r="Q338" s="8" t="str">
        <f t="array" ref="Q338">XLOOKUP(D338,Product_Dim!A:A,Product_Dim!C:C,"Not Found")</f>
        <v>Sports</v>
      </c>
      <c r="R338" s="8" t="str">
        <f t="array" ref="R338">XLOOKUP(E338,Store_Dim!A:A,Store_Dim!B:B,"Not Found")</f>
        <v>South</v>
      </c>
      <c r="S338" s="8" t="str">
        <f t="array" ref="S338">XLOOKUP(E338,Store_Dim!A:A,Store_Dim!D:D,"Not Found")</f>
        <v>Online</v>
      </c>
    </row>
    <row r="339" ht="14.25" customHeight="1">
      <c r="A339" s="8" t="s">
        <v>2292</v>
      </c>
      <c r="B339" s="12">
        <v>45817.0</v>
      </c>
      <c r="C339" s="8" t="s">
        <v>324</v>
      </c>
      <c r="D339" s="8" t="s">
        <v>1597</v>
      </c>
      <c r="E339" s="8" t="s">
        <v>1924</v>
      </c>
      <c r="F339" s="8">
        <v>1.0</v>
      </c>
      <c r="G339" s="8">
        <v>125.0</v>
      </c>
      <c r="H339" s="8">
        <v>0.23</v>
      </c>
      <c r="I339" s="8">
        <f t="shared" si="1"/>
        <v>125</v>
      </c>
      <c r="J339" s="8">
        <f t="shared" si="2"/>
        <v>-28.52</v>
      </c>
      <c r="K339" s="8" t="str">
        <f t="shared" si="3"/>
        <v>Jun</v>
      </c>
      <c r="L339" s="8">
        <f t="shared" si="4"/>
        <v>2025</v>
      </c>
      <c r="N339" s="8" t="str">
        <f t="array" ref="N339">XLOOKUP(C339,Customer_Dim!A:A,Customer_Dim!B:B,"Not Found")</f>
        <v>Melissa Duffy MD</v>
      </c>
      <c r="O339" s="8" t="str">
        <f t="array" ref="O339">XLOOKUP(C339,Customer_Dim!A:A,Customer_Dim!E:E,"Not Found")</f>
        <v>East Jenna</v>
      </c>
      <c r="P339" s="8" t="str">
        <f t="array" ref="P339">XLOOKUP(D339,Product_Dim!A:A,Product_Dim!B:B,"Not Found")</f>
        <v>Wireless Bluetooth Earbuds</v>
      </c>
      <c r="Q339" s="8" t="str">
        <f t="array" ref="Q339">XLOOKUP(D339,Product_Dim!A:A,Product_Dim!C:C,"Not Found")</f>
        <v>Electronics</v>
      </c>
      <c r="R339" s="8" t="str">
        <f t="array" ref="R339">XLOOKUP(E339,Store_Dim!A:A,Store_Dim!B:B,"Not Found")</f>
        <v>South</v>
      </c>
      <c r="S339" s="8" t="str">
        <f t="array" ref="S339">XLOOKUP(E339,Store_Dim!A:A,Store_Dim!D:D,"Not Found")</f>
        <v>Flagship</v>
      </c>
    </row>
    <row r="340" ht="14.25" customHeight="1">
      <c r="A340" s="8" t="s">
        <v>2293</v>
      </c>
      <c r="B340" s="12">
        <v>45818.0</v>
      </c>
      <c r="C340" s="8" t="s">
        <v>452</v>
      </c>
      <c r="D340" s="8" t="s">
        <v>1606</v>
      </c>
      <c r="E340" s="8" t="s">
        <v>1933</v>
      </c>
      <c r="F340" s="8">
        <v>2.0</v>
      </c>
      <c r="G340" s="8">
        <v>188.25</v>
      </c>
      <c r="H340" s="8">
        <v>0.08</v>
      </c>
      <c r="I340" s="8">
        <f t="shared" si="1"/>
        <v>376.5</v>
      </c>
      <c r="J340" s="8">
        <f t="shared" si="2"/>
        <v>-30.04</v>
      </c>
      <c r="K340" s="8" t="str">
        <f t="shared" si="3"/>
        <v>Jun</v>
      </c>
      <c r="L340" s="8">
        <f t="shared" si="4"/>
        <v>2025</v>
      </c>
      <c r="N340" s="8" t="str">
        <f t="array" ref="N340">XLOOKUP(C340,Customer_Dim!A:A,Customer_Dim!B:B,"Not Found")</f>
        <v>Susan Mcdonald</v>
      </c>
      <c r="O340" s="8" t="str">
        <f t="array" ref="O340">XLOOKUP(C340,Customer_Dim!A:A,Customer_Dim!E:E,"Not Found")</f>
        <v>East Ellen</v>
      </c>
      <c r="P340" s="8" t="str">
        <f t="array" ref="P340">XLOOKUP(D340,Product_Dim!A:A,Product_Dim!B:B,"Not Found")</f>
        <v>Ceramic Kitchen Bowl Set</v>
      </c>
      <c r="Q340" s="8" t="str">
        <f t="array" ref="Q340">XLOOKUP(D340,Product_Dim!A:A,Product_Dim!C:C,"Not Found")</f>
        <v>Home</v>
      </c>
      <c r="R340" s="8" t="str">
        <f t="array" ref="R340">XLOOKUP(E340,Store_Dim!A:A,Store_Dim!B:B,"Not Found")</f>
        <v>North</v>
      </c>
      <c r="S340" s="8" t="str">
        <f t="array" ref="S340">XLOOKUP(E340,Store_Dim!A:A,Store_Dim!D:D,"Not Found")</f>
        <v>Flagship</v>
      </c>
    </row>
    <row r="341" ht="14.25" customHeight="1">
      <c r="A341" s="8" t="s">
        <v>2294</v>
      </c>
      <c r="B341" s="12">
        <v>45819.0</v>
      </c>
      <c r="C341" s="8" t="s">
        <v>733</v>
      </c>
      <c r="D341" s="8" t="s">
        <v>1725</v>
      </c>
      <c r="E341" s="8" t="s">
        <v>1917</v>
      </c>
      <c r="F341" s="8">
        <v>4.0</v>
      </c>
      <c r="G341" s="8">
        <v>344.12</v>
      </c>
      <c r="H341" s="8">
        <v>0.25</v>
      </c>
      <c r="I341" s="8">
        <f t="shared" si="1"/>
        <v>1376.48</v>
      </c>
      <c r="J341" s="8">
        <f t="shared" si="2"/>
        <v>-343.87</v>
      </c>
      <c r="K341" s="8" t="str">
        <f t="shared" si="3"/>
        <v>Jun</v>
      </c>
      <c r="L341" s="8">
        <f t="shared" si="4"/>
        <v>2025</v>
      </c>
      <c r="N341" s="8" t="str">
        <f t="array" ref="N341">XLOOKUP(C341,Customer_Dim!A:A,Customer_Dim!B:B,"Not Found")</f>
        <v>Alejandro Doyle</v>
      </c>
      <c r="O341" s="8" t="str">
        <f t="array" ref="O341">XLOOKUP(C341,Customer_Dim!A:A,Customer_Dim!E:E,"Not Found")</f>
        <v>East Crystalton</v>
      </c>
      <c r="P341" s="8" t="str">
        <f t="array" ref="P341">XLOOKUP(D341,Product_Dim!A:A,Product_Dim!B:B,"Not Found")</f>
        <v>Men's Winter Jacket</v>
      </c>
      <c r="Q341" s="8" t="str">
        <f t="array" ref="Q341">XLOOKUP(D341,Product_Dim!A:A,Product_Dim!C:C,"Not Found")</f>
        <v>Clothing</v>
      </c>
      <c r="R341" s="8" t="str">
        <f t="array" ref="R341">XLOOKUP(E341,Store_Dim!A:A,Store_Dim!B:B,"Not Found")</f>
        <v>East</v>
      </c>
      <c r="S341" s="8" t="str">
        <f t="array" ref="S341">XLOOKUP(E341,Store_Dim!A:A,Store_Dim!D:D,"Not Found")</f>
        <v>Online</v>
      </c>
    </row>
    <row r="342" ht="14.25" customHeight="1">
      <c r="A342" s="8" t="s">
        <v>2295</v>
      </c>
      <c r="B342" s="12">
        <v>45820.0</v>
      </c>
      <c r="C342" s="8" t="s">
        <v>191</v>
      </c>
      <c r="D342" s="8" t="s">
        <v>1632</v>
      </c>
      <c r="E342" s="8" t="s">
        <v>1941</v>
      </c>
      <c r="F342" s="8">
        <v>3.0</v>
      </c>
      <c r="G342" s="8">
        <v>997.95</v>
      </c>
      <c r="H342" s="8">
        <v>0.09</v>
      </c>
      <c r="I342" s="8">
        <f t="shared" si="1"/>
        <v>2993.85</v>
      </c>
      <c r="J342" s="8">
        <f t="shared" si="2"/>
        <v>-269.3565</v>
      </c>
      <c r="K342" s="8" t="str">
        <f t="shared" si="3"/>
        <v>Jun</v>
      </c>
      <c r="L342" s="8">
        <f t="shared" si="4"/>
        <v>2025</v>
      </c>
      <c r="N342" s="8" t="str">
        <f t="array" ref="N342">XLOOKUP(C342,Customer_Dim!A:A,Customer_Dim!B:B,"Not Found")</f>
        <v>Gina Knight</v>
      </c>
      <c r="O342" s="8" t="str">
        <f t="array" ref="O342">XLOOKUP(C342,Customer_Dim!A:A,Customer_Dim!E:E,"Not Found")</f>
        <v>Lake Roberthaven</v>
      </c>
      <c r="P342" s="8" t="str">
        <f t="array" ref="P342">XLOOKUP(D342,Product_Dim!A:A,Product_Dim!B:B,"Not Found")</f>
        <v>Soccer Training Cone Set</v>
      </c>
      <c r="Q342" s="8" t="str">
        <f t="array" ref="Q342">XLOOKUP(D342,Product_Dim!A:A,Product_Dim!C:C,"Not Found")</f>
        <v>Sports</v>
      </c>
      <c r="R342" s="8" t="str">
        <f t="array" ref="R342">XLOOKUP(E342,Store_Dim!A:A,Store_Dim!B:B,"Not Found")</f>
        <v>East</v>
      </c>
      <c r="S342" s="8" t="str">
        <f t="array" ref="S342">XLOOKUP(E342,Store_Dim!A:A,Store_Dim!D:D,"Not Found")</f>
        <v>Online</v>
      </c>
    </row>
    <row r="343" ht="14.25" customHeight="1">
      <c r="A343" s="8" t="s">
        <v>2296</v>
      </c>
      <c r="B343" s="12">
        <v>45821.0</v>
      </c>
      <c r="C343" s="8" t="s">
        <v>517</v>
      </c>
      <c r="D343" s="8" t="s">
        <v>1610</v>
      </c>
      <c r="E343" s="8" t="s">
        <v>1933</v>
      </c>
      <c r="F343" s="8">
        <v>3.0</v>
      </c>
      <c r="G343" s="8">
        <v>121.64</v>
      </c>
      <c r="H343" s="8">
        <v>0.07</v>
      </c>
      <c r="I343" s="8">
        <f t="shared" si="1"/>
        <v>364.92</v>
      </c>
      <c r="J343" s="8">
        <f t="shared" si="2"/>
        <v>-25.4744</v>
      </c>
      <c r="K343" s="8" t="str">
        <f t="shared" si="3"/>
        <v>Jun</v>
      </c>
      <c r="L343" s="8">
        <f t="shared" si="4"/>
        <v>2025</v>
      </c>
      <c r="N343" s="8" t="str">
        <f t="array" ref="N343">XLOOKUP(C343,Customer_Dim!A:A,Customer_Dim!B:B,"Not Found")</f>
        <v>Stephanie Conway</v>
      </c>
      <c r="O343" s="8" t="str">
        <f t="array" ref="O343">XLOOKUP(C343,Customer_Dim!A:A,Customer_Dim!E:E,"Not Found")</f>
        <v>Port Frankmouth</v>
      </c>
      <c r="P343" s="8" t="str">
        <f t="array" ref="P343">XLOOKUP(D343,Product_Dim!A:A,Product_Dim!B:B,"Not Found")</f>
        <v>HD Smart TV Stick</v>
      </c>
      <c r="Q343" s="8" t="str">
        <f t="array" ref="Q343">XLOOKUP(D343,Product_Dim!A:A,Product_Dim!C:C,"Not Found")</f>
        <v>Electronics</v>
      </c>
      <c r="R343" s="8" t="str">
        <f t="array" ref="R343">XLOOKUP(E343,Store_Dim!A:A,Store_Dim!B:B,"Not Found")</f>
        <v>North</v>
      </c>
      <c r="S343" s="8" t="str">
        <f t="array" ref="S343">XLOOKUP(E343,Store_Dim!A:A,Store_Dim!D:D,"Not Found")</f>
        <v>Flagship</v>
      </c>
    </row>
    <row r="344" ht="14.25" customHeight="1">
      <c r="A344" s="8" t="s">
        <v>2297</v>
      </c>
      <c r="B344" s="12">
        <v>45822.0</v>
      </c>
      <c r="C344" s="8" t="s">
        <v>730</v>
      </c>
      <c r="D344" s="8" t="s">
        <v>1793</v>
      </c>
      <c r="E344" s="8" t="s">
        <v>1926</v>
      </c>
      <c r="F344" s="8">
        <v>2.0</v>
      </c>
      <c r="G344" s="8">
        <v>692.72</v>
      </c>
      <c r="H344" s="8">
        <v>0.13</v>
      </c>
      <c r="I344" s="8">
        <f t="shared" si="1"/>
        <v>1385.44</v>
      </c>
      <c r="J344" s="8">
        <f t="shared" si="2"/>
        <v>-179.9772</v>
      </c>
      <c r="K344" s="8" t="str">
        <f t="shared" si="3"/>
        <v>Jun</v>
      </c>
      <c r="L344" s="8">
        <f t="shared" si="4"/>
        <v>2025</v>
      </c>
      <c r="N344" s="8" t="str">
        <f t="array" ref="N344">XLOOKUP(C344,Customer_Dim!A:A,Customer_Dim!B:B,"Not Found")</f>
        <v>Lisa Young</v>
      </c>
      <c r="O344" s="8" t="str">
        <f t="array" ref="O344">XLOOKUP(C344,Customer_Dim!A:A,Customer_Dim!E:E,"Not Found")</f>
        <v>Maybury</v>
      </c>
      <c r="P344" s="8" t="str">
        <f t="array" ref="P344">XLOOKUP(D344,Product_Dim!A:A,Product_Dim!B:B,"Not Found")</f>
        <v>Wooden Nightstand</v>
      </c>
      <c r="Q344" s="8" t="str">
        <f t="array" ref="Q344">XLOOKUP(D344,Product_Dim!A:A,Product_Dim!C:C,"Not Found")</f>
        <v>Home</v>
      </c>
      <c r="R344" s="8" t="str">
        <f t="array" ref="R344">XLOOKUP(E344,Store_Dim!A:A,Store_Dim!B:B,"Not Found")</f>
        <v>East</v>
      </c>
      <c r="S344" s="8" t="str">
        <f t="array" ref="S344">XLOOKUP(E344,Store_Dim!A:A,Store_Dim!D:D,"Not Found")</f>
        <v>Online</v>
      </c>
    </row>
    <row r="345" ht="14.25" customHeight="1">
      <c r="A345" s="8" t="s">
        <v>2298</v>
      </c>
      <c r="B345" s="12">
        <v>45823.0</v>
      </c>
      <c r="C345" s="8" t="s">
        <v>124</v>
      </c>
      <c r="D345" s="8" t="s">
        <v>1655</v>
      </c>
      <c r="E345" s="8" t="s">
        <v>1941</v>
      </c>
      <c r="F345" s="8">
        <v>3.0</v>
      </c>
      <c r="G345" s="8">
        <v>794.59</v>
      </c>
      <c r="H345" s="8">
        <v>0.03</v>
      </c>
      <c r="I345" s="8">
        <f t="shared" si="1"/>
        <v>2383.77</v>
      </c>
      <c r="J345" s="8">
        <f t="shared" si="2"/>
        <v>-71.4831</v>
      </c>
      <c r="K345" s="8" t="str">
        <f t="shared" si="3"/>
        <v>Jun</v>
      </c>
      <c r="L345" s="8">
        <f t="shared" si="4"/>
        <v>2025</v>
      </c>
      <c r="N345" s="8" t="str">
        <f t="array" ref="N345">XLOOKUP(C345,Customer_Dim!A:A,Customer_Dim!B:B,"Not Found")</f>
        <v>Leslie Johnson</v>
      </c>
      <c r="O345" s="8" t="str">
        <f t="array" ref="O345">XLOOKUP(C345,Customer_Dim!A:A,Customer_Dim!E:E,"Not Found")</f>
        <v>Mollyshire</v>
      </c>
      <c r="P345" s="8" t="str">
        <f t="array" ref="P345">XLOOKUP(D345,Product_Dim!A:A,Product_Dim!B:B,"Not Found")</f>
        <v>Foldable Camping Chair</v>
      </c>
      <c r="Q345" s="8" t="str">
        <f t="array" ref="Q345">XLOOKUP(D345,Product_Dim!A:A,Product_Dim!C:C,"Not Found")</f>
        <v>Sports</v>
      </c>
      <c r="R345" s="8" t="str">
        <f t="array" ref="R345">XLOOKUP(E345,Store_Dim!A:A,Store_Dim!B:B,"Not Found")</f>
        <v>East</v>
      </c>
      <c r="S345" s="8" t="str">
        <f t="array" ref="S345">XLOOKUP(E345,Store_Dim!A:A,Store_Dim!D:D,"Not Found")</f>
        <v>Online</v>
      </c>
    </row>
    <row r="346" ht="14.25" customHeight="1">
      <c r="A346" s="8" t="s">
        <v>2299</v>
      </c>
      <c r="B346" s="12">
        <v>45824.0</v>
      </c>
      <c r="C346" s="8" t="s">
        <v>76</v>
      </c>
      <c r="D346" s="8" t="s">
        <v>1662</v>
      </c>
      <c r="E346" s="8" t="s">
        <v>1924</v>
      </c>
      <c r="F346" s="8">
        <v>1.0</v>
      </c>
      <c r="G346" s="8">
        <v>907.95</v>
      </c>
      <c r="H346" s="8">
        <v>0.1</v>
      </c>
      <c r="I346" s="8">
        <f t="shared" si="1"/>
        <v>907.95</v>
      </c>
      <c r="J346" s="8">
        <f t="shared" si="2"/>
        <v>-90.695</v>
      </c>
      <c r="K346" s="8" t="str">
        <f t="shared" si="3"/>
        <v>Jun</v>
      </c>
      <c r="L346" s="8">
        <f t="shared" si="4"/>
        <v>2025</v>
      </c>
      <c r="N346" s="8" t="str">
        <f t="array" ref="N346">XLOOKUP(C346,Customer_Dim!A:A,Customer_Dim!B:B,"Not Found")</f>
        <v>Ashley Cohen</v>
      </c>
      <c r="O346" s="8" t="str">
        <f t="array" ref="O346">XLOOKUP(C346,Customer_Dim!A:A,Customer_Dim!E:E,"Not Found")</f>
        <v>Lake Kristamouth</v>
      </c>
      <c r="P346" s="8" t="str">
        <f t="array" ref="P346">XLOOKUP(D346,Product_Dim!A:A,Product_Dim!B:B,"Not Found")</f>
        <v>Wireless Bluetooth Speaker</v>
      </c>
      <c r="Q346" s="8" t="str">
        <f t="array" ref="Q346">XLOOKUP(D346,Product_Dim!A:A,Product_Dim!C:C,"Not Found")</f>
        <v>Electronics</v>
      </c>
      <c r="R346" s="8" t="str">
        <f t="array" ref="R346">XLOOKUP(E346,Store_Dim!A:A,Store_Dim!B:B,"Not Found")</f>
        <v>South</v>
      </c>
      <c r="S346" s="8" t="str">
        <f t="array" ref="S346">XLOOKUP(E346,Store_Dim!A:A,Store_Dim!D:D,"Not Found")</f>
        <v>Flagship</v>
      </c>
    </row>
    <row r="347" ht="14.25" customHeight="1">
      <c r="A347" s="8" t="s">
        <v>2300</v>
      </c>
      <c r="B347" s="12">
        <v>45825.0</v>
      </c>
      <c r="C347" s="8" t="s">
        <v>926</v>
      </c>
      <c r="D347" s="8" t="s">
        <v>1739</v>
      </c>
      <c r="E347" s="8" t="s">
        <v>1899</v>
      </c>
      <c r="F347" s="8">
        <v>2.0</v>
      </c>
      <c r="G347" s="8">
        <v>660.81</v>
      </c>
      <c r="H347" s="8">
        <v>0.18</v>
      </c>
      <c r="I347" s="8">
        <f t="shared" si="1"/>
        <v>1321.62</v>
      </c>
      <c r="J347" s="8">
        <f t="shared" si="2"/>
        <v>-237.7116</v>
      </c>
      <c r="K347" s="8" t="str">
        <f t="shared" si="3"/>
        <v>Jun</v>
      </c>
      <c r="L347" s="8">
        <f t="shared" si="4"/>
        <v>2025</v>
      </c>
      <c r="N347" s="8" t="str">
        <f t="array" ref="N347">XLOOKUP(C347,Customer_Dim!A:A,Customer_Dim!B:B,"Not Found")</f>
        <v>Cynthia Roberts</v>
      </c>
      <c r="O347" s="8" t="str">
        <f t="array" ref="O347">XLOOKUP(C347,Customer_Dim!A:A,Customer_Dim!E:E,"Not Found")</f>
        <v>Millerfort</v>
      </c>
      <c r="P347" s="8" t="str">
        <f t="array" ref="P347">XLOOKUP(D347,Product_Dim!A:A,Product_Dim!B:B,"Not Found")</f>
        <v>Boxing Hand Wraps</v>
      </c>
      <c r="Q347" s="8" t="str">
        <f t="array" ref="Q347">XLOOKUP(D347,Product_Dim!A:A,Product_Dim!C:C,"Not Found")</f>
        <v>Sports</v>
      </c>
      <c r="R347" s="8" t="str">
        <f t="array" ref="R347">XLOOKUP(E347,Store_Dim!A:A,Store_Dim!B:B,"Not Found")</f>
        <v>East</v>
      </c>
      <c r="S347" s="8" t="str">
        <f t="array" ref="S347">XLOOKUP(E347,Store_Dim!A:A,Store_Dim!D:D,"Not Found")</f>
        <v>Flagship</v>
      </c>
    </row>
    <row r="348" ht="14.25" customHeight="1">
      <c r="A348" s="8" t="s">
        <v>2301</v>
      </c>
      <c r="B348" s="12">
        <v>45826.0</v>
      </c>
      <c r="C348" s="8" t="s">
        <v>237</v>
      </c>
      <c r="D348" s="8" t="s">
        <v>1742</v>
      </c>
      <c r="E348" s="8" t="s">
        <v>1921</v>
      </c>
      <c r="F348" s="8">
        <v>3.0</v>
      </c>
      <c r="G348" s="8">
        <v>564.94</v>
      </c>
      <c r="H348" s="8">
        <v>0.22</v>
      </c>
      <c r="I348" s="8">
        <f t="shared" si="1"/>
        <v>1694.82</v>
      </c>
      <c r="J348" s="8">
        <f t="shared" si="2"/>
        <v>-372.6404</v>
      </c>
      <c r="K348" s="8" t="str">
        <f t="shared" si="3"/>
        <v>Jun</v>
      </c>
      <c r="L348" s="8">
        <f t="shared" si="4"/>
        <v>2025</v>
      </c>
      <c r="N348" s="8" t="str">
        <f t="array" ref="N348">XLOOKUP(C348,Customer_Dim!A:A,Customer_Dim!B:B,"Not Found")</f>
        <v>Kristin Stein</v>
      </c>
      <c r="O348" s="8" t="str">
        <f t="array" ref="O348">XLOOKUP(C348,Customer_Dim!A:A,Customer_Dim!E:E,"Not Found")</f>
        <v>Jennifermouth</v>
      </c>
      <c r="P348" s="8" t="str">
        <f t="array" ref="P348">XLOOKUP(D348,Product_Dim!A:A,Product_Dim!B:B,"Not Found")</f>
        <v>HDMI Cable – 2m</v>
      </c>
      <c r="Q348" s="8" t="str">
        <f t="array" ref="Q348">XLOOKUP(D348,Product_Dim!A:A,Product_Dim!C:C,"Not Found")</f>
        <v>Electronics</v>
      </c>
      <c r="R348" s="8" t="str">
        <f t="array" ref="R348">XLOOKUP(E348,Store_Dim!A:A,Store_Dim!B:B,"Not Found")</f>
        <v>West</v>
      </c>
      <c r="S348" s="8" t="str">
        <f t="array" ref="S348">XLOOKUP(E348,Store_Dim!A:A,Store_Dim!D:D,"Not Found")</f>
        <v>Online</v>
      </c>
    </row>
    <row r="349" ht="14.25" customHeight="1">
      <c r="A349" s="8" t="s">
        <v>2302</v>
      </c>
      <c r="B349" s="12">
        <v>45827.0</v>
      </c>
      <c r="C349" s="8" t="s">
        <v>215</v>
      </c>
      <c r="D349" s="8" t="s">
        <v>1624</v>
      </c>
      <c r="E349" s="8" t="s">
        <v>1933</v>
      </c>
      <c r="F349" s="8">
        <v>2.0</v>
      </c>
      <c r="G349" s="8">
        <v>280.37</v>
      </c>
      <c r="H349" s="8">
        <v>0.22</v>
      </c>
      <c r="I349" s="8">
        <f t="shared" si="1"/>
        <v>560.74</v>
      </c>
      <c r="J349" s="8">
        <f t="shared" si="2"/>
        <v>-123.1428</v>
      </c>
      <c r="K349" s="8" t="str">
        <f t="shared" si="3"/>
        <v>Jun</v>
      </c>
      <c r="L349" s="8">
        <f t="shared" si="4"/>
        <v>2025</v>
      </c>
      <c r="N349" s="8" t="str">
        <f t="array" ref="N349">XLOOKUP(C349,Customer_Dim!A:A,Customer_Dim!B:B,"Not Found")</f>
        <v>Katherine Dorsey</v>
      </c>
      <c r="O349" s="8" t="str">
        <f t="array" ref="O349">XLOOKUP(C349,Customer_Dim!A:A,Customer_Dim!E:E,"Not Found")</f>
        <v>Christopherland</v>
      </c>
      <c r="P349" s="8" t="str">
        <f t="array" ref="P349">XLOOKUP(D349,Product_Dim!A:A,Product_Dim!B:B,"Not Found")</f>
        <v>4K Home Projector</v>
      </c>
      <c r="Q349" s="8" t="str">
        <f t="array" ref="Q349">XLOOKUP(D349,Product_Dim!A:A,Product_Dim!C:C,"Not Found")</f>
        <v>Electronics</v>
      </c>
      <c r="R349" s="8" t="str">
        <f t="array" ref="R349">XLOOKUP(E349,Store_Dim!A:A,Store_Dim!B:B,"Not Found")</f>
        <v>North</v>
      </c>
      <c r="S349" s="8" t="str">
        <f t="array" ref="S349">XLOOKUP(E349,Store_Dim!A:A,Store_Dim!D:D,"Not Found")</f>
        <v>Flagship</v>
      </c>
    </row>
    <row r="350" ht="14.25" customHeight="1">
      <c r="A350" s="8" t="s">
        <v>2303</v>
      </c>
      <c r="B350" s="12">
        <v>45828.0</v>
      </c>
      <c r="C350" s="8" t="s">
        <v>1179</v>
      </c>
      <c r="D350" s="8" t="s">
        <v>1739</v>
      </c>
      <c r="E350" s="8" t="s">
        <v>1910</v>
      </c>
      <c r="F350" s="8">
        <v>2.0</v>
      </c>
      <c r="G350" s="8">
        <v>85.23</v>
      </c>
      <c r="H350" s="8">
        <v>0.13</v>
      </c>
      <c r="I350" s="8">
        <f t="shared" si="1"/>
        <v>170.46</v>
      </c>
      <c r="J350" s="8">
        <f t="shared" si="2"/>
        <v>-22.0298</v>
      </c>
      <c r="K350" s="8" t="str">
        <f t="shared" si="3"/>
        <v>Jun</v>
      </c>
      <c r="L350" s="8">
        <f t="shared" si="4"/>
        <v>2025</v>
      </c>
      <c r="N350" s="8" t="str">
        <f t="array" ref="N350">XLOOKUP(C350,Customer_Dim!A:A,Customer_Dim!B:B,"Not Found")</f>
        <v>Jacqueline Anthony</v>
      </c>
      <c r="O350" s="8" t="str">
        <f t="array" ref="O350">XLOOKUP(C350,Customer_Dim!A:A,Customer_Dim!E:E,"Not Found")</f>
        <v>Vincentside</v>
      </c>
      <c r="P350" s="8" t="str">
        <f t="array" ref="P350">XLOOKUP(D350,Product_Dim!A:A,Product_Dim!B:B,"Not Found")</f>
        <v>Boxing Hand Wraps</v>
      </c>
      <c r="Q350" s="8" t="str">
        <f t="array" ref="Q350">XLOOKUP(D350,Product_Dim!A:A,Product_Dim!C:C,"Not Found")</f>
        <v>Sports</v>
      </c>
      <c r="R350" s="8" t="str">
        <f t="array" ref="R350">XLOOKUP(E350,Store_Dim!A:A,Store_Dim!B:B,"Not Found")</f>
        <v>North</v>
      </c>
      <c r="S350" s="8" t="str">
        <f t="array" ref="S350">XLOOKUP(E350,Store_Dim!A:A,Store_Dim!D:D,"Not Found")</f>
        <v>Outlet</v>
      </c>
    </row>
    <row r="351" ht="14.25" customHeight="1">
      <c r="A351" s="8" t="s">
        <v>2304</v>
      </c>
      <c r="B351" s="12">
        <v>45829.0</v>
      </c>
      <c r="C351" s="8" t="s">
        <v>999</v>
      </c>
      <c r="D351" s="8" t="s">
        <v>1665</v>
      </c>
      <c r="E351" s="8" t="s">
        <v>1931</v>
      </c>
      <c r="F351" s="8">
        <v>2.0</v>
      </c>
      <c r="G351" s="8">
        <v>563.3</v>
      </c>
      <c r="H351" s="8">
        <v>0.26</v>
      </c>
      <c r="I351" s="8">
        <f t="shared" si="1"/>
        <v>1126.6</v>
      </c>
      <c r="J351" s="8">
        <f t="shared" si="2"/>
        <v>-292.656</v>
      </c>
      <c r="K351" s="8" t="str">
        <f t="shared" si="3"/>
        <v>Jun</v>
      </c>
      <c r="L351" s="8">
        <f t="shared" si="4"/>
        <v>2025</v>
      </c>
      <c r="N351" s="8" t="str">
        <f t="array" ref="N351">XLOOKUP(C351,Customer_Dim!A:A,Customer_Dim!B:B,"Not Found")</f>
        <v>Jason Mullins</v>
      </c>
      <c r="O351" s="8" t="str">
        <f t="array" ref="O351">XLOOKUP(C351,Customer_Dim!A:A,Customer_Dim!E:E,"Not Found")</f>
        <v>Brianchester</v>
      </c>
      <c r="P351" s="8" t="str">
        <f t="array" ref="P351">XLOOKUP(D351,Product_Dim!A:A,Product_Dim!B:B,"Not Found")</f>
        <v>Decorative Floor Vase</v>
      </c>
      <c r="Q351" s="8" t="str">
        <f t="array" ref="Q351">XLOOKUP(D351,Product_Dim!A:A,Product_Dim!C:C,"Not Found")</f>
        <v>Home</v>
      </c>
      <c r="R351" s="8" t="str">
        <f t="array" ref="R351">XLOOKUP(E351,Store_Dim!A:A,Store_Dim!B:B,"Not Found")</f>
        <v>East</v>
      </c>
      <c r="S351" s="8" t="str">
        <f t="array" ref="S351">XLOOKUP(E351,Store_Dim!A:A,Store_Dim!D:D,"Not Found")</f>
        <v>Flagship</v>
      </c>
    </row>
    <row r="352" ht="14.25" customHeight="1">
      <c r="A352" s="8" t="s">
        <v>2305</v>
      </c>
      <c r="B352" s="12">
        <v>45830.0</v>
      </c>
      <c r="C352" s="8" t="s">
        <v>144</v>
      </c>
      <c r="D352" s="8" t="s">
        <v>1830</v>
      </c>
      <c r="E352" s="8" t="s">
        <v>1939</v>
      </c>
      <c r="F352" s="8">
        <v>2.0</v>
      </c>
      <c r="G352" s="8">
        <v>827.81</v>
      </c>
      <c r="H352" s="8">
        <v>0.04</v>
      </c>
      <c r="I352" s="8">
        <f t="shared" si="1"/>
        <v>1655.62</v>
      </c>
      <c r="J352" s="8">
        <f t="shared" si="2"/>
        <v>-66.1848</v>
      </c>
      <c r="K352" s="8" t="str">
        <f t="shared" si="3"/>
        <v>Jun</v>
      </c>
      <c r="L352" s="8">
        <f t="shared" si="4"/>
        <v>2025</v>
      </c>
      <c r="N352" s="8" t="str">
        <f t="array" ref="N352">XLOOKUP(C352,Customer_Dim!A:A,Customer_Dim!B:B,"Not Found")</f>
        <v>Robert Jones DDS</v>
      </c>
      <c r="O352" s="8" t="str">
        <f t="array" ref="O352">XLOOKUP(C352,Customer_Dim!A:A,Customer_Dim!E:E,"Not Found")</f>
        <v>Tristanton</v>
      </c>
      <c r="P352" s="8" t="str">
        <f t="array" ref="P352">XLOOKUP(D352,Product_Dim!A:A,Product_Dim!B:B,"Not Found")</f>
        <v>Wall-Mounted Spice Rack</v>
      </c>
      <c r="Q352" s="8" t="str">
        <f t="array" ref="Q352">XLOOKUP(D352,Product_Dim!A:A,Product_Dim!C:C,"Not Found")</f>
        <v>Home</v>
      </c>
      <c r="R352" s="8" t="str">
        <f t="array" ref="R352">XLOOKUP(E352,Store_Dim!A:A,Store_Dim!B:B,"Not Found")</f>
        <v>East</v>
      </c>
      <c r="S352" s="8" t="str">
        <f t="array" ref="S352">XLOOKUP(E352,Store_Dim!A:A,Store_Dim!D:D,"Not Found")</f>
        <v>Flagship</v>
      </c>
    </row>
    <row r="353" ht="14.25" customHeight="1">
      <c r="A353" s="8" t="s">
        <v>2306</v>
      </c>
      <c r="B353" s="12">
        <v>45831.0</v>
      </c>
      <c r="C353" s="8" t="s">
        <v>708</v>
      </c>
      <c r="D353" s="8" t="s">
        <v>1613</v>
      </c>
      <c r="E353" s="8" t="s">
        <v>1939</v>
      </c>
      <c r="F353" s="8">
        <v>3.0</v>
      </c>
      <c r="G353" s="8">
        <v>877.71</v>
      </c>
      <c r="H353" s="8">
        <v>0.12</v>
      </c>
      <c r="I353" s="8">
        <f t="shared" si="1"/>
        <v>2633.13</v>
      </c>
      <c r="J353" s="8">
        <f t="shared" si="2"/>
        <v>-315.8556</v>
      </c>
      <c r="K353" s="8" t="str">
        <f t="shared" si="3"/>
        <v>Jun</v>
      </c>
      <c r="L353" s="8">
        <f t="shared" si="4"/>
        <v>2025</v>
      </c>
      <c r="N353" s="8" t="str">
        <f t="array" ref="N353">XLOOKUP(C353,Customer_Dim!A:A,Customer_Dim!B:B,"Not Found")</f>
        <v>Eric Todd</v>
      </c>
      <c r="O353" s="8" t="str">
        <f t="array" ref="O353">XLOOKUP(C353,Customer_Dim!A:A,Customer_Dim!E:E,"Not Found")</f>
        <v>Danielstad</v>
      </c>
      <c r="P353" s="8" t="str">
        <f t="array" ref="P353">XLOOKUP(D353,Product_Dim!A:A,Product_Dim!B:B,"Not Found")</f>
        <v>Hair Strengthening Shampoo</v>
      </c>
      <c r="Q353" s="8" t="str">
        <f t="array" ref="Q353">XLOOKUP(D353,Product_Dim!A:A,Product_Dim!C:C,"Not Found")</f>
        <v>Beauty</v>
      </c>
      <c r="R353" s="8" t="str">
        <f t="array" ref="R353">XLOOKUP(E353,Store_Dim!A:A,Store_Dim!B:B,"Not Found")</f>
        <v>East</v>
      </c>
      <c r="S353" s="8" t="str">
        <f t="array" ref="S353">XLOOKUP(E353,Store_Dim!A:A,Store_Dim!D:D,"Not Found")</f>
        <v>Flagship</v>
      </c>
    </row>
    <row r="354" ht="14.25" customHeight="1">
      <c r="A354" s="8" t="s">
        <v>2307</v>
      </c>
      <c r="B354" s="12">
        <v>45832.0</v>
      </c>
      <c r="C354" s="8" t="s">
        <v>836</v>
      </c>
      <c r="D354" s="8" t="s">
        <v>1760</v>
      </c>
      <c r="E354" s="8" t="s">
        <v>1924</v>
      </c>
      <c r="F354" s="8">
        <v>4.0</v>
      </c>
      <c r="G354" s="8">
        <v>488.56</v>
      </c>
      <c r="H354" s="8">
        <v>0.26</v>
      </c>
      <c r="I354" s="8">
        <f t="shared" si="1"/>
        <v>1954.24</v>
      </c>
      <c r="J354" s="8">
        <f t="shared" si="2"/>
        <v>-507.8424</v>
      </c>
      <c r="K354" s="8" t="str">
        <f t="shared" si="3"/>
        <v>Jun</v>
      </c>
      <c r="L354" s="8">
        <f t="shared" si="4"/>
        <v>2025</v>
      </c>
      <c r="N354" s="8" t="str">
        <f t="array" ref="N354">XLOOKUP(C354,Customer_Dim!A:A,Customer_Dim!B:B,"Not Found")</f>
        <v>Christopher David</v>
      </c>
      <c r="O354" s="8" t="str">
        <f t="array" ref="O354">XLOOKUP(C354,Customer_Dim!A:A,Customer_Dim!E:E,"Not Found")</f>
        <v>Karenmouth</v>
      </c>
      <c r="P354" s="8" t="str">
        <f t="array" ref="P354">XLOOKUP(D354,Product_Dim!A:A,Product_Dim!B:B,"Not Found")</f>
        <v>Foam Roller</v>
      </c>
      <c r="Q354" s="8" t="str">
        <f t="array" ref="Q354">XLOOKUP(D354,Product_Dim!A:A,Product_Dim!C:C,"Not Found")</f>
        <v>Sports</v>
      </c>
      <c r="R354" s="8" t="str">
        <f t="array" ref="R354">XLOOKUP(E354,Store_Dim!A:A,Store_Dim!B:B,"Not Found")</f>
        <v>South</v>
      </c>
      <c r="S354" s="8" t="str">
        <f t="array" ref="S354">XLOOKUP(E354,Store_Dim!A:A,Store_Dim!D:D,"Not Found")</f>
        <v>Flagship</v>
      </c>
    </row>
    <row r="355" ht="14.25" customHeight="1">
      <c r="A355" s="8" t="s">
        <v>2308</v>
      </c>
      <c r="B355" s="12">
        <v>45833.0</v>
      </c>
      <c r="C355" s="8" t="s">
        <v>379</v>
      </c>
      <c r="D355" s="8" t="s">
        <v>1659</v>
      </c>
      <c r="E355" s="8" t="s">
        <v>1929</v>
      </c>
      <c r="F355" s="8">
        <v>4.0</v>
      </c>
      <c r="G355" s="8">
        <v>175.91</v>
      </c>
      <c r="H355" s="8">
        <v>0.13</v>
      </c>
      <c r="I355" s="8">
        <f t="shared" si="1"/>
        <v>703.64</v>
      </c>
      <c r="J355" s="8">
        <f t="shared" si="2"/>
        <v>-91.3432</v>
      </c>
      <c r="K355" s="8" t="str">
        <f t="shared" si="3"/>
        <v>Jun</v>
      </c>
      <c r="L355" s="8">
        <f t="shared" si="4"/>
        <v>2025</v>
      </c>
      <c r="N355" s="8" t="str">
        <f t="array" ref="N355">XLOOKUP(C355,Customer_Dim!A:A,Customer_Dim!B:B,"Not Found")</f>
        <v>Christopher Lester</v>
      </c>
      <c r="O355" s="8" t="str">
        <f t="array" ref="O355">XLOOKUP(C355,Customer_Dim!A:A,Customer_Dim!E:E,"Not Found")</f>
        <v>South Jenniferville</v>
      </c>
      <c r="P355" s="8" t="str">
        <f t="array" ref="P355">XLOOKUP(D355,Product_Dim!A:A,Product_Dim!B:B,"Not Found")</f>
        <v>Women's Scarf Set</v>
      </c>
      <c r="Q355" s="8" t="str">
        <f t="array" ref="Q355">XLOOKUP(D355,Product_Dim!A:A,Product_Dim!C:C,"Not Found")</f>
        <v>Clothing</v>
      </c>
      <c r="R355" s="8" t="str">
        <f t="array" ref="R355">XLOOKUP(E355,Store_Dim!A:A,Store_Dim!B:B,"Not Found")</f>
        <v>North</v>
      </c>
      <c r="S355" s="8" t="str">
        <f t="array" ref="S355">XLOOKUP(E355,Store_Dim!A:A,Store_Dim!D:D,"Not Found")</f>
        <v>Online</v>
      </c>
    </row>
    <row r="356" ht="14.25" customHeight="1">
      <c r="A356" s="8" t="s">
        <v>2309</v>
      </c>
      <c r="B356" s="12">
        <v>45834.0</v>
      </c>
      <c r="C356" s="8" t="s">
        <v>809</v>
      </c>
      <c r="D356" s="8" t="s">
        <v>1851</v>
      </c>
      <c r="E356" s="8" t="s">
        <v>1921</v>
      </c>
      <c r="F356" s="8">
        <v>4.0</v>
      </c>
      <c r="G356" s="8">
        <v>289.66</v>
      </c>
      <c r="H356" s="8">
        <v>0.25</v>
      </c>
      <c r="I356" s="8">
        <f t="shared" si="1"/>
        <v>1158.64</v>
      </c>
      <c r="J356" s="8">
        <f t="shared" si="2"/>
        <v>-289.41</v>
      </c>
      <c r="K356" s="8" t="str">
        <f t="shared" si="3"/>
        <v>Jun</v>
      </c>
      <c r="L356" s="8">
        <f t="shared" si="4"/>
        <v>2025</v>
      </c>
      <c r="N356" s="8" t="str">
        <f t="array" ref="N356">XLOOKUP(C356,Customer_Dim!A:A,Customer_Dim!B:B,"Not Found")</f>
        <v>Nicholas Webb</v>
      </c>
      <c r="O356" s="8" t="str">
        <f t="array" ref="O356">XLOOKUP(C356,Customer_Dim!A:A,Customer_Dim!E:E,"Not Found")</f>
        <v>Lake Timothy</v>
      </c>
      <c r="P356" s="8" t="str">
        <f t="array" ref="P356">XLOOKUP(D356,Product_Dim!A:A,Product_Dim!B:B,"Not Found")</f>
        <v>LED Bedside Lamp</v>
      </c>
      <c r="Q356" s="8" t="str">
        <f t="array" ref="Q356">XLOOKUP(D356,Product_Dim!A:A,Product_Dim!C:C,"Not Found")</f>
        <v>Home</v>
      </c>
      <c r="R356" s="8" t="str">
        <f t="array" ref="R356">XLOOKUP(E356,Store_Dim!A:A,Store_Dim!B:B,"Not Found")</f>
        <v>West</v>
      </c>
      <c r="S356" s="8" t="str">
        <f t="array" ref="S356">XLOOKUP(E356,Store_Dim!A:A,Store_Dim!D:D,"Not Found")</f>
        <v>Online</v>
      </c>
    </row>
    <row r="357" ht="14.25" customHeight="1">
      <c r="A357" s="8" t="s">
        <v>2310</v>
      </c>
      <c r="B357" s="12">
        <v>45835.0</v>
      </c>
      <c r="C357" s="8" t="s">
        <v>788</v>
      </c>
      <c r="D357" s="8" t="s">
        <v>1624</v>
      </c>
      <c r="E357" s="8" t="s">
        <v>1933</v>
      </c>
      <c r="F357" s="8">
        <v>2.0</v>
      </c>
      <c r="G357" s="8">
        <v>899.27</v>
      </c>
      <c r="H357" s="8">
        <v>0.17</v>
      </c>
      <c r="I357" s="8">
        <f t="shared" si="1"/>
        <v>1798.54</v>
      </c>
      <c r="J357" s="8">
        <f t="shared" si="2"/>
        <v>-305.5818</v>
      </c>
      <c r="K357" s="8" t="str">
        <f t="shared" si="3"/>
        <v>Jun</v>
      </c>
      <c r="L357" s="8">
        <f t="shared" si="4"/>
        <v>2025</v>
      </c>
      <c r="N357" s="8" t="str">
        <f t="array" ref="N357">XLOOKUP(C357,Customer_Dim!A:A,Customer_Dim!B:B,"Not Found")</f>
        <v>Mr. William Horton</v>
      </c>
      <c r="O357" s="8" t="str">
        <f t="array" ref="O357">XLOOKUP(C357,Customer_Dim!A:A,Customer_Dim!E:E,"Not Found")</f>
        <v>Dawsonchester</v>
      </c>
      <c r="P357" s="8" t="str">
        <f t="array" ref="P357">XLOOKUP(D357,Product_Dim!A:A,Product_Dim!B:B,"Not Found")</f>
        <v>4K Home Projector</v>
      </c>
      <c r="Q357" s="8" t="str">
        <f t="array" ref="Q357">XLOOKUP(D357,Product_Dim!A:A,Product_Dim!C:C,"Not Found")</f>
        <v>Electronics</v>
      </c>
      <c r="R357" s="8" t="str">
        <f t="array" ref="R357">XLOOKUP(E357,Store_Dim!A:A,Store_Dim!B:B,"Not Found")</f>
        <v>North</v>
      </c>
      <c r="S357" s="8" t="str">
        <f t="array" ref="S357">XLOOKUP(E357,Store_Dim!A:A,Store_Dim!D:D,"Not Found")</f>
        <v>Flagship</v>
      </c>
    </row>
    <row r="358" ht="14.25" customHeight="1">
      <c r="A358" s="8" t="s">
        <v>2311</v>
      </c>
      <c r="B358" s="12">
        <v>45836.0</v>
      </c>
      <c r="C358" s="8" t="s">
        <v>251</v>
      </c>
      <c r="D358" s="8" t="s">
        <v>1635</v>
      </c>
      <c r="E358" s="8" t="s">
        <v>1903</v>
      </c>
      <c r="F358" s="8">
        <v>1.0</v>
      </c>
      <c r="G358" s="8">
        <v>691.38</v>
      </c>
      <c r="H358" s="8">
        <v>0.11</v>
      </c>
      <c r="I358" s="8">
        <f t="shared" si="1"/>
        <v>691.38</v>
      </c>
      <c r="J358" s="8">
        <f t="shared" si="2"/>
        <v>-75.9418</v>
      </c>
      <c r="K358" s="8" t="str">
        <f t="shared" si="3"/>
        <v>Jun</v>
      </c>
      <c r="L358" s="8">
        <f t="shared" si="4"/>
        <v>2025</v>
      </c>
      <c r="N358" s="8" t="str">
        <f t="array" ref="N358">XLOOKUP(C358,Customer_Dim!A:A,Customer_Dim!B:B,"Not Found")</f>
        <v>Michael Thomas</v>
      </c>
      <c r="O358" s="8" t="str">
        <f t="array" ref="O358">XLOOKUP(C358,Customer_Dim!A:A,Customer_Dim!E:E,"Not Found")</f>
        <v>Woodmouth</v>
      </c>
      <c r="P358" s="8" t="str">
        <f t="array" ref="P358">XLOOKUP(D358,Product_Dim!A:A,Product_Dim!B:B,"Not Found")</f>
        <v>Women's Denim Jeans</v>
      </c>
      <c r="Q358" s="8" t="str">
        <f t="array" ref="Q358">XLOOKUP(D358,Product_Dim!A:A,Product_Dim!C:C,"Not Found")</f>
        <v>Clothing</v>
      </c>
      <c r="R358" s="8" t="str">
        <f t="array" ref="R358">XLOOKUP(E358,Store_Dim!A:A,Store_Dim!B:B,"Not Found")</f>
        <v>North</v>
      </c>
      <c r="S358" s="8" t="str">
        <f t="array" ref="S358">XLOOKUP(E358,Store_Dim!A:A,Store_Dim!D:D,"Not Found")</f>
        <v>Flagship</v>
      </c>
    </row>
    <row r="359" ht="14.25" customHeight="1">
      <c r="A359" s="8" t="s">
        <v>2312</v>
      </c>
      <c r="B359" s="12">
        <v>45837.0</v>
      </c>
      <c r="C359" s="8" t="s">
        <v>562</v>
      </c>
      <c r="D359" s="8" t="s">
        <v>1665</v>
      </c>
      <c r="E359" s="8" t="s">
        <v>1899</v>
      </c>
      <c r="F359" s="8">
        <v>3.0</v>
      </c>
      <c r="G359" s="8">
        <v>158.72</v>
      </c>
      <c r="H359" s="8">
        <v>0.13</v>
      </c>
      <c r="I359" s="8">
        <f t="shared" si="1"/>
        <v>476.16</v>
      </c>
      <c r="J359" s="8">
        <f t="shared" si="2"/>
        <v>-61.7708</v>
      </c>
      <c r="K359" s="8" t="str">
        <f t="shared" si="3"/>
        <v>Jun</v>
      </c>
      <c r="L359" s="8">
        <f t="shared" si="4"/>
        <v>2025</v>
      </c>
      <c r="N359" s="8" t="str">
        <f t="array" ref="N359">XLOOKUP(C359,Customer_Dim!A:A,Customer_Dim!B:B,"Not Found")</f>
        <v>Jason Wheeler</v>
      </c>
      <c r="O359" s="8" t="str">
        <f t="array" ref="O359">XLOOKUP(C359,Customer_Dim!A:A,Customer_Dim!E:E,"Not Found")</f>
        <v>Carolview</v>
      </c>
      <c r="P359" s="8" t="str">
        <f t="array" ref="P359">XLOOKUP(D359,Product_Dim!A:A,Product_Dim!B:B,"Not Found")</f>
        <v>Decorative Floor Vase</v>
      </c>
      <c r="Q359" s="8" t="str">
        <f t="array" ref="Q359">XLOOKUP(D359,Product_Dim!A:A,Product_Dim!C:C,"Not Found")</f>
        <v>Home</v>
      </c>
      <c r="R359" s="8" t="str">
        <f t="array" ref="R359">XLOOKUP(E359,Store_Dim!A:A,Store_Dim!B:B,"Not Found")</f>
        <v>East</v>
      </c>
      <c r="S359" s="8" t="str">
        <f t="array" ref="S359">XLOOKUP(E359,Store_Dim!A:A,Store_Dim!D:D,"Not Found")</f>
        <v>Flagship</v>
      </c>
    </row>
    <row r="360" ht="14.25" customHeight="1">
      <c r="A360" s="8" t="s">
        <v>2313</v>
      </c>
      <c r="B360" s="12">
        <v>45838.0</v>
      </c>
      <c r="C360" s="8" t="s">
        <v>696</v>
      </c>
      <c r="D360" s="8" t="s">
        <v>1769</v>
      </c>
      <c r="E360" s="8" t="s">
        <v>1935</v>
      </c>
      <c r="F360" s="8">
        <v>4.0</v>
      </c>
      <c r="G360" s="8">
        <v>537.15</v>
      </c>
      <c r="H360" s="8">
        <v>0.06</v>
      </c>
      <c r="I360" s="8">
        <f t="shared" si="1"/>
        <v>2148.6</v>
      </c>
      <c r="J360" s="8">
        <f t="shared" si="2"/>
        <v>-128.856</v>
      </c>
      <c r="K360" s="8" t="str">
        <f t="shared" si="3"/>
        <v>Jun</v>
      </c>
      <c r="L360" s="8">
        <f t="shared" si="4"/>
        <v>2025</v>
      </c>
      <c r="N360" s="8" t="str">
        <f t="array" ref="N360">XLOOKUP(C360,Customer_Dim!A:A,Customer_Dim!B:B,"Not Found")</f>
        <v>Antonio Jones</v>
      </c>
      <c r="O360" s="8" t="str">
        <f t="array" ref="O360">XLOOKUP(C360,Customer_Dim!A:A,Customer_Dim!E:E,"Not Found")</f>
        <v>Matthewborough</v>
      </c>
      <c r="P360" s="8" t="str">
        <f t="array" ref="P360">XLOOKUP(D360,Product_Dim!A:A,Product_Dim!B:B,"Not Found")</f>
        <v>Luxury Perfume Spray</v>
      </c>
      <c r="Q360" s="8" t="str">
        <f t="array" ref="Q360">XLOOKUP(D360,Product_Dim!A:A,Product_Dim!C:C,"Not Found")</f>
        <v>Beauty</v>
      </c>
      <c r="R360" s="8" t="str">
        <f t="array" ref="R360">XLOOKUP(E360,Store_Dim!A:A,Store_Dim!B:B,"Not Found")</f>
        <v>West</v>
      </c>
      <c r="S360" s="8" t="str">
        <f t="array" ref="S360">XLOOKUP(E360,Store_Dim!A:A,Store_Dim!D:D,"Not Found")</f>
        <v>Flagship</v>
      </c>
    </row>
    <row r="361" ht="14.25" customHeight="1">
      <c r="A361" s="8" t="s">
        <v>2314</v>
      </c>
      <c r="B361" s="12">
        <v>45839.0</v>
      </c>
      <c r="C361" s="8" t="s">
        <v>1311</v>
      </c>
      <c r="D361" s="8" t="s">
        <v>1710</v>
      </c>
      <c r="E361" s="8" t="s">
        <v>1924</v>
      </c>
      <c r="F361" s="8">
        <v>3.0</v>
      </c>
      <c r="G361" s="8">
        <v>771.7</v>
      </c>
      <c r="H361" s="8">
        <v>0.05</v>
      </c>
      <c r="I361" s="8">
        <f t="shared" si="1"/>
        <v>2315.1</v>
      </c>
      <c r="J361" s="8">
        <f t="shared" si="2"/>
        <v>-115.705</v>
      </c>
      <c r="K361" s="8" t="str">
        <f t="shared" si="3"/>
        <v>Jul</v>
      </c>
      <c r="L361" s="8">
        <f t="shared" si="4"/>
        <v>2025</v>
      </c>
      <c r="N361" s="8" t="str">
        <f t="array" ref="N361">XLOOKUP(C361,Customer_Dim!A:A,Customer_Dim!B:B,"Not Found")</f>
        <v>Karen King</v>
      </c>
      <c r="O361" s="8" t="str">
        <f t="array" ref="O361">XLOOKUP(C361,Customer_Dim!A:A,Customer_Dim!E:E,"Not Found")</f>
        <v>Kimburgh</v>
      </c>
      <c r="P361" s="8" t="str">
        <f t="array" ref="P361">XLOOKUP(D361,Product_Dim!A:A,Product_Dim!B:B,"Not Found")</f>
        <v>Yoga Exercise Mat</v>
      </c>
      <c r="Q361" s="8" t="str">
        <f t="array" ref="Q361">XLOOKUP(D361,Product_Dim!A:A,Product_Dim!C:C,"Not Found")</f>
        <v>Sports</v>
      </c>
      <c r="R361" s="8" t="str">
        <f t="array" ref="R361">XLOOKUP(E361,Store_Dim!A:A,Store_Dim!B:B,"Not Found")</f>
        <v>South</v>
      </c>
      <c r="S361" s="8" t="str">
        <f t="array" ref="S361">XLOOKUP(E361,Store_Dim!A:A,Store_Dim!D:D,"Not Found")</f>
        <v>Flagship</v>
      </c>
    </row>
    <row r="362" ht="14.25" customHeight="1">
      <c r="A362" s="8" t="s">
        <v>2315</v>
      </c>
      <c r="B362" s="12">
        <v>45840.0</v>
      </c>
      <c r="C362" s="8" t="s">
        <v>391</v>
      </c>
      <c r="D362" s="8" t="s">
        <v>1854</v>
      </c>
      <c r="E362" s="8" t="s">
        <v>1903</v>
      </c>
      <c r="F362" s="8">
        <v>4.0</v>
      </c>
      <c r="G362" s="8">
        <v>677.25</v>
      </c>
      <c r="H362" s="8">
        <v>0.14</v>
      </c>
      <c r="I362" s="8">
        <f t="shared" si="1"/>
        <v>2709</v>
      </c>
      <c r="J362" s="8">
        <f t="shared" si="2"/>
        <v>-379.12</v>
      </c>
      <c r="K362" s="8" t="str">
        <f t="shared" si="3"/>
        <v>Jul</v>
      </c>
      <c r="L362" s="8">
        <f t="shared" si="4"/>
        <v>2025</v>
      </c>
      <c r="N362" s="8" t="str">
        <f t="array" ref="N362">XLOOKUP(C362,Customer_Dim!A:A,Customer_Dim!B:B,"Not Found")</f>
        <v>Travis Holland</v>
      </c>
      <c r="O362" s="8" t="str">
        <f t="array" ref="O362">XLOOKUP(C362,Customer_Dim!A:A,Customer_Dim!E:E,"Not Found")</f>
        <v>Webstermouth</v>
      </c>
      <c r="P362" s="8" t="str">
        <f t="array" ref="P362">XLOOKUP(D362,Product_Dim!A:A,Product_Dim!B:B,"Not Found")</f>
        <v>Sports Wrist Sweatbands</v>
      </c>
      <c r="Q362" s="8" t="str">
        <f t="array" ref="Q362">XLOOKUP(D362,Product_Dim!A:A,Product_Dim!C:C,"Not Found")</f>
        <v>Sports</v>
      </c>
      <c r="R362" s="8" t="str">
        <f t="array" ref="R362">XLOOKUP(E362,Store_Dim!A:A,Store_Dim!B:B,"Not Found")</f>
        <v>North</v>
      </c>
      <c r="S362" s="8" t="str">
        <f t="array" ref="S362">XLOOKUP(E362,Store_Dim!A:A,Store_Dim!D:D,"Not Found")</f>
        <v>Flagship</v>
      </c>
    </row>
    <row r="363" ht="14.25" customHeight="1">
      <c r="A363" s="8" t="s">
        <v>2316</v>
      </c>
      <c r="B363" s="12">
        <v>45841.0</v>
      </c>
      <c r="C363" s="8" t="s">
        <v>373</v>
      </c>
      <c r="D363" s="8" t="s">
        <v>1884</v>
      </c>
      <c r="E363" s="8" t="s">
        <v>1928</v>
      </c>
      <c r="F363" s="8">
        <v>1.0</v>
      </c>
      <c r="G363" s="8">
        <v>645.48</v>
      </c>
      <c r="H363" s="8">
        <v>0.26</v>
      </c>
      <c r="I363" s="8">
        <f t="shared" si="1"/>
        <v>645.48</v>
      </c>
      <c r="J363" s="8">
        <f t="shared" si="2"/>
        <v>-167.5648</v>
      </c>
      <c r="K363" s="8" t="str">
        <f t="shared" si="3"/>
        <v>Jul</v>
      </c>
      <c r="L363" s="8">
        <f t="shared" si="4"/>
        <v>2025</v>
      </c>
      <c r="N363" s="8" t="str">
        <f t="array" ref="N363">XLOOKUP(C363,Customer_Dim!A:A,Customer_Dim!B:B,"Not Found")</f>
        <v>Sarah Schneider</v>
      </c>
      <c r="O363" s="8" t="str">
        <f t="array" ref="O363">XLOOKUP(C363,Customer_Dim!A:A,Customer_Dim!E:E,"Not Found")</f>
        <v>Port Joshuachester</v>
      </c>
      <c r="P363" s="8" t="str">
        <f t="array" ref="P363">XLOOKUP(D363,Product_Dim!A:A,Product_Dim!B:B,"Not Found")</f>
        <v>Portable Bluetooth Speaker</v>
      </c>
      <c r="Q363" s="8" t="str">
        <f t="array" ref="Q363">XLOOKUP(D363,Product_Dim!A:A,Product_Dim!C:C,"Not Found")</f>
        <v>Electronics</v>
      </c>
      <c r="R363" s="8" t="str">
        <f t="array" ref="R363">XLOOKUP(E363,Store_Dim!A:A,Store_Dim!B:B,"Not Found")</f>
        <v>South</v>
      </c>
      <c r="S363" s="8" t="str">
        <f t="array" ref="S363">XLOOKUP(E363,Store_Dim!A:A,Store_Dim!D:D,"Not Found")</f>
        <v>Online</v>
      </c>
    </row>
    <row r="364" ht="14.25" customHeight="1">
      <c r="A364" s="8" t="s">
        <v>2317</v>
      </c>
      <c r="B364" s="12">
        <v>45842.0</v>
      </c>
      <c r="C364" s="8" t="s">
        <v>1143</v>
      </c>
      <c r="D364" s="8" t="s">
        <v>1809</v>
      </c>
      <c r="E364" s="8" t="s">
        <v>1906</v>
      </c>
      <c r="F364" s="8">
        <v>2.0</v>
      </c>
      <c r="G364" s="8">
        <v>934.0</v>
      </c>
      <c r="H364" s="8">
        <v>0.3</v>
      </c>
      <c r="I364" s="8">
        <f t="shared" si="1"/>
        <v>1868</v>
      </c>
      <c r="J364" s="8">
        <f t="shared" si="2"/>
        <v>-560.1</v>
      </c>
      <c r="K364" s="8" t="str">
        <f t="shared" si="3"/>
        <v>Jul</v>
      </c>
      <c r="L364" s="8">
        <f t="shared" si="4"/>
        <v>2025</v>
      </c>
      <c r="N364" s="8" t="str">
        <f t="array" ref="N364">XLOOKUP(C364,Customer_Dim!A:A,Customer_Dim!B:B,"Not Found")</f>
        <v>Denise Tate</v>
      </c>
      <c r="O364" s="8" t="str">
        <f t="array" ref="O364">XLOOKUP(C364,Customer_Dim!A:A,Customer_Dim!E:E,"Not Found")</f>
        <v>Andersonside</v>
      </c>
      <c r="P364" s="8" t="str">
        <f t="array" ref="P364">XLOOKUP(D364,Product_Dim!A:A,Product_Dim!B:B,"Not Found")</f>
        <v>Shin Guards – Adult</v>
      </c>
      <c r="Q364" s="8" t="str">
        <f t="array" ref="Q364">XLOOKUP(D364,Product_Dim!A:A,Product_Dim!C:C,"Not Found")</f>
        <v>Sports</v>
      </c>
      <c r="R364" s="8" t="str">
        <f t="array" ref="R364">XLOOKUP(E364,Store_Dim!A:A,Store_Dim!B:B,"Not Found")</f>
        <v>South</v>
      </c>
      <c r="S364" s="8" t="str">
        <f t="array" ref="S364">XLOOKUP(E364,Store_Dim!A:A,Store_Dim!D:D,"Not Found")</f>
        <v>Outlet</v>
      </c>
    </row>
    <row r="365" ht="14.25" customHeight="1">
      <c r="A365" s="8" t="s">
        <v>2318</v>
      </c>
      <c r="B365" s="12">
        <v>45843.0</v>
      </c>
      <c r="C365" s="8" t="s">
        <v>1065</v>
      </c>
      <c r="D365" s="8" t="s">
        <v>1725</v>
      </c>
      <c r="E365" s="8" t="s">
        <v>1906</v>
      </c>
      <c r="F365" s="8">
        <v>1.0</v>
      </c>
      <c r="G365" s="8">
        <v>669.53</v>
      </c>
      <c r="H365" s="8">
        <v>0.2</v>
      </c>
      <c r="I365" s="8">
        <f t="shared" si="1"/>
        <v>669.53</v>
      </c>
      <c r="J365" s="8">
        <f t="shared" si="2"/>
        <v>-133.706</v>
      </c>
      <c r="K365" s="8" t="str">
        <f t="shared" si="3"/>
        <v>Jul</v>
      </c>
      <c r="L365" s="8">
        <f t="shared" si="4"/>
        <v>2025</v>
      </c>
      <c r="N365" s="8" t="str">
        <f t="array" ref="N365">XLOOKUP(C365,Customer_Dim!A:A,Customer_Dim!B:B,"Not Found")</f>
        <v>Mr. Christopher Sims</v>
      </c>
      <c r="O365" s="8" t="str">
        <f t="array" ref="O365">XLOOKUP(C365,Customer_Dim!A:A,Customer_Dim!E:E,"Not Found")</f>
        <v>Donaldsontown</v>
      </c>
      <c r="P365" s="8" t="str">
        <f t="array" ref="P365">XLOOKUP(D365,Product_Dim!A:A,Product_Dim!B:B,"Not Found")</f>
        <v>Men's Winter Jacket</v>
      </c>
      <c r="Q365" s="8" t="str">
        <f t="array" ref="Q365">XLOOKUP(D365,Product_Dim!A:A,Product_Dim!C:C,"Not Found")</f>
        <v>Clothing</v>
      </c>
      <c r="R365" s="8" t="str">
        <f t="array" ref="R365">XLOOKUP(E365,Store_Dim!A:A,Store_Dim!B:B,"Not Found")</f>
        <v>South</v>
      </c>
      <c r="S365" s="8" t="str">
        <f t="array" ref="S365">XLOOKUP(E365,Store_Dim!A:A,Store_Dim!D:D,"Not Found")</f>
        <v>Outlet</v>
      </c>
    </row>
    <row r="366" ht="14.25" customHeight="1">
      <c r="A366" s="8" t="s">
        <v>2319</v>
      </c>
      <c r="B366" s="12">
        <v>45844.0</v>
      </c>
      <c r="C366" s="8" t="s">
        <v>714</v>
      </c>
      <c r="D366" s="8" t="s">
        <v>1690</v>
      </c>
      <c r="E366" s="8" t="s">
        <v>1939</v>
      </c>
      <c r="F366" s="8">
        <v>1.0</v>
      </c>
      <c r="G366" s="8">
        <v>213.69</v>
      </c>
      <c r="H366" s="8">
        <v>0.28</v>
      </c>
      <c r="I366" s="8">
        <f t="shared" si="1"/>
        <v>213.69</v>
      </c>
      <c r="J366" s="8">
        <f t="shared" si="2"/>
        <v>-59.5532</v>
      </c>
      <c r="K366" s="8" t="str">
        <f t="shared" si="3"/>
        <v>Jul</v>
      </c>
      <c r="L366" s="8">
        <f t="shared" si="4"/>
        <v>2025</v>
      </c>
      <c r="N366" s="8" t="str">
        <f t="array" ref="N366">XLOOKUP(C366,Customer_Dim!A:A,Customer_Dim!B:B,"Not Found")</f>
        <v>Kathryn Garcia</v>
      </c>
      <c r="O366" s="8" t="str">
        <f t="array" ref="O366">XLOOKUP(C366,Customer_Dim!A:A,Customer_Dim!E:E,"Not Found")</f>
        <v>Morrismouth</v>
      </c>
      <c r="P366" s="8" t="str">
        <f t="array" ref="P366">XLOOKUP(D366,Product_Dim!A:A,Product_Dim!B:B,"Not Found")</f>
        <v>Bedroom Table Lamp</v>
      </c>
      <c r="Q366" s="8" t="str">
        <f t="array" ref="Q366">XLOOKUP(D366,Product_Dim!A:A,Product_Dim!C:C,"Not Found")</f>
        <v>Home</v>
      </c>
      <c r="R366" s="8" t="str">
        <f t="array" ref="R366">XLOOKUP(E366,Store_Dim!A:A,Store_Dim!B:B,"Not Found")</f>
        <v>East</v>
      </c>
      <c r="S366" s="8" t="str">
        <f t="array" ref="S366">XLOOKUP(E366,Store_Dim!A:A,Store_Dim!D:D,"Not Found")</f>
        <v>Flagship</v>
      </c>
    </row>
    <row r="367" ht="14.25" customHeight="1">
      <c r="A367" s="8" t="s">
        <v>2320</v>
      </c>
      <c r="B367" s="12">
        <v>45845.0</v>
      </c>
      <c r="C367" s="8" t="s">
        <v>291</v>
      </c>
      <c r="D367" s="8" t="s">
        <v>1645</v>
      </c>
      <c r="E367" s="8" t="s">
        <v>1941</v>
      </c>
      <c r="F367" s="8">
        <v>2.0</v>
      </c>
      <c r="G367" s="8">
        <v>99.1</v>
      </c>
      <c r="H367" s="8">
        <v>0.2</v>
      </c>
      <c r="I367" s="8">
        <f t="shared" si="1"/>
        <v>198.2</v>
      </c>
      <c r="J367" s="8">
        <f t="shared" si="2"/>
        <v>-39.44</v>
      </c>
      <c r="K367" s="8" t="str">
        <f t="shared" si="3"/>
        <v>Jul</v>
      </c>
      <c r="L367" s="8">
        <f t="shared" si="4"/>
        <v>2025</v>
      </c>
      <c r="N367" s="8" t="str">
        <f t="array" ref="N367">XLOOKUP(C367,Customer_Dim!A:A,Customer_Dim!B:B,"Not Found")</f>
        <v>Katherine Young</v>
      </c>
      <c r="O367" s="8" t="str">
        <f t="array" ref="O367">XLOOKUP(C367,Customer_Dim!A:A,Customer_Dim!E:E,"Not Found")</f>
        <v>North Valeriemouth</v>
      </c>
      <c r="P367" s="8" t="str">
        <f t="array" ref="P367">XLOOKUP(D367,Product_Dim!A:A,Product_Dim!B:B,"Not Found")</f>
        <v>Multi-Purpose Storage Box</v>
      </c>
      <c r="Q367" s="8" t="str">
        <f t="array" ref="Q367">XLOOKUP(D367,Product_Dim!A:A,Product_Dim!C:C,"Not Found")</f>
        <v>Home</v>
      </c>
      <c r="R367" s="8" t="str">
        <f t="array" ref="R367">XLOOKUP(E367,Store_Dim!A:A,Store_Dim!B:B,"Not Found")</f>
        <v>East</v>
      </c>
      <c r="S367" s="8" t="str">
        <f t="array" ref="S367">XLOOKUP(E367,Store_Dim!A:A,Store_Dim!D:D,"Not Found")</f>
        <v>Online</v>
      </c>
    </row>
    <row r="368" ht="14.25" customHeight="1">
      <c r="A368" s="8" t="s">
        <v>2321</v>
      </c>
      <c r="B368" s="12">
        <v>45846.0</v>
      </c>
      <c r="C368" s="8" t="s">
        <v>1173</v>
      </c>
      <c r="D368" s="8" t="s">
        <v>1696</v>
      </c>
      <c r="E368" s="8" t="s">
        <v>1935</v>
      </c>
      <c r="F368" s="8">
        <v>1.0</v>
      </c>
      <c r="G368" s="8">
        <v>628.98</v>
      </c>
      <c r="H368" s="8">
        <v>0.03</v>
      </c>
      <c r="I368" s="8">
        <f t="shared" si="1"/>
        <v>628.98</v>
      </c>
      <c r="J368" s="8">
        <f t="shared" si="2"/>
        <v>-18.8394</v>
      </c>
      <c r="K368" s="8" t="str">
        <f t="shared" si="3"/>
        <v>Jul</v>
      </c>
      <c r="L368" s="8">
        <f t="shared" si="4"/>
        <v>2025</v>
      </c>
      <c r="N368" s="8" t="str">
        <f t="array" ref="N368">XLOOKUP(C368,Customer_Dim!A:A,Customer_Dim!B:B,"Not Found")</f>
        <v>James Holloway Jr.</v>
      </c>
      <c r="O368" s="8" t="str">
        <f t="array" ref="O368">XLOOKUP(C368,Customer_Dim!A:A,Customer_Dim!E:E,"Not Found")</f>
        <v>Millston</v>
      </c>
      <c r="P368" s="8" t="str">
        <f t="array" ref="P368">XLOOKUP(D368,Product_Dim!A:A,Product_Dim!B:B,"Not Found")</f>
        <v>Men's Casual Sneakers</v>
      </c>
      <c r="Q368" s="8" t="str">
        <f t="array" ref="Q368">XLOOKUP(D368,Product_Dim!A:A,Product_Dim!C:C,"Not Found")</f>
        <v>Clothing</v>
      </c>
      <c r="R368" s="8" t="str">
        <f t="array" ref="R368">XLOOKUP(E368,Store_Dim!A:A,Store_Dim!B:B,"Not Found")</f>
        <v>West</v>
      </c>
      <c r="S368" s="8" t="str">
        <f t="array" ref="S368">XLOOKUP(E368,Store_Dim!A:A,Store_Dim!D:D,"Not Found")</f>
        <v>Flagship</v>
      </c>
    </row>
    <row r="369" ht="14.25" customHeight="1">
      <c r="A369" s="8" t="s">
        <v>2322</v>
      </c>
      <c r="B369" s="12">
        <v>45847.0</v>
      </c>
      <c r="C369" s="8" t="s">
        <v>317</v>
      </c>
      <c r="D369" s="8" t="s">
        <v>1842</v>
      </c>
      <c r="E369" s="8" t="s">
        <v>1912</v>
      </c>
      <c r="F369" s="8">
        <v>3.0</v>
      </c>
      <c r="G369" s="8">
        <v>944.64</v>
      </c>
      <c r="H369" s="8">
        <v>0.26</v>
      </c>
      <c r="I369" s="8">
        <f t="shared" si="1"/>
        <v>2833.92</v>
      </c>
      <c r="J369" s="8">
        <f t="shared" si="2"/>
        <v>-736.5592</v>
      </c>
      <c r="K369" s="8" t="str">
        <f t="shared" si="3"/>
        <v>Jul</v>
      </c>
      <c r="L369" s="8">
        <f t="shared" si="4"/>
        <v>2025</v>
      </c>
      <c r="N369" s="8" t="str">
        <f t="array" ref="N369">XLOOKUP(C369,Customer_Dim!A:A,Customer_Dim!B:B,"Not Found")</f>
        <v>Richard Delgado</v>
      </c>
      <c r="O369" s="8" t="str">
        <f t="array" ref="O369">XLOOKUP(C369,Customer_Dim!A:A,Customer_Dim!E:E,"Not Found")</f>
        <v>West Theodorechester</v>
      </c>
      <c r="P369" s="8" t="str">
        <f t="array" ref="P369">XLOOKUP(D369,Product_Dim!A:A,Product_Dim!B:B,"Not Found")</f>
        <v>Wooden Bookshelf</v>
      </c>
      <c r="Q369" s="8" t="str">
        <f t="array" ref="Q369">XLOOKUP(D369,Product_Dim!A:A,Product_Dim!C:C,"Not Found")</f>
        <v>Home</v>
      </c>
      <c r="R369" s="8" t="str">
        <f t="array" ref="R369">XLOOKUP(E369,Store_Dim!A:A,Store_Dim!B:B,"Not Found")</f>
        <v>South</v>
      </c>
      <c r="S369" s="8" t="str">
        <f t="array" ref="S369">XLOOKUP(E369,Store_Dim!A:A,Store_Dim!D:D,"Not Found")</f>
        <v>Online</v>
      </c>
    </row>
    <row r="370" ht="14.25" customHeight="1">
      <c r="A370" s="8" t="s">
        <v>2323</v>
      </c>
      <c r="B370" s="12">
        <v>45848.0</v>
      </c>
      <c r="C370" s="8" t="s">
        <v>1468</v>
      </c>
      <c r="D370" s="8" t="s">
        <v>1869</v>
      </c>
      <c r="E370" s="8" t="s">
        <v>1929</v>
      </c>
      <c r="F370" s="8">
        <v>2.0</v>
      </c>
      <c r="G370" s="8">
        <v>121.7</v>
      </c>
      <c r="H370" s="8">
        <v>0.06</v>
      </c>
      <c r="I370" s="8">
        <f t="shared" si="1"/>
        <v>243.4</v>
      </c>
      <c r="J370" s="8">
        <f t="shared" si="2"/>
        <v>-14.544</v>
      </c>
      <c r="K370" s="8" t="str">
        <f t="shared" si="3"/>
        <v>Jul</v>
      </c>
      <c r="L370" s="8">
        <f t="shared" si="4"/>
        <v>2025</v>
      </c>
      <c r="N370" s="8" t="str">
        <f t="array" ref="N370">XLOOKUP(C370,Customer_Dim!A:A,Customer_Dim!B:B,"Not Found")</f>
        <v>Debra Mccullough</v>
      </c>
      <c r="O370" s="8" t="str">
        <f t="array" ref="O370">XLOOKUP(C370,Customer_Dim!A:A,Customer_Dim!E:E,"Not Found")</f>
        <v>Mcdanielfurt</v>
      </c>
      <c r="P370" s="8" t="str">
        <f t="array" ref="P370">XLOOKUP(D370,Product_Dim!A:A,Product_Dim!B:B,"Not Found")</f>
        <v>USB-C Laptop Charger</v>
      </c>
      <c r="Q370" s="8" t="str">
        <f t="array" ref="Q370">XLOOKUP(D370,Product_Dim!A:A,Product_Dim!C:C,"Not Found")</f>
        <v>Electronics</v>
      </c>
      <c r="R370" s="8" t="str">
        <f t="array" ref="R370">XLOOKUP(E370,Store_Dim!A:A,Store_Dim!B:B,"Not Found")</f>
        <v>North</v>
      </c>
      <c r="S370" s="8" t="str">
        <f t="array" ref="S370">XLOOKUP(E370,Store_Dim!A:A,Store_Dim!D:D,"Not Found")</f>
        <v>Online</v>
      </c>
    </row>
    <row r="371" ht="14.25" customHeight="1">
      <c r="A371" s="8" t="s">
        <v>2324</v>
      </c>
      <c r="B371" s="12">
        <v>45849.0</v>
      </c>
      <c r="C371" s="8" t="s">
        <v>1402</v>
      </c>
      <c r="D371" s="8" t="s">
        <v>1784</v>
      </c>
      <c r="E371" s="8" t="s">
        <v>1910</v>
      </c>
      <c r="F371" s="8">
        <v>4.0</v>
      </c>
      <c r="G371" s="8">
        <v>269.49</v>
      </c>
      <c r="H371" s="8">
        <v>0.07</v>
      </c>
      <c r="I371" s="8">
        <f t="shared" si="1"/>
        <v>1077.96</v>
      </c>
      <c r="J371" s="8">
        <f t="shared" si="2"/>
        <v>-75.3872</v>
      </c>
      <c r="K371" s="8" t="str">
        <f t="shared" si="3"/>
        <v>Jul</v>
      </c>
      <c r="L371" s="8">
        <f t="shared" si="4"/>
        <v>2025</v>
      </c>
      <c r="N371" s="8" t="str">
        <f t="array" ref="N371">XLOOKUP(C371,Customer_Dim!A:A,Customer_Dim!B:B,"Not Found")</f>
        <v>Eric Holmes</v>
      </c>
      <c r="O371" s="8" t="str">
        <f t="array" ref="O371">XLOOKUP(C371,Customer_Dim!A:A,Customer_Dim!E:E,"Not Found")</f>
        <v>Smithville</v>
      </c>
      <c r="P371" s="8" t="str">
        <f t="array" ref="P371">XLOOKUP(D371,Product_Dim!A:A,Product_Dim!B:B,"Not Found")</f>
        <v>Adjustable Dumbbells 20kg</v>
      </c>
      <c r="Q371" s="8" t="str">
        <f t="array" ref="Q371">XLOOKUP(D371,Product_Dim!A:A,Product_Dim!C:C,"Not Found")</f>
        <v>Sports</v>
      </c>
      <c r="R371" s="8" t="str">
        <f t="array" ref="R371">XLOOKUP(E371,Store_Dim!A:A,Store_Dim!B:B,"Not Found")</f>
        <v>North</v>
      </c>
      <c r="S371" s="8" t="str">
        <f t="array" ref="S371">XLOOKUP(E371,Store_Dim!A:A,Store_Dim!D:D,"Not Found")</f>
        <v>Outlet</v>
      </c>
    </row>
    <row r="372" ht="14.25" customHeight="1">
      <c r="A372" s="8" t="s">
        <v>2325</v>
      </c>
      <c r="B372" s="12">
        <v>45850.0</v>
      </c>
      <c r="C372" s="8" t="s">
        <v>363</v>
      </c>
      <c r="D372" s="8" t="s">
        <v>1649</v>
      </c>
      <c r="E372" s="8" t="s">
        <v>1939</v>
      </c>
      <c r="F372" s="8">
        <v>1.0</v>
      </c>
      <c r="G372" s="8">
        <v>678.2</v>
      </c>
      <c r="H372" s="8">
        <v>0.14</v>
      </c>
      <c r="I372" s="8">
        <f t="shared" si="1"/>
        <v>678.2</v>
      </c>
      <c r="J372" s="8">
        <f t="shared" si="2"/>
        <v>-94.808</v>
      </c>
      <c r="K372" s="8" t="str">
        <f t="shared" si="3"/>
        <v>Jul</v>
      </c>
      <c r="L372" s="8">
        <f t="shared" si="4"/>
        <v>2025</v>
      </c>
      <c r="N372" s="8" t="str">
        <f t="array" ref="N372">XLOOKUP(C372,Customer_Dim!A:A,Customer_Dim!B:B,"Not Found")</f>
        <v>Sheila Wilson</v>
      </c>
      <c r="O372" s="8" t="str">
        <f t="array" ref="O372">XLOOKUP(C372,Customer_Dim!A:A,Customer_Dim!E:E,"Not Found")</f>
        <v>South Dustin</v>
      </c>
      <c r="P372" s="8" t="str">
        <f t="array" ref="P372">XLOOKUP(D372,Product_Dim!A:A,Product_Dim!B:B,"Not Found")</f>
        <v>Carbon Fiber Tennis Racket</v>
      </c>
      <c r="Q372" s="8" t="str">
        <f t="array" ref="Q372">XLOOKUP(D372,Product_Dim!A:A,Product_Dim!C:C,"Not Found")</f>
        <v>Sports</v>
      </c>
      <c r="R372" s="8" t="str">
        <f t="array" ref="R372">XLOOKUP(E372,Store_Dim!A:A,Store_Dim!B:B,"Not Found")</f>
        <v>East</v>
      </c>
      <c r="S372" s="8" t="str">
        <f t="array" ref="S372">XLOOKUP(E372,Store_Dim!A:A,Store_Dim!D:D,"Not Found")</f>
        <v>Flagship</v>
      </c>
    </row>
    <row r="373" ht="14.25" customHeight="1">
      <c r="A373" s="8" t="s">
        <v>2326</v>
      </c>
      <c r="B373" s="12">
        <v>45851.0</v>
      </c>
      <c r="C373" s="8" t="s">
        <v>758</v>
      </c>
      <c r="D373" s="8" t="s">
        <v>1860</v>
      </c>
      <c r="E373" s="8" t="s">
        <v>1931</v>
      </c>
      <c r="F373" s="8">
        <v>1.0</v>
      </c>
      <c r="G373" s="8">
        <v>752.45</v>
      </c>
      <c r="H373" s="8">
        <v>0.21</v>
      </c>
      <c r="I373" s="8">
        <f t="shared" si="1"/>
        <v>752.45</v>
      </c>
      <c r="J373" s="8">
        <f t="shared" si="2"/>
        <v>-157.8045</v>
      </c>
      <c r="K373" s="8" t="str">
        <f t="shared" si="3"/>
        <v>Jul</v>
      </c>
      <c r="L373" s="8">
        <f t="shared" si="4"/>
        <v>2025</v>
      </c>
      <c r="N373" s="8" t="str">
        <f t="array" ref="N373">XLOOKUP(C373,Customer_Dim!A:A,Customer_Dim!B:B,"Not Found")</f>
        <v>Timothy Juarez</v>
      </c>
      <c r="O373" s="8" t="str">
        <f t="array" ref="O373">XLOOKUP(C373,Customer_Dim!A:A,Customer_Dim!E:E,"Not Found")</f>
        <v>Grahamstad</v>
      </c>
      <c r="P373" s="8" t="str">
        <f t="array" ref="P373">XLOOKUP(D373,Product_Dim!A:A,Product_Dim!B:B,"Not Found")</f>
        <v>Gaming Mouse Pad XL</v>
      </c>
      <c r="Q373" s="8" t="str">
        <f t="array" ref="Q373">XLOOKUP(D373,Product_Dim!A:A,Product_Dim!C:C,"Not Found")</f>
        <v>Electronics</v>
      </c>
      <c r="R373" s="8" t="str">
        <f t="array" ref="R373">XLOOKUP(E373,Store_Dim!A:A,Store_Dim!B:B,"Not Found")</f>
        <v>East</v>
      </c>
      <c r="S373" s="8" t="str">
        <f t="array" ref="S373">XLOOKUP(E373,Store_Dim!A:A,Store_Dim!D:D,"Not Found")</f>
        <v>Flagship</v>
      </c>
    </row>
    <row r="374" ht="14.25" customHeight="1">
      <c r="A374" s="8" t="s">
        <v>2327</v>
      </c>
      <c r="B374" s="12">
        <v>45852.0</v>
      </c>
      <c r="C374" s="8" t="s">
        <v>157</v>
      </c>
      <c r="D374" s="8" t="s">
        <v>1872</v>
      </c>
      <c r="E374" s="8" t="s">
        <v>1931</v>
      </c>
      <c r="F374" s="8">
        <v>2.0</v>
      </c>
      <c r="G374" s="8">
        <v>209.66</v>
      </c>
      <c r="H374" s="8">
        <v>0.21</v>
      </c>
      <c r="I374" s="8">
        <f t="shared" si="1"/>
        <v>419.32</v>
      </c>
      <c r="J374" s="8">
        <f t="shared" si="2"/>
        <v>-87.8472</v>
      </c>
      <c r="K374" s="8" t="str">
        <f t="shared" si="3"/>
        <v>Jul</v>
      </c>
      <c r="L374" s="8">
        <f t="shared" si="4"/>
        <v>2025</v>
      </c>
      <c r="N374" s="8" t="str">
        <f t="array" ref="N374">XLOOKUP(C374,Customer_Dim!A:A,Customer_Dim!B:B,"Not Found")</f>
        <v>Christopher Carter</v>
      </c>
      <c r="O374" s="8" t="str">
        <f t="array" ref="O374">XLOOKUP(C374,Customer_Dim!A:A,Customer_Dim!E:E,"Not Found")</f>
        <v>Brendastad</v>
      </c>
      <c r="P374" s="8" t="str">
        <f t="array" ref="P374">XLOOKUP(D374,Product_Dim!A:A,Product_Dim!B:B,"Not Found")</f>
        <v>Vitamin E Body Lotion</v>
      </c>
      <c r="Q374" s="8" t="str">
        <f t="array" ref="Q374">XLOOKUP(D374,Product_Dim!A:A,Product_Dim!C:C,"Not Found")</f>
        <v>Beauty</v>
      </c>
      <c r="R374" s="8" t="str">
        <f t="array" ref="R374">XLOOKUP(E374,Store_Dim!A:A,Store_Dim!B:B,"Not Found")</f>
        <v>East</v>
      </c>
      <c r="S374" s="8" t="str">
        <f t="array" ref="S374">XLOOKUP(E374,Store_Dim!A:A,Store_Dim!D:D,"Not Found")</f>
        <v>Flagship</v>
      </c>
    </row>
    <row r="375" ht="14.25" customHeight="1">
      <c r="A375" s="8" t="s">
        <v>2328</v>
      </c>
      <c r="B375" s="12">
        <v>45853.0</v>
      </c>
      <c r="C375" s="8" t="s">
        <v>550</v>
      </c>
      <c r="D375" s="8" t="s">
        <v>1881</v>
      </c>
      <c r="E375" s="8" t="s">
        <v>1941</v>
      </c>
      <c r="F375" s="8">
        <v>2.0</v>
      </c>
      <c r="G375" s="8">
        <v>739.95</v>
      </c>
      <c r="H375" s="8">
        <v>0.1</v>
      </c>
      <c r="I375" s="8">
        <f t="shared" si="1"/>
        <v>1479.9</v>
      </c>
      <c r="J375" s="8">
        <f t="shared" si="2"/>
        <v>-147.89</v>
      </c>
      <c r="K375" s="8" t="str">
        <f t="shared" si="3"/>
        <v>Jul</v>
      </c>
      <c r="L375" s="8">
        <f t="shared" si="4"/>
        <v>2025</v>
      </c>
      <c r="N375" s="8" t="str">
        <f t="array" ref="N375">XLOOKUP(C375,Customer_Dim!A:A,Customer_Dim!B:B,"Not Found")</f>
        <v>Cynthia Morris</v>
      </c>
      <c r="O375" s="8" t="str">
        <f t="array" ref="O375">XLOOKUP(C375,Customer_Dim!A:A,Customer_Dim!E:E,"Not Found")</f>
        <v>Hessmouth</v>
      </c>
      <c r="P375" s="8" t="str">
        <f t="array" ref="P375">XLOOKUP(D375,Product_Dim!A:A,Product_Dim!B:B,"Not Found")</f>
        <v>Cricket Bat</v>
      </c>
      <c r="Q375" s="8" t="str">
        <f t="array" ref="Q375">XLOOKUP(D375,Product_Dim!A:A,Product_Dim!C:C,"Not Found")</f>
        <v>Sports</v>
      </c>
      <c r="R375" s="8" t="str">
        <f t="array" ref="R375">XLOOKUP(E375,Store_Dim!A:A,Store_Dim!B:B,"Not Found")</f>
        <v>East</v>
      </c>
      <c r="S375" s="8" t="str">
        <f t="array" ref="S375">XLOOKUP(E375,Store_Dim!A:A,Store_Dim!D:D,"Not Found")</f>
        <v>Online</v>
      </c>
    </row>
    <row r="376" ht="14.25" customHeight="1">
      <c r="A376" s="8" t="s">
        <v>2329</v>
      </c>
      <c r="B376" s="12">
        <v>45854.0</v>
      </c>
      <c r="C376" s="8" t="s">
        <v>1462</v>
      </c>
      <c r="D376" s="8" t="s">
        <v>1722</v>
      </c>
      <c r="E376" s="8" t="s">
        <v>1933</v>
      </c>
      <c r="F376" s="8">
        <v>1.0</v>
      </c>
      <c r="G376" s="8">
        <v>496.19</v>
      </c>
      <c r="H376" s="8">
        <v>0.08</v>
      </c>
      <c r="I376" s="8">
        <f t="shared" si="1"/>
        <v>496.19</v>
      </c>
      <c r="J376" s="8">
        <f t="shared" si="2"/>
        <v>-39.6152</v>
      </c>
      <c r="K376" s="8" t="str">
        <f t="shared" si="3"/>
        <v>Jul</v>
      </c>
      <c r="L376" s="8">
        <f t="shared" si="4"/>
        <v>2025</v>
      </c>
      <c r="N376" s="8" t="str">
        <f t="array" ref="N376">XLOOKUP(C376,Customer_Dim!A:A,Customer_Dim!B:B,"Not Found")</f>
        <v>James Foster</v>
      </c>
      <c r="O376" s="8" t="str">
        <f t="array" ref="O376">XLOOKUP(C376,Customer_Dim!A:A,Customer_Dim!E:E,"Not Found")</f>
        <v>East Audrey</v>
      </c>
      <c r="P376" s="8" t="str">
        <f t="array" ref="P376">XLOOKUP(D376,Product_Dim!A:A,Product_Dim!B:B,"Not Found")</f>
        <v>High-Grip Football</v>
      </c>
      <c r="Q376" s="8" t="str">
        <f t="array" ref="Q376">XLOOKUP(D376,Product_Dim!A:A,Product_Dim!C:C,"Not Found")</f>
        <v>Sports</v>
      </c>
      <c r="R376" s="8" t="str">
        <f t="array" ref="R376">XLOOKUP(E376,Store_Dim!A:A,Store_Dim!B:B,"Not Found")</f>
        <v>North</v>
      </c>
      <c r="S376" s="8" t="str">
        <f t="array" ref="S376">XLOOKUP(E376,Store_Dim!A:A,Store_Dim!D:D,"Not Found")</f>
        <v>Flagship</v>
      </c>
    </row>
    <row r="377" ht="14.25" customHeight="1">
      <c r="A377" s="8" t="s">
        <v>2330</v>
      </c>
      <c r="B377" s="12">
        <v>45855.0</v>
      </c>
      <c r="C377" s="8" t="s">
        <v>182</v>
      </c>
      <c r="D377" s="8" t="s">
        <v>1601</v>
      </c>
      <c r="E377" s="8" t="s">
        <v>1929</v>
      </c>
      <c r="F377" s="8">
        <v>1.0</v>
      </c>
      <c r="G377" s="8">
        <v>306.36</v>
      </c>
      <c r="H377" s="8">
        <v>0.01</v>
      </c>
      <c r="I377" s="8">
        <f t="shared" si="1"/>
        <v>306.36</v>
      </c>
      <c r="J377" s="8">
        <f t="shared" si="2"/>
        <v>-3.0536</v>
      </c>
      <c r="K377" s="8" t="str">
        <f t="shared" si="3"/>
        <v>Jul</v>
      </c>
      <c r="L377" s="8">
        <f t="shared" si="4"/>
        <v>2025</v>
      </c>
      <c r="N377" s="8" t="str">
        <f t="array" ref="N377">XLOOKUP(C377,Customer_Dim!A:A,Customer_Dim!B:B,"Not Found")</f>
        <v>Denise Williams</v>
      </c>
      <c r="O377" s="8" t="str">
        <f t="array" ref="O377">XLOOKUP(C377,Customer_Dim!A:A,Customer_Dim!E:E,"Not Found")</f>
        <v>Christianstad</v>
      </c>
      <c r="P377" s="8" t="str">
        <f t="array" ref="P377">XLOOKUP(D377,Product_Dim!A:A,Product_Dim!B:B,"Not Found")</f>
        <v>Adjustable Dumbbell Set</v>
      </c>
      <c r="Q377" s="8" t="str">
        <f t="array" ref="Q377">XLOOKUP(D377,Product_Dim!A:A,Product_Dim!C:C,"Not Found")</f>
        <v>Sports</v>
      </c>
      <c r="R377" s="8" t="str">
        <f t="array" ref="R377">XLOOKUP(E377,Store_Dim!A:A,Store_Dim!B:B,"Not Found")</f>
        <v>North</v>
      </c>
      <c r="S377" s="8" t="str">
        <f t="array" ref="S377">XLOOKUP(E377,Store_Dim!A:A,Store_Dim!D:D,"Not Found")</f>
        <v>Online</v>
      </c>
    </row>
    <row r="378" ht="14.25" customHeight="1">
      <c r="A378" s="8" t="s">
        <v>2331</v>
      </c>
      <c r="B378" s="12">
        <v>45856.0</v>
      </c>
      <c r="C378" s="8" t="s">
        <v>427</v>
      </c>
      <c r="D378" s="8" t="s">
        <v>1809</v>
      </c>
      <c r="E378" s="8" t="s">
        <v>1912</v>
      </c>
      <c r="F378" s="8">
        <v>4.0</v>
      </c>
      <c r="G378" s="8">
        <v>693.16</v>
      </c>
      <c r="H378" s="8">
        <v>0.05</v>
      </c>
      <c r="I378" s="8">
        <f t="shared" si="1"/>
        <v>2772.64</v>
      </c>
      <c r="J378" s="8">
        <f t="shared" si="2"/>
        <v>-138.582</v>
      </c>
      <c r="K378" s="8" t="str">
        <f t="shared" si="3"/>
        <v>Jul</v>
      </c>
      <c r="L378" s="8">
        <f t="shared" si="4"/>
        <v>2025</v>
      </c>
      <c r="N378" s="8" t="str">
        <f t="array" ref="N378">XLOOKUP(C378,Customer_Dim!A:A,Customer_Dim!B:B,"Not Found")</f>
        <v>Jacob Hopkins</v>
      </c>
      <c r="O378" s="8" t="str">
        <f t="array" ref="O378">XLOOKUP(C378,Customer_Dim!A:A,Customer_Dim!E:E,"Not Found")</f>
        <v>lake tylerfort</v>
      </c>
      <c r="P378" s="8" t="str">
        <f t="array" ref="P378">XLOOKUP(D378,Product_Dim!A:A,Product_Dim!B:B,"Not Found")</f>
        <v>Shin Guards – Adult</v>
      </c>
      <c r="Q378" s="8" t="str">
        <f t="array" ref="Q378">XLOOKUP(D378,Product_Dim!A:A,Product_Dim!C:C,"Not Found")</f>
        <v>Sports</v>
      </c>
      <c r="R378" s="8" t="str">
        <f t="array" ref="R378">XLOOKUP(E378,Store_Dim!A:A,Store_Dim!B:B,"Not Found")</f>
        <v>South</v>
      </c>
      <c r="S378" s="8" t="str">
        <f t="array" ref="S378">XLOOKUP(E378,Store_Dim!A:A,Store_Dim!D:D,"Not Found")</f>
        <v>Online</v>
      </c>
    </row>
    <row r="379" ht="14.25" customHeight="1">
      <c r="A379" s="8" t="s">
        <v>2332</v>
      </c>
      <c r="B379" s="12">
        <v>45857.0</v>
      </c>
      <c r="C379" s="8" t="s">
        <v>1421</v>
      </c>
      <c r="D379" s="8" t="s">
        <v>1839</v>
      </c>
      <c r="E379" s="8" t="s">
        <v>1926</v>
      </c>
      <c r="F379" s="8">
        <v>1.0</v>
      </c>
      <c r="G379" s="8">
        <v>995.52</v>
      </c>
      <c r="H379" s="8">
        <v>0.22</v>
      </c>
      <c r="I379" s="8">
        <f t="shared" si="1"/>
        <v>995.52</v>
      </c>
      <c r="J379" s="8">
        <f t="shared" si="2"/>
        <v>-218.7944</v>
      </c>
      <c r="K379" s="8" t="str">
        <f t="shared" si="3"/>
        <v>Jul</v>
      </c>
      <c r="L379" s="8">
        <f t="shared" si="4"/>
        <v>2025</v>
      </c>
      <c r="N379" s="8" t="str">
        <f t="array" ref="N379">XLOOKUP(C379,Customer_Dim!A:A,Customer_Dim!B:B,"Not Found")</f>
        <v>Tyler Weber</v>
      </c>
      <c r="O379" s="8" t="str">
        <f t="array" ref="O379">XLOOKUP(C379,Customer_Dim!A:A,Customer_Dim!E:E,"Not Found")</f>
        <v>East Yvette</v>
      </c>
      <c r="P379" s="8" t="str">
        <f t="array" ref="P379">XLOOKUP(D379,Product_Dim!A:A,Product_Dim!B:B,"Not Found")</f>
        <v>Hydrating Face Cleanser</v>
      </c>
      <c r="Q379" s="8" t="str">
        <f t="array" ref="Q379">XLOOKUP(D379,Product_Dim!A:A,Product_Dim!C:C,"Not Found")</f>
        <v>Beauty</v>
      </c>
      <c r="R379" s="8" t="str">
        <f t="array" ref="R379">XLOOKUP(E379,Store_Dim!A:A,Store_Dim!B:B,"Not Found")</f>
        <v>East</v>
      </c>
      <c r="S379" s="8" t="str">
        <f t="array" ref="S379">XLOOKUP(E379,Store_Dim!A:A,Store_Dim!D:D,"Not Found")</f>
        <v>Online</v>
      </c>
    </row>
    <row r="380" ht="14.25" customHeight="1">
      <c r="A380" s="8" t="s">
        <v>2333</v>
      </c>
      <c r="B380" s="12">
        <v>45858.0</v>
      </c>
      <c r="C380" s="8" t="s">
        <v>442</v>
      </c>
      <c r="D380" s="8" t="s">
        <v>1592</v>
      </c>
      <c r="E380" s="8" t="s">
        <v>1939</v>
      </c>
      <c r="F380" s="8">
        <v>4.0</v>
      </c>
      <c r="G380" s="8">
        <v>241.32</v>
      </c>
      <c r="H380" s="8">
        <v>0.29</v>
      </c>
      <c r="I380" s="8">
        <f t="shared" si="1"/>
        <v>965.28</v>
      </c>
      <c r="J380" s="8">
        <f t="shared" si="2"/>
        <v>-279.6412</v>
      </c>
      <c r="K380" s="8" t="str">
        <f t="shared" si="3"/>
        <v>Jul</v>
      </c>
      <c r="L380" s="8">
        <f t="shared" si="4"/>
        <v>2025</v>
      </c>
      <c r="N380" s="8" t="str">
        <f t="array" ref="N380">XLOOKUP(C380,Customer_Dim!A:A,Customer_Dim!B:B,"Not Found")</f>
        <v>Keith Miller</v>
      </c>
      <c r="O380" s="8" t="str">
        <f t="array" ref="O380">XLOOKUP(C380,Customer_Dim!A:A,Customer_Dim!E:E,"Not Found")</f>
        <v>West Jameston</v>
      </c>
      <c r="P380" s="8" t="str">
        <f t="array" ref="P380">XLOOKUP(D380,Product_Dim!A:A,Product_Dim!B:B,"Not Found")</f>
        <v>LED Table Lamp</v>
      </c>
      <c r="Q380" s="8" t="str">
        <f t="array" ref="Q380">XLOOKUP(D380,Product_Dim!A:A,Product_Dim!C:C,"Not Found")</f>
        <v>Home</v>
      </c>
      <c r="R380" s="8" t="str">
        <f t="array" ref="R380">XLOOKUP(E380,Store_Dim!A:A,Store_Dim!B:B,"Not Found")</f>
        <v>East</v>
      </c>
      <c r="S380" s="8" t="str">
        <f t="array" ref="S380">XLOOKUP(E380,Store_Dim!A:A,Store_Dim!D:D,"Not Found")</f>
        <v>Flagship</v>
      </c>
    </row>
    <row r="381" ht="14.25" customHeight="1">
      <c r="A381" s="8" t="s">
        <v>2334</v>
      </c>
      <c r="B381" s="12">
        <v>45859.0</v>
      </c>
      <c r="C381" s="8" t="s">
        <v>782</v>
      </c>
      <c r="D381" s="8" t="s">
        <v>1824</v>
      </c>
      <c r="E381" s="8" t="s">
        <v>1903</v>
      </c>
      <c r="F381" s="8">
        <v>3.0</v>
      </c>
      <c r="G381" s="8">
        <v>636.03</v>
      </c>
      <c r="H381" s="8">
        <v>0.06</v>
      </c>
      <c r="I381" s="8">
        <f t="shared" si="1"/>
        <v>1908.09</v>
      </c>
      <c r="J381" s="8">
        <f t="shared" si="2"/>
        <v>-114.4254</v>
      </c>
      <c r="K381" s="8" t="str">
        <f t="shared" si="3"/>
        <v>Jul</v>
      </c>
      <c r="L381" s="8">
        <f t="shared" si="4"/>
        <v>2025</v>
      </c>
      <c r="N381" s="8" t="str">
        <f t="array" ref="N381">XLOOKUP(C381,Customer_Dim!A:A,Customer_Dim!B:B,"Not Found")</f>
        <v>Maria Hill</v>
      </c>
      <c r="O381" s="8" t="str">
        <f t="array" ref="O381">XLOOKUP(C381,Customer_Dim!A:A,Customer_Dim!E:E,"Not Found")</f>
        <v>Zamoraborough</v>
      </c>
      <c r="P381" s="8" t="str">
        <f t="array" ref="P381">XLOOKUP(D381,Product_Dim!A:A,Product_Dim!B:B,"Not Found")</f>
        <v>Essential Oil Diffuser</v>
      </c>
      <c r="Q381" s="8" t="str">
        <f t="array" ref="Q381">XLOOKUP(D381,Product_Dim!A:A,Product_Dim!C:C,"Not Found")</f>
        <v>Home</v>
      </c>
      <c r="R381" s="8" t="str">
        <f t="array" ref="R381">XLOOKUP(E381,Store_Dim!A:A,Store_Dim!B:B,"Not Found")</f>
        <v>North</v>
      </c>
      <c r="S381" s="8" t="str">
        <f t="array" ref="S381">XLOOKUP(E381,Store_Dim!A:A,Store_Dim!D:D,"Not Found")</f>
        <v>Flagship</v>
      </c>
    </row>
    <row r="382" ht="14.25" customHeight="1">
      <c r="A382" s="8" t="s">
        <v>2335</v>
      </c>
      <c r="B382" s="12">
        <v>45860.0</v>
      </c>
      <c r="C382" s="8" t="s">
        <v>354</v>
      </c>
      <c r="D382" s="8" t="s">
        <v>1579</v>
      </c>
      <c r="E382" s="8" t="s">
        <v>1941</v>
      </c>
      <c r="F382" s="8">
        <v>4.0</v>
      </c>
      <c r="G382" s="8">
        <v>603.31</v>
      </c>
      <c r="H382" s="8">
        <v>0.15</v>
      </c>
      <c r="I382" s="8">
        <f t="shared" si="1"/>
        <v>2413.24</v>
      </c>
      <c r="J382" s="8">
        <f t="shared" si="2"/>
        <v>-361.836</v>
      </c>
      <c r="K382" s="8" t="str">
        <f t="shared" si="3"/>
        <v>Jul</v>
      </c>
      <c r="L382" s="8">
        <f t="shared" si="4"/>
        <v>2025</v>
      </c>
      <c r="N382" s="8" t="str">
        <f t="array" ref="N382">XLOOKUP(C382,Customer_Dim!A:A,Customer_Dim!B:B,"Not Found")</f>
        <v>Samantha Walker</v>
      </c>
      <c r="O382" s="8" t="str">
        <f t="array" ref="O382">XLOOKUP(C382,Customer_Dim!A:A,Customer_Dim!E:E,"Not Found")</f>
        <v>Timothyburgh</v>
      </c>
      <c r="P382" s="8" t="str">
        <f t="array" ref="P382">XLOOKUP(D382,Product_Dim!A:A,Product_Dim!B:B,"Not Found")</f>
        <v>Women's Yoga Pants</v>
      </c>
      <c r="Q382" s="8" t="str">
        <f t="array" ref="Q382">XLOOKUP(D382,Product_Dim!A:A,Product_Dim!C:C,"Not Found")</f>
        <v>Clothing</v>
      </c>
      <c r="R382" s="8" t="str">
        <f t="array" ref="R382">XLOOKUP(E382,Store_Dim!A:A,Store_Dim!B:B,"Not Found")</f>
        <v>East</v>
      </c>
      <c r="S382" s="8" t="str">
        <f t="array" ref="S382">XLOOKUP(E382,Store_Dim!A:A,Store_Dim!D:D,"Not Found")</f>
        <v>Online</v>
      </c>
    </row>
    <row r="383" ht="14.25" customHeight="1">
      <c r="A383" s="8" t="s">
        <v>2336</v>
      </c>
      <c r="B383" s="12">
        <v>45861.0</v>
      </c>
      <c r="C383" s="8" t="s">
        <v>285</v>
      </c>
      <c r="D383" s="8" t="s">
        <v>1857</v>
      </c>
      <c r="E383" s="8" t="s">
        <v>1926</v>
      </c>
      <c r="F383" s="8">
        <v>3.0</v>
      </c>
      <c r="G383" s="8">
        <v>437.96</v>
      </c>
      <c r="H383" s="8">
        <v>0.27</v>
      </c>
      <c r="I383" s="8">
        <f t="shared" si="1"/>
        <v>1313.88</v>
      </c>
      <c r="J383" s="8">
        <f t="shared" si="2"/>
        <v>-354.4776</v>
      </c>
      <c r="K383" s="8" t="str">
        <f t="shared" si="3"/>
        <v>Jul</v>
      </c>
      <c r="L383" s="8">
        <f t="shared" si="4"/>
        <v>2025</v>
      </c>
      <c r="N383" s="8" t="str">
        <f t="array" ref="N383">XLOOKUP(C383,Customer_Dim!A:A,Customer_Dim!B:B,"Not Found")</f>
        <v>Rhonda Morales</v>
      </c>
      <c r="O383" s="8" t="str">
        <f t="array" ref="O383">XLOOKUP(C383,Customer_Dim!A:A,Customer_Dim!E:E,"Not Found")</f>
        <v>Lake Barryfurt</v>
      </c>
      <c r="P383" s="8" t="str">
        <f t="array" ref="P383">XLOOKUP(D383,Product_Dim!A:A,Product_Dim!B:B,"Not Found")</f>
        <v>Face Foundation Kit</v>
      </c>
      <c r="Q383" s="8" t="str">
        <f t="array" ref="Q383">XLOOKUP(D383,Product_Dim!A:A,Product_Dim!C:C,"Not Found")</f>
        <v>Beauty</v>
      </c>
      <c r="R383" s="8" t="str">
        <f t="array" ref="R383">XLOOKUP(E383,Store_Dim!A:A,Store_Dim!B:B,"Not Found")</f>
        <v>East</v>
      </c>
      <c r="S383" s="8" t="str">
        <f t="array" ref="S383">XLOOKUP(E383,Store_Dim!A:A,Store_Dim!D:D,"Not Found")</f>
        <v>Online</v>
      </c>
    </row>
    <row r="384" ht="14.25" customHeight="1">
      <c r="A384" s="8" t="s">
        <v>2337</v>
      </c>
      <c r="B384" s="12">
        <v>45862.0</v>
      </c>
      <c r="C384" s="8" t="s">
        <v>690</v>
      </c>
      <c r="D384" s="8" t="s">
        <v>1687</v>
      </c>
      <c r="E384" s="8" t="s">
        <v>1912</v>
      </c>
      <c r="F384" s="8">
        <v>2.0</v>
      </c>
      <c r="G384" s="8">
        <v>56.91</v>
      </c>
      <c r="H384" s="8">
        <v>0.08</v>
      </c>
      <c r="I384" s="8">
        <f t="shared" si="1"/>
        <v>113.82</v>
      </c>
      <c r="J384" s="8">
        <f t="shared" si="2"/>
        <v>-9.0256</v>
      </c>
      <c r="K384" s="8" t="str">
        <f t="shared" si="3"/>
        <v>Jul</v>
      </c>
      <c r="L384" s="8">
        <f t="shared" si="4"/>
        <v>2025</v>
      </c>
      <c r="N384" s="8" t="str">
        <f t="array" ref="N384">XLOOKUP(C384,Customer_Dim!A:A,Customer_Dim!B:B,"Not Found")</f>
        <v>John Perez</v>
      </c>
      <c r="O384" s="8" t="str">
        <f t="array" ref="O384">XLOOKUP(C384,Customer_Dim!A:A,Customer_Dim!E:E,"Not Found")</f>
        <v>Kathrynview</v>
      </c>
      <c r="P384" s="8" t="str">
        <f t="array" ref="P384">XLOOKUP(D384,Product_Dim!A:A,Product_Dim!B:B,"Not Found")</f>
        <v>Gaming Mechanical Keyboard</v>
      </c>
      <c r="Q384" s="8" t="str">
        <f t="array" ref="Q384">XLOOKUP(D384,Product_Dim!A:A,Product_Dim!C:C,"Not Found")</f>
        <v>Electronics</v>
      </c>
      <c r="R384" s="8" t="str">
        <f t="array" ref="R384">XLOOKUP(E384,Store_Dim!A:A,Store_Dim!B:B,"Not Found")</f>
        <v>South</v>
      </c>
      <c r="S384" s="8" t="str">
        <f t="array" ref="S384">XLOOKUP(E384,Store_Dim!A:A,Store_Dim!D:D,"Not Found")</f>
        <v>Online</v>
      </c>
    </row>
    <row r="385" ht="14.25" customHeight="1">
      <c r="A385" s="8" t="s">
        <v>2338</v>
      </c>
      <c r="B385" s="12">
        <v>45863.0</v>
      </c>
      <c r="C385" s="8" t="s">
        <v>1065</v>
      </c>
      <c r="D385" s="8" t="s">
        <v>1818</v>
      </c>
      <c r="E385" s="8" t="s">
        <v>1917</v>
      </c>
      <c r="F385" s="8">
        <v>1.0</v>
      </c>
      <c r="G385" s="8">
        <v>141.79</v>
      </c>
      <c r="H385" s="8">
        <v>0.1</v>
      </c>
      <c r="I385" s="8">
        <f t="shared" si="1"/>
        <v>141.79</v>
      </c>
      <c r="J385" s="8">
        <f t="shared" si="2"/>
        <v>-14.079</v>
      </c>
      <c r="K385" s="8" t="str">
        <f t="shared" si="3"/>
        <v>Jul</v>
      </c>
      <c r="L385" s="8">
        <f t="shared" si="4"/>
        <v>2025</v>
      </c>
      <c r="N385" s="8" t="str">
        <f t="array" ref="N385">XLOOKUP(C385,Customer_Dim!A:A,Customer_Dim!B:B,"Not Found")</f>
        <v>Mr. Christopher Sims</v>
      </c>
      <c r="O385" s="8" t="str">
        <f t="array" ref="O385">XLOOKUP(C385,Customer_Dim!A:A,Customer_Dim!E:E,"Not Found")</f>
        <v>Donaldsontown</v>
      </c>
      <c r="P385" s="8" t="str">
        <f t="array" ref="P385">XLOOKUP(D385,Product_Dim!A:A,Product_Dim!B:B,"Not Found")</f>
        <v>Wireless Mouse</v>
      </c>
      <c r="Q385" s="8" t="str">
        <f t="array" ref="Q385">XLOOKUP(D385,Product_Dim!A:A,Product_Dim!C:C,"Not Found")</f>
        <v>Electronics</v>
      </c>
      <c r="R385" s="8" t="str">
        <f t="array" ref="R385">XLOOKUP(E385,Store_Dim!A:A,Store_Dim!B:B,"Not Found")</f>
        <v>East</v>
      </c>
      <c r="S385" s="8" t="str">
        <f t="array" ref="S385">XLOOKUP(E385,Store_Dim!A:A,Store_Dim!D:D,"Not Found")</f>
        <v>Online</v>
      </c>
    </row>
    <row r="386" ht="14.25" customHeight="1">
      <c r="A386" s="8" t="s">
        <v>2339</v>
      </c>
      <c r="B386" s="12">
        <v>45864.0</v>
      </c>
      <c r="C386" s="8" t="s">
        <v>1503</v>
      </c>
      <c r="D386" s="8" t="s">
        <v>1601</v>
      </c>
      <c r="E386" s="8" t="s">
        <v>1933</v>
      </c>
      <c r="F386" s="8">
        <v>4.0</v>
      </c>
      <c r="G386" s="8">
        <v>355.14</v>
      </c>
      <c r="H386" s="8">
        <v>0.16</v>
      </c>
      <c r="I386" s="8">
        <f t="shared" si="1"/>
        <v>1420.56</v>
      </c>
      <c r="J386" s="8">
        <f t="shared" si="2"/>
        <v>-227.1296</v>
      </c>
      <c r="K386" s="8" t="str">
        <f t="shared" si="3"/>
        <v>Jul</v>
      </c>
      <c r="L386" s="8">
        <f t="shared" si="4"/>
        <v>2025</v>
      </c>
      <c r="N386" s="8" t="str">
        <f t="array" ref="N386">XLOOKUP(C386,Customer_Dim!A:A,Customer_Dim!B:B,"Not Found")</f>
        <v>Sarah Smith</v>
      </c>
      <c r="O386" s="8" t="str">
        <f t="array" ref="O386">XLOOKUP(C386,Customer_Dim!A:A,Customer_Dim!E:E,"Not Found")</f>
        <v>East Rodney</v>
      </c>
      <c r="P386" s="8" t="str">
        <f t="array" ref="P386">XLOOKUP(D386,Product_Dim!A:A,Product_Dim!B:B,"Not Found")</f>
        <v>Adjustable Dumbbell Set</v>
      </c>
      <c r="Q386" s="8" t="str">
        <f t="array" ref="Q386">XLOOKUP(D386,Product_Dim!A:A,Product_Dim!C:C,"Not Found")</f>
        <v>Sports</v>
      </c>
      <c r="R386" s="8" t="str">
        <f t="array" ref="R386">XLOOKUP(E386,Store_Dim!A:A,Store_Dim!B:B,"Not Found")</f>
        <v>North</v>
      </c>
      <c r="S386" s="8" t="str">
        <f t="array" ref="S386">XLOOKUP(E386,Store_Dim!A:A,Store_Dim!D:D,"Not Found")</f>
        <v>Flagship</v>
      </c>
    </row>
    <row r="387" ht="14.25" customHeight="1">
      <c r="A387" s="8" t="s">
        <v>2340</v>
      </c>
      <c r="B387" s="12">
        <v>45865.0</v>
      </c>
      <c r="C387" s="8" t="s">
        <v>699</v>
      </c>
      <c r="D387" s="8" t="s">
        <v>1700</v>
      </c>
      <c r="E387" s="8" t="s">
        <v>1917</v>
      </c>
      <c r="F387" s="8">
        <v>4.0</v>
      </c>
      <c r="G387" s="8">
        <v>960.38</v>
      </c>
      <c r="H387" s="8">
        <v>0.15</v>
      </c>
      <c r="I387" s="8">
        <f t="shared" si="1"/>
        <v>3841.52</v>
      </c>
      <c r="J387" s="8">
        <f t="shared" si="2"/>
        <v>-576.078</v>
      </c>
      <c r="K387" s="8" t="str">
        <f t="shared" si="3"/>
        <v>Jul</v>
      </c>
      <c r="L387" s="8">
        <f t="shared" si="4"/>
        <v>2025</v>
      </c>
      <c r="N387" s="8" t="str">
        <f t="array" ref="N387">XLOOKUP(C387,Customer_Dim!A:A,Customer_Dim!B:B,"Not Found")</f>
        <v>Rodney Huffman</v>
      </c>
      <c r="O387" s="8" t="str">
        <f t="array" ref="O387">XLOOKUP(C387,Customer_Dim!A:A,Customer_Dim!E:E,"Not Found")</f>
        <v>Garzafort</v>
      </c>
      <c r="P387" s="8" t="str">
        <f t="array" ref="P387">XLOOKUP(D387,Product_Dim!A:A,Product_Dim!B:B,"Not Found")</f>
        <v>Sports Water Hydration Pack</v>
      </c>
      <c r="Q387" s="8" t="str">
        <f t="array" ref="Q387">XLOOKUP(D387,Product_Dim!A:A,Product_Dim!C:C,"Not Found")</f>
        <v>Sports</v>
      </c>
      <c r="R387" s="8" t="str">
        <f t="array" ref="R387">XLOOKUP(E387,Store_Dim!A:A,Store_Dim!B:B,"Not Found")</f>
        <v>East</v>
      </c>
      <c r="S387" s="8" t="str">
        <f t="array" ref="S387">XLOOKUP(E387,Store_Dim!A:A,Store_Dim!D:D,"Not Found")</f>
        <v>Online</v>
      </c>
    </row>
    <row r="388" ht="14.25" customHeight="1">
      <c r="A388" s="8" t="s">
        <v>2341</v>
      </c>
      <c r="B388" s="12">
        <v>45866.0</v>
      </c>
      <c r="C388" s="8" t="s">
        <v>1320</v>
      </c>
      <c r="D388" s="8" t="s">
        <v>1797</v>
      </c>
      <c r="E388" s="8" t="s">
        <v>1935</v>
      </c>
      <c r="F388" s="8">
        <v>3.0</v>
      </c>
      <c r="G388" s="8">
        <v>847.21</v>
      </c>
      <c r="H388" s="8">
        <v>0.06</v>
      </c>
      <c r="I388" s="8">
        <f t="shared" si="1"/>
        <v>2541.63</v>
      </c>
      <c r="J388" s="8">
        <f t="shared" si="2"/>
        <v>-152.4378</v>
      </c>
      <c r="K388" s="8" t="str">
        <f t="shared" si="3"/>
        <v>Jul</v>
      </c>
      <c r="L388" s="8">
        <f t="shared" si="4"/>
        <v>2025</v>
      </c>
      <c r="N388" s="8" t="str">
        <f t="array" ref="N388">XLOOKUP(C388,Customer_Dim!A:A,Customer_Dim!B:B,"Not Found")</f>
        <v>Dr. Tamara White MD</v>
      </c>
      <c r="O388" s="8" t="str">
        <f t="array" ref="O388">XLOOKUP(C388,Customer_Dim!A:A,Customer_Dim!E:E,"Not Found")</f>
        <v>New Benjamin</v>
      </c>
      <c r="P388" s="8" t="str">
        <f t="array" ref="P388">XLOOKUP(D388,Product_Dim!A:A,Product_Dim!B:B,"Not Found")</f>
        <v>Men's Sports Shorts</v>
      </c>
      <c r="Q388" s="8" t="str">
        <f t="array" ref="Q388">XLOOKUP(D388,Product_Dim!A:A,Product_Dim!C:C,"Not Found")</f>
        <v>Clothing</v>
      </c>
      <c r="R388" s="8" t="str">
        <f t="array" ref="R388">XLOOKUP(E388,Store_Dim!A:A,Store_Dim!B:B,"Not Found")</f>
        <v>West</v>
      </c>
      <c r="S388" s="8" t="str">
        <f t="array" ref="S388">XLOOKUP(E388,Store_Dim!A:A,Store_Dim!D:D,"Not Found")</f>
        <v>Flagship</v>
      </c>
    </row>
    <row r="389" ht="14.25" customHeight="1">
      <c r="A389" s="8" t="s">
        <v>2342</v>
      </c>
      <c r="B389" s="12">
        <v>45867.0</v>
      </c>
      <c r="C389" s="8" t="s">
        <v>254</v>
      </c>
      <c r="D389" s="8" t="s">
        <v>1830</v>
      </c>
      <c r="E389" s="8" t="s">
        <v>1926</v>
      </c>
      <c r="F389" s="8">
        <v>4.0</v>
      </c>
      <c r="G389" s="8">
        <v>773.81</v>
      </c>
      <c r="H389" s="8">
        <v>0.08</v>
      </c>
      <c r="I389" s="8">
        <f t="shared" si="1"/>
        <v>3095.24</v>
      </c>
      <c r="J389" s="8">
        <f t="shared" si="2"/>
        <v>-247.5392</v>
      </c>
      <c r="K389" s="8" t="str">
        <f t="shared" si="3"/>
        <v>Jul</v>
      </c>
      <c r="L389" s="8">
        <f t="shared" si="4"/>
        <v>2025</v>
      </c>
      <c r="N389" s="8" t="str">
        <f t="array" ref="N389">XLOOKUP(C389,Customer_Dim!A:A,Customer_Dim!B:B,"Not Found")</f>
        <v>Cody Diaz</v>
      </c>
      <c r="O389" s="8" t="str">
        <f t="array" ref="O389">XLOOKUP(C389,Customer_Dim!A:A,Customer_Dim!E:E,"Not Found")</f>
        <v>South Aaronside</v>
      </c>
      <c r="P389" s="8" t="str">
        <f t="array" ref="P389">XLOOKUP(D389,Product_Dim!A:A,Product_Dim!B:B,"Not Found")</f>
        <v>Wall-Mounted Spice Rack</v>
      </c>
      <c r="Q389" s="8" t="str">
        <f t="array" ref="Q389">XLOOKUP(D389,Product_Dim!A:A,Product_Dim!C:C,"Not Found")</f>
        <v>Home</v>
      </c>
      <c r="R389" s="8" t="str">
        <f t="array" ref="R389">XLOOKUP(E389,Store_Dim!A:A,Store_Dim!B:B,"Not Found")</f>
        <v>East</v>
      </c>
      <c r="S389" s="8" t="str">
        <f t="array" ref="S389">XLOOKUP(E389,Store_Dim!A:A,Store_Dim!D:D,"Not Found")</f>
        <v>Online</v>
      </c>
    </row>
    <row r="390" ht="14.25" customHeight="1">
      <c r="A390" s="8" t="s">
        <v>2343</v>
      </c>
      <c r="B390" s="12">
        <v>45868.0</v>
      </c>
      <c r="C390" s="8" t="s">
        <v>14</v>
      </c>
      <c r="D390" s="8" t="s">
        <v>1778</v>
      </c>
      <c r="E390" s="8" t="s">
        <v>1935</v>
      </c>
      <c r="F390" s="8">
        <v>1.0</v>
      </c>
      <c r="G390" s="8">
        <v>664.71</v>
      </c>
      <c r="H390" s="8">
        <v>0.1</v>
      </c>
      <c r="I390" s="8">
        <f t="shared" si="1"/>
        <v>664.71</v>
      </c>
      <c r="J390" s="8">
        <f t="shared" si="2"/>
        <v>-66.371</v>
      </c>
      <c r="K390" s="8" t="str">
        <f t="shared" si="3"/>
        <v>Jul</v>
      </c>
      <c r="L390" s="8">
        <f t="shared" si="4"/>
        <v>2025</v>
      </c>
      <c r="N390" s="8" t="str">
        <f t="array" ref="N390">XLOOKUP(C390,Customer_Dim!A:A,Customer_Dim!B:B,"Not Found")</f>
        <v>  sheena bonilla  </v>
      </c>
      <c r="O390" s="8" t="str">
        <f t="array" ref="O390">XLOOKUP(C390,Customer_Dim!A:A,Customer_Dim!E:E,"Not Found")</f>
        <v>Donaldton</v>
      </c>
      <c r="P390" s="8" t="str">
        <f t="array" ref="P390">XLOOKUP(D390,Product_Dim!A:A,Product_Dim!B:B,"Not Found")</f>
        <v>Organic Sunscreen Lotion</v>
      </c>
      <c r="Q390" s="8" t="str">
        <f t="array" ref="Q390">XLOOKUP(D390,Product_Dim!A:A,Product_Dim!C:C,"Not Found")</f>
        <v>Beauty</v>
      </c>
      <c r="R390" s="8" t="str">
        <f t="array" ref="R390">XLOOKUP(E390,Store_Dim!A:A,Store_Dim!B:B,"Not Found")</f>
        <v>West</v>
      </c>
      <c r="S390" s="8" t="str">
        <f t="array" ref="S390">XLOOKUP(E390,Store_Dim!A:A,Store_Dim!D:D,"Not Found")</f>
        <v>Flagship</v>
      </c>
    </row>
    <row r="391" ht="14.25" customHeight="1">
      <c r="A391" s="8" t="s">
        <v>2344</v>
      </c>
      <c r="B391" s="12">
        <v>45869.0</v>
      </c>
      <c r="C391" s="8" t="s">
        <v>1104</v>
      </c>
      <c r="D391" s="8" t="s">
        <v>1696</v>
      </c>
      <c r="E391" s="8" t="s">
        <v>1919</v>
      </c>
      <c r="F391" s="8">
        <v>4.0</v>
      </c>
      <c r="G391" s="8">
        <v>482.06</v>
      </c>
      <c r="H391" s="8">
        <v>0.07</v>
      </c>
      <c r="I391" s="8">
        <f t="shared" si="1"/>
        <v>1928.24</v>
      </c>
      <c r="J391" s="8">
        <f t="shared" si="2"/>
        <v>-134.9068</v>
      </c>
      <c r="K391" s="8" t="str">
        <f t="shared" si="3"/>
        <v>Jul</v>
      </c>
      <c r="L391" s="8">
        <f t="shared" si="4"/>
        <v>2025</v>
      </c>
      <c r="N391" s="8" t="str">
        <f t="array" ref="N391">XLOOKUP(C391,Customer_Dim!A:A,Customer_Dim!B:B,"Not Found")</f>
        <v>Justin Mason DDS</v>
      </c>
      <c r="O391" s="8" t="str">
        <f t="array" ref="O391">XLOOKUP(C391,Customer_Dim!A:A,Customer_Dim!E:E,"Not Found")</f>
        <v>Peggystad</v>
      </c>
      <c r="P391" s="8" t="str">
        <f t="array" ref="P391">XLOOKUP(D391,Product_Dim!A:A,Product_Dim!B:B,"Not Found")</f>
        <v>Men's Casual Sneakers</v>
      </c>
      <c r="Q391" s="8" t="str">
        <f t="array" ref="Q391">XLOOKUP(D391,Product_Dim!A:A,Product_Dim!C:C,"Not Found")</f>
        <v>Clothing</v>
      </c>
      <c r="R391" s="8" t="str">
        <f t="array" ref="R391">XLOOKUP(E391,Store_Dim!A:A,Store_Dim!B:B,"Not Found")</f>
        <v>South</v>
      </c>
      <c r="S391" s="8" t="str">
        <f t="array" ref="S391">XLOOKUP(E391,Store_Dim!A:A,Store_Dim!D:D,"Not Found")</f>
        <v>Online</v>
      </c>
    </row>
    <row r="392" ht="14.25" customHeight="1">
      <c r="A392" s="8" t="s">
        <v>2345</v>
      </c>
      <c r="B392" s="12">
        <v>45870.0</v>
      </c>
      <c r="C392" s="8" t="s">
        <v>331</v>
      </c>
      <c r="D392" s="8" t="s">
        <v>1760</v>
      </c>
      <c r="E392" s="8" t="s">
        <v>1910</v>
      </c>
      <c r="F392" s="8">
        <v>4.0</v>
      </c>
      <c r="G392" s="8">
        <v>995.55</v>
      </c>
      <c r="H392" s="8">
        <v>0.19</v>
      </c>
      <c r="I392" s="8">
        <f t="shared" si="1"/>
        <v>3982.2</v>
      </c>
      <c r="J392" s="8">
        <f t="shared" si="2"/>
        <v>-756.428</v>
      </c>
      <c r="K392" s="8" t="str">
        <f t="shared" si="3"/>
        <v>Aug</v>
      </c>
      <c r="L392" s="8">
        <f t="shared" si="4"/>
        <v>2025</v>
      </c>
      <c r="N392" s="8" t="str">
        <f t="array" ref="N392">XLOOKUP(C392,Customer_Dim!A:A,Customer_Dim!B:B,"Not Found")</f>
        <v>Jamie Yoder</v>
      </c>
      <c r="O392" s="8" t="str">
        <f t="array" ref="O392">XLOOKUP(C392,Customer_Dim!A:A,Customer_Dim!E:E,"Not Found")</f>
        <v>New Gabrielleville</v>
      </c>
      <c r="P392" s="8" t="str">
        <f t="array" ref="P392">XLOOKUP(D392,Product_Dim!A:A,Product_Dim!B:B,"Not Found")</f>
        <v>Foam Roller</v>
      </c>
      <c r="Q392" s="8" t="str">
        <f t="array" ref="Q392">XLOOKUP(D392,Product_Dim!A:A,Product_Dim!C:C,"Not Found")</f>
        <v>Sports</v>
      </c>
      <c r="R392" s="8" t="str">
        <f t="array" ref="R392">XLOOKUP(E392,Store_Dim!A:A,Store_Dim!B:B,"Not Found")</f>
        <v>North</v>
      </c>
      <c r="S392" s="8" t="str">
        <f t="array" ref="S392">XLOOKUP(E392,Store_Dim!A:A,Store_Dim!D:D,"Not Found")</f>
        <v>Outlet</v>
      </c>
    </row>
    <row r="393" ht="14.25" customHeight="1">
      <c r="A393" s="8" t="s">
        <v>2346</v>
      </c>
      <c r="B393" s="12">
        <v>45871.0</v>
      </c>
      <c r="C393" s="8" t="s">
        <v>490</v>
      </c>
      <c r="D393" s="8" t="s">
        <v>1869</v>
      </c>
      <c r="E393" s="8" t="s">
        <v>1931</v>
      </c>
      <c r="F393" s="8">
        <v>2.0</v>
      </c>
      <c r="G393" s="8">
        <v>153.84</v>
      </c>
      <c r="H393" s="8">
        <v>0.27</v>
      </c>
      <c r="I393" s="8">
        <f t="shared" si="1"/>
        <v>307.68</v>
      </c>
      <c r="J393" s="8">
        <f t="shared" si="2"/>
        <v>-82.8036</v>
      </c>
      <c r="K393" s="8" t="str">
        <f t="shared" si="3"/>
        <v>Aug</v>
      </c>
      <c r="L393" s="8">
        <f t="shared" si="4"/>
        <v>2025</v>
      </c>
      <c r="N393" s="8" t="str">
        <f t="array" ref="N393">XLOOKUP(C393,Customer_Dim!A:A,Customer_Dim!B:B,"Not Found")</f>
        <v>Cristian Wright</v>
      </c>
      <c r="O393" s="8" t="str">
        <f t="array" ref="O393">XLOOKUP(C393,Customer_Dim!A:A,Customer_Dim!E:E,"Not Found")</f>
        <v>Port Denise</v>
      </c>
      <c r="P393" s="8" t="str">
        <f t="array" ref="P393">XLOOKUP(D393,Product_Dim!A:A,Product_Dim!B:B,"Not Found")</f>
        <v>USB-C Laptop Charger</v>
      </c>
      <c r="Q393" s="8" t="str">
        <f t="array" ref="Q393">XLOOKUP(D393,Product_Dim!A:A,Product_Dim!C:C,"Not Found")</f>
        <v>Electronics</v>
      </c>
      <c r="R393" s="8" t="str">
        <f t="array" ref="R393">XLOOKUP(E393,Store_Dim!A:A,Store_Dim!B:B,"Not Found")</f>
        <v>East</v>
      </c>
      <c r="S393" s="8" t="str">
        <f t="array" ref="S393">XLOOKUP(E393,Store_Dim!A:A,Store_Dim!D:D,"Not Found")</f>
        <v>Flagship</v>
      </c>
    </row>
    <row r="394" ht="14.25" customHeight="1">
      <c r="A394" s="8" t="s">
        <v>2347</v>
      </c>
      <c r="B394" s="12">
        <v>45872.0</v>
      </c>
      <c r="C394" s="8" t="s">
        <v>526</v>
      </c>
      <c r="D394" s="8" t="s">
        <v>1824</v>
      </c>
      <c r="E394" s="8" t="s">
        <v>1917</v>
      </c>
      <c r="F394" s="8">
        <v>3.0</v>
      </c>
      <c r="G394" s="8">
        <v>362.11</v>
      </c>
      <c r="H394" s="8">
        <v>0.23</v>
      </c>
      <c r="I394" s="8">
        <f t="shared" si="1"/>
        <v>1086.33</v>
      </c>
      <c r="J394" s="8">
        <f t="shared" si="2"/>
        <v>-249.6259</v>
      </c>
      <c r="K394" s="8" t="str">
        <f t="shared" si="3"/>
        <v>Aug</v>
      </c>
      <c r="L394" s="8">
        <f t="shared" si="4"/>
        <v>2025</v>
      </c>
      <c r="N394" s="8" t="str">
        <f t="array" ref="N394">XLOOKUP(C394,Customer_Dim!A:A,Customer_Dim!B:B,"Not Found")</f>
        <v>Joseph Faulkner</v>
      </c>
      <c r="O394" s="8" t="str">
        <f t="array" ref="O394">XLOOKUP(C394,Customer_Dim!A:A,Customer_Dim!E:E,"Not Found")</f>
        <v>New Leahfurt</v>
      </c>
      <c r="P394" s="8" t="str">
        <f t="array" ref="P394">XLOOKUP(D394,Product_Dim!A:A,Product_Dim!B:B,"Not Found")</f>
        <v>Essential Oil Diffuser</v>
      </c>
      <c r="Q394" s="8" t="str">
        <f t="array" ref="Q394">XLOOKUP(D394,Product_Dim!A:A,Product_Dim!C:C,"Not Found")</f>
        <v>Home</v>
      </c>
      <c r="R394" s="8" t="str">
        <f t="array" ref="R394">XLOOKUP(E394,Store_Dim!A:A,Store_Dim!B:B,"Not Found")</f>
        <v>East</v>
      </c>
      <c r="S394" s="8" t="str">
        <f t="array" ref="S394">XLOOKUP(E394,Store_Dim!A:A,Store_Dim!D:D,"Not Found")</f>
        <v>Online</v>
      </c>
    </row>
    <row r="395" ht="14.25" customHeight="1">
      <c r="A395" s="8" t="s">
        <v>2348</v>
      </c>
      <c r="B395" s="12">
        <v>45873.0</v>
      </c>
      <c r="C395" s="8" t="s">
        <v>1471</v>
      </c>
      <c r="D395" s="8" t="s">
        <v>1716</v>
      </c>
      <c r="E395" s="8" t="s">
        <v>1921</v>
      </c>
      <c r="F395" s="8">
        <v>3.0</v>
      </c>
      <c r="G395" s="8">
        <v>112.26</v>
      </c>
      <c r="H395" s="8">
        <v>0.11</v>
      </c>
      <c r="I395" s="8">
        <f t="shared" si="1"/>
        <v>336.78</v>
      </c>
      <c r="J395" s="8">
        <f t="shared" si="2"/>
        <v>-36.9358</v>
      </c>
      <c r="K395" s="8" t="str">
        <f t="shared" si="3"/>
        <v>Aug</v>
      </c>
      <c r="L395" s="8">
        <f t="shared" si="4"/>
        <v>2025</v>
      </c>
      <c r="N395" s="8" t="str">
        <f t="array" ref="N395">XLOOKUP(C395,Customer_Dim!A:A,Customer_Dim!B:B,"Not Found")</f>
        <v>Philip Mendoza</v>
      </c>
      <c r="O395" s="8" t="str">
        <f t="array" ref="O395">XLOOKUP(C395,Customer_Dim!A:A,Customer_Dim!E:E,"Not Found")</f>
        <v>Tylermouth</v>
      </c>
      <c r="P395" s="8" t="str">
        <f t="array" ref="P395">XLOOKUP(D395,Product_Dim!A:A,Product_Dim!B:B,"Not Found")</f>
        <v>USB External Hard Drive</v>
      </c>
      <c r="Q395" s="8" t="str">
        <f t="array" ref="Q395">XLOOKUP(D395,Product_Dim!A:A,Product_Dim!C:C,"Not Found")</f>
        <v>Electronics</v>
      </c>
      <c r="R395" s="8" t="str">
        <f t="array" ref="R395">XLOOKUP(E395,Store_Dim!A:A,Store_Dim!B:B,"Not Found")</f>
        <v>West</v>
      </c>
      <c r="S395" s="8" t="str">
        <f t="array" ref="S395">XLOOKUP(E395,Store_Dim!A:A,Store_Dim!D:D,"Not Found")</f>
        <v>Online</v>
      </c>
    </row>
    <row r="396" ht="14.25" customHeight="1">
      <c r="A396" s="8" t="s">
        <v>2349</v>
      </c>
      <c r="B396" s="12">
        <v>45874.0</v>
      </c>
      <c r="C396" s="8" t="s">
        <v>675</v>
      </c>
      <c r="D396" s="8" t="s">
        <v>1872</v>
      </c>
      <c r="E396" s="8" t="s">
        <v>1941</v>
      </c>
      <c r="F396" s="8">
        <v>2.0</v>
      </c>
      <c r="G396" s="8">
        <v>962.81</v>
      </c>
      <c r="H396" s="8">
        <v>0.06</v>
      </c>
      <c r="I396" s="8">
        <f t="shared" si="1"/>
        <v>1925.62</v>
      </c>
      <c r="J396" s="8">
        <f t="shared" si="2"/>
        <v>-115.4772</v>
      </c>
      <c r="K396" s="8" t="str">
        <f t="shared" si="3"/>
        <v>Aug</v>
      </c>
      <c r="L396" s="8">
        <f t="shared" si="4"/>
        <v>2025</v>
      </c>
      <c r="N396" s="8" t="str">
        <f t="array" ref="N396">XLOOKUP(C396,Customer_Dim!A:A,Customer_Dim!B:B,"Not Found")</f>
        <v>Sarah Brady</v>
      </c>
      <c r="O396" s="8" t="str">
        <f t="array" ref="O396">XLOOKUP(C396,Customer_Dim!A:A,Customer_Dim!E:E,"Not Found")</f>
        <v>Johnsonland</v>
      </c>
      <c r="P396" s="8" t="str">
        <f t="array" ref="P396">XLOOKUP(D396,Product_Dim!A:A,Product_Dim!B:B,"Not Found")</f>
        <v>Vitamin E Body Lotion</v>
      </c>
      <c r="Q396" s="8" t="str">
        <f t="array" ref="Q396">XLOOKUP(D396,Product_Dim!A:A,Product_Dim!C:C,"Not Found")</f>
        <v>Beauty</v>
      </c>
      <c r="R396" s="8" t="str">
        <f t="array" ref="R396">XLOOKUP(E396,Store_Dim!A:A,Store_Dim!B:B,"Not Found")</f>
        <v>East</v>
      </c>
      <c r="S396" s="8" t="str">
        <f t="array" ref="S396">XLOOKUP(E396,Store_Dim!A:A,Store_Dim!D:D,"Not Found")</f>
        <v>Online</v>
      </c>
    </row>
    <row r="397" ht="14.25" customHeight="1">
      <c r="A397" s="8" t="s">
        <v>2350</v>
      </c>
      <c r="B397" s="12">
        <v>45875.0</v>
      </c>
      <c r="C397" s="8" t="s">
        <v>705</v>
      </c>
      <c r="D397" s="8" t="s">
        <v>1645</v>
      </c>
      <c r="E397" s="8" t="s">
        <v>1899</v>
      </c>
      <c r="F397" s="8">
        <v>4.0</v>
      </c>
      <c r="G397" s="8">
        <v>276.23</v>
      </c>
      <c r="H397" s="8">
        <v>0.12</v>
      </c>
      <c r="I397" s="8">
        <f t="shared" si="1"/>
        <v>1104.92</v>
      </c>
      <c r="J397" s="8">
        <f t="shared" si="2"/>
        <v>-132.4704</v>
      </c>
      <c r="K397" s="8" t="str">
        <f t="shared" si="3"/>
        <v>Aug</v>
      </c>
      <c r="L397" s="8">
        <f t="shared" si="4"/>
        <v>2025</v>
      </c>
      <c r="N397" s="8" t="str">
        <f t="array" ref="N397">XLOOKUP(C397,Customer_Dim!A:A,Customer_Dim!B:B,"Not Found")</f>
        <v>Stuart Johnson</v>
      </c>
      <c r="O397" s="8" t="str">
        <f t="array" ref="O397">XLOOKUP(C397,Customer_Dim!A:A,Customer_Dim!E:E,"Not Found")</f>
        <v>West Markport</v>
      </c>
      <c r="P397" s="8" t="str">
        <f t="array" ref="P397">XLOOKUP(D397,Product_Dim!A:A,Product_Dim!B:B,"Not Found")</f>
        <v>Multi-Purpose Storage Box</v>
      </c>
      <c r="Q397" s="8" t="str">
        <f t="array" ref="Q397">XLOOKUP(D397,Product_Dim!A:A,Product_Dim!C:C,"Not Found")</f>
        <v>Home</v>
      </c>
      <c r="R397" s="8" t="str">
        <f t="array" ref="R397">XLOOKUP(E397,Store_Dim!A:A,Store_Dim!B:B,"Not Found")</f>
        <v>East</v>
      </c>
      <c r="S397" s="8" t="str">
        <f t="array" ref="S397">XLOOKUP(E397,Store_Dim!A:A,Store_Dim!D:D,"Not Found")</f>
        <v>Flagship</v>
      </c>
    </row>
    <row r="398" ht="14.25" customHeight="1">
      <c r="A398" s="8" t="s">
        <v>2351</v>
      </c>
      <c r="B398" s="12">
        <v>45876.0</v>
      </c>
      <c r="C398" s="8" t="s">
        <v>80</v>
      </c>
      <c r="D398" s="8" t="s">
        <v>1635</v>
      </c>
      <c r="E398" s="8" t="s">
        <v>1932</v>
      </c>
      <c r="F398" s="8">
        <v>3.0</v>
      </c>
      <c r="G398" s="8">
        <v>991.37</v>
      </c>
      <c r="H398" s="8">
        <v>0.1</v>
      </c>
      <c r="I398" s="8">
        <f t="shared" si="1"/>
        <v>2974.11</v>
      </c>
      <c r="J398" s="8">
        <f t="shared" si="2"/>
        <v>-297.311</v>
      </c>
      <c r="K398" s="8" t="str">
        <f t="shared" si="3"/>
        <v>Aug</v>
      </c>
      <c r="L398" s="8">
        <f t="shared" si="4"/>
        <v>2025</v>
      </c>
      <c r="N398" s="8" t="str">
        <f t="array" ref="N398">XLOOKUP(C398,Customer_Dim!A:A,Customer_Dim!B:B,"Not Found")</f>
        <v>Laura Alvarez</v>
      </c>
      <c r="O398" s="8" t="str">
        <f t="array" ref="O398">XLOOKUP(C398,Customer_Dim!A:A,Customer_Dim!E:E,"Not Found")</f>
        <v>Lawsonhaven</v>
      </c>
      <c r="P398" s="8" t="str">
        <f t="array" ref="P398">XLOOKUP(D398,Product_Dim!A:A,Product_Dim!B:B,"Not Found")</f>
        <v>Women's Denim Jeans</v>
      </c>
      <c r="Q398" s="8" t="str">
        <f t="array" ref="Q398">XLOOKUP(D398,Product_Dim!A:A,Product_Dim!C:C,"Not Found")</f>
        <v>Clothing</v>
      </c>
      <c r="R398" s="8" t="str">
        <f t="array" ref="R398">XLOOKUP(E398,Store_Dim!A:A,Store_Dim!B:B,"Not Found")</f>
        <v>South</v>
      </c>
      <c r="S398" s="8" t="str">
        <f t="array" ref="S398">XLOOKUP(E398,Store_Dim!A:A,Store_Dim!D:D,"Not Found")</f>
        <v>Outlet</v>
      </c>
    </row>
    <row r="399" ht="14.25" customHeight="1">
      <c r="A399" s="8" t="s">
        <v>2352</v>
      </c>
      <c r="B399" s="12">
        <v>45877.0</v>
      </c>
      <c r="C399" s="8" t="s">
        <v>571</v>
      </c>
      <c r="D399" s="8" t="s">
        <v>1645</v>
      </c>
      <c r="E399" s="8" t="s">
        <v>1931</v>
      </c>
      <c r="F399" s="8">
        <v>3.0</v>
      </c>
      <c r="G399" s="8">
        <v>977.47</v>
      </c>
      <c r="H399" s="8">
        <v>0.05</v>
      </c>
      <c r="I399" s="8">
        <f t="shared" si="1"/>
        <v>2932.41</v>
      </c>
      <c r="J399" s="8">
        <f t="shared" si="2"/>
        <v>-146.5705</v>
      </c>
      <c r="K399" s="8" t="str">
        <f t="shared" si="3"/>
        <v>Aug</v>
      </c>
      <c r="L399" s="8">
        <f t="shared" si="4"/>
        <v>2025</v>
      </c>
      <c r="N399" s="8" t="str">
        <f t="array" ref="N399">XLOOKUP(C399,Customer_Dim!A:A,Customer_Dim!B:B,"Not Found")</f>
        <v>Daniel Contreras</v>
      </c>
      <c r="O399" s="8" t="str">
        <f t="array" ref="O399">XLOOKUP(C399,Customer_Dim!A:A,Customer_Dim!E:E,"Not Found")</f>
        <v>Robertview</v>
      </c>
      <c r="P399" s="8" t="str">
        <f t="array" ref="P399">XLOOKUP(D399,Product_Dim!A:A,Product_Dim!B:B,"Not Found")</f>
        <v>Multi-Purpose Storage Box</v>
      </c>
      <c r="Q399" s="8" t="str">
        <f t="array" ref="Q399">XLOOKUP(D399,Product_Dim!A:A,Product_Dim!C:C,"Not Found")</f>
        <v>Home</v>
      </c>
      <c r="R399" s="8" t="str">
        <f t="array" ref="R399">XLOOKUP(E399,Store_Dim!A:A,Store_Dim!B:B,"Not Found")</f>
        <v>East</v>
      </c>
      <c r="S399" s="8" t="str">
        <f t="array" ref="S399">XLOOKUP(E399,Store_Dim!A:A,Store_Dim!D:D,"Not Found")</f>
        <v>Flagship</v>
      </c>
    </row>
    <row r="400" ht="14.25" customHeight="1">
      <c r="A400" s="8" t="s">
        <v>2353</v>
      </c>
      <c r="B400" s="12">
        <v>45878.0</v>
      </c>
      <c r="C400" s="8" t="s">
        <v>684</v>
      </c>
      <c r="D400" s="8" t="s">
        <v>1872</v>
      </c>
      <c r="E400" s="8" t="s">
        <v>1929</v>
      </c>
      <c r="F400" s="8">
        <v>2.0</v>
      </c>
      <c r="G400" s="8">
        <v>308.7</v>
      </c>
      <c r="H400" s="8">
        <v>0.2</v>
      </c>
      <c r="I400" s="8">
        <f t="shared" si="1"/>
        <v>617.4</v>
      </c>
      <c r="J400" s="8">
        <f t="shared" si="2"/>
        <v>-123.28</v>
      </c>
      <c r="K400" s="8" t="str">
        <f t="shared" si="3"/>
        <v>Aug</v>
      </c>
      <c r="L400" s="8">
        <f t="shared" si="4"/>
        <v>2025</v>
      </c>
      <c r="N400" s="8" t="str">
        <f t="array" ref="N400">XLOOKUP(C400,Customer_Dim!A:A,Customer_Dim!B:B,"Not Found")</f>
        <v>Ronald Jones</v>
      </c>
      <c r="O400" s="8" t="str">
        <f t="array" ref="O400">XLOOKUP(C400,Customer_Dim!A:A,Customer_Dim!E:E,"Not Found")</f>
        <v>Brownshire</v>
      </c>
      <c r="P400" s="8" t="str">
        <f t="array" ref="P400">XLOOKUP(D400,Product_Dim!A:A,Product_Dim!B:B,"Not Found")</f>
        <v>Vitamin E Body Lotion</v>
      </c>
      <c r="Q400" s="8" t="str">
        <f t="array" ref="Q400">XLOOKUP(D400,Product_Dim!A:A,Product_Dim!C:C,"Not Found")</f>
        <v>Beauty</v>
      </c>
      <c r="R400" s="8" t="str">
        <f t="array" ref="R400">XLOOKUP(E400,Store_Dim!A:A,Store_Dim!B:B,"Not Found")</f>
        <v>North</v>
      </c>
      <c r="S400" s="8" t="str">
        <f t="array" ref="S400">XLOOKUP(E400,Store_Dim!A:A,Store_Dim!D:D,"Not Found")</f>
        <v>Online</v>
      </c>
    </row>
    <row r="401" ht="14.25" customHeight="1">
      <c r="A401" s="8" t="s">
        <v>2354</v>
      </c>
      <c r="B401" s="12">
        <v>45879.0</v>
      </c>
      <c r="C401" s="8" t="s">
        <v>157</v>
      </c>
      <c r="D401" s="8" t="s">
        <v>1587</v>
      </c>
      <c r="E401" s="8" t="s">
        <v>1935</v>
      </c>
      <c r="F401" s="8">
        <v>2.0</v>
      </c>
      <c r="G401" s="8">
        <v>733.87</v>
      </c>
      <c r="H401" s="8">
        <v>0.1</v>
      </c>
      <c r="I401" s="8">
        <f t="shared" si="1"/>
        <v>1467.74</v>
      </c>
      <c r="J401" s="8">
        <f t="shared" si="2"/>
        <v>-146.674</v>
      </c>
      <c r="K401" s="8" t="str">
        <f t="shared" si="3"/>
        <v>Aug</v>
      </c>
      <c r="L401" s="8">
        <f t="shared" si="4"/>
        <v>2025</v>
      </c>
      <c r="N401" s="8" t="str">
        <f t="array" ref="N401">XLOOKUP(C401,Customer_Dim!A:A,Customer_Dim!B:B,"Not Found")</f>
        <v>Christopher Carter</v>
      </c>
      <c r="O401" s="8" t="str">
        <f t="array" ref="O401">XLOOKUP(C401,Customer_Dim!A:A,Customer_Dim!E:E,"Not Found")</f>
        <v>Brendastad</v>
      </c>
      <c r="P401" s="8" t="str">
        <f t="array" ref="P401">XLOOKUP(D401,Product_Dim!A:A,Product_Dim!B:B,"Not Found")</f>
        <v>Herbal Face Moisturizer</v>
      </c>
      <c r="Q401" s="8" t="str">
        <f t="array" ref="Q401">XLOOKUP(D401,Product_Dim!A:A,Product_Dim!C:C,"Not Found")</f>
        <v>Beauty</v>
      </c>
      <c r="R401" s="8" t="str">
        <f t="array" ref="R401">XLOOKUP(E401,Store_Dim!A:A,Store_Dim!B:B,"Not Found")</f>
        <v>West</v>
      </c>
      <c r="S401" s="8" t="str">
        <f t="array" ref="S401">XLOOKUP(E401,Store_Dim!A:A,Store_Dim!D:D,"Not Found")</f>
        <v>Flagship</v>
      </c>
    </row>
    <row r="402" ht="14.25" customHeight="1">
      <c r="A402" s="8" t="s">
        <v>2355</v>
      </c>
      <c r="B402" s="12">
        <v>45880.0</v>
      </c>
      <c r="C402" s="8" t="s">
        <v>351</v>
      </c>
      <c r="D402" s="8" t="s">
        <v>1638</v>
      </c>
      <c r="E402" s="8" t="s">
        <v>1935</v>
      </c>
      <c r="F402" s="8">
        <v>2.0</v>
      </c>
      <c r="G402" s="8">
        <v>22.47</v>
      </c>
      <c r="H402" s="8">
        <v>0.22</v>
      </c>
      <c r="I402" s="8">
        <f t="shared" si="1"/>
        <v>44.94</v>
      </c>
      <c r="J402" s="8">
        <f t="shared" si="2"/>
        <v>-9.6668</v>
      </c>
      <c r="K402" s="8" t="str">
        <f t="shared" si="3"/>
        <v>Aug</v>
      </c>
      <c r="L402" s="8">
        <f t="shared" si="4"/>
        <v>2025</v>
      </c>
      <c r="N402" s="8" t="str">
        <f t="array" ref="N402">XLOOKUP(C402,Customer_Dim!A:A,Customer_Dim!B:B,"Not Found")</f>
        <v>Amy Fowler</v>
      </c>
      <c r="O402" s="8" t="str">
        <f t="array" ref="O402">XLOOKUP(C402,Customer_Dim!A:A,Customer_Dim!E:E,"Not Found")</f>
        <v>West Bobbyshire</v>
      </c>
      <c r="P402" s="8" t="str">
        <f t="array" ref="P402">XLOOKUP(D402,Product_Dim!A:A,Product_Dim!B:B,"Not Found")</f>
        <v>Knee Support Brace</v>
      </c>
      <c r="Q402" s="8" t="str">
        <f t="array" ref="Q402">XLOOKUP(D402,Product_Dim!A:A,Product_Dim!C:C,"Not Found")</f>
        <v>Sports</v>
      </c>
      <c r="R402" s="8" t="str">
        <f t="array" ref="R402">XLOOKUP(E402,Store_Dim!A:A,Store_Dim!B:B,"Not Found")</f>
        <v>West</v>
      </c>
      <c r="S402" s="8" t="str">
        <f t="array" ref="S402">XLOOKUP(E402,Store_Dim!A:A,Store_Dim!D:D,"Not Found")</f>
        <v>Flagship</v>
      </c>
    </row>
    <row r="403" ht="14.25" customHeight="1">
      <c r="A403" s="8" t="s">
        <v>2356</v>
      </c>
      <c r="B403" s="12">
        <v>45881.0</v>
      </c>
      <c r="C403" s="8" t="s">
        <v>1107</v>
      </c>
      <c r="D403" s="8" t="s">
        <v>1760</v>
      </c>
      <c r="E403" s="8" t="s">
        <v>1931</v>
      </c>
      <c r="F403" s="8">
        <v>4.0</v>
      </c>
      <c r="G403" s="8">
        <v>651.36</v>
      </c>
      <c r="H403" s="8">
        <v>0.13</v>
      </c>
      <c r="I403" s="8">
        <f t="shared" si="1"/>
        <v>2605.44</v>
      </c>
      <c r="J403" s="8">
        <f t="shared" si="2"/>
        <v>-338.5772</v>
      </c>
      <c r="K403" s="8" t="str">
        <f t="shared" si="3"/>
        <v>Aug</v>
      </c>
      <c r="L403" s="8">
        <f t="shared" si="4"/>
        <v>2025</v>
      </c>
      <c r="N403" s="8" t="str">
        <f t="array" ref="N403">XLOOKUP(C403,Customer_Dim!A:A,Customer_Dim!B:B,"Not Found")</f>
        <v>Sherry Cabrera</v>
      </c>
      <c r="O403" s="8" t="str">
        <f t="array" ref="O403">XLOOKUP(C403,Customer_Dim!A:A,Customer_Dim!E:E,"Not Found")</f>
        <v>Shannonview</v>
      </c>
      <c r="P403" s="8" t="str">
        <f t="array" ref="P403">XLOOKUP(D403,Product_Dim!A:A,Product_Dim!B:B,"Not Found")</f>
        <v>Foam Roller</v>
      </c>
      <c r="Q403" s="8" t="str">
        <f t="array" ref="Q403">XLOOKUP(D403,Product_Dim!A:A,Product_Dim!C:C,"Not Found")</f>
        <v>Sports</v>
      </c>
      <c r="R403" s="8" t="str">
        <f t="array" ref="R403">XLOOKUP(E403,Store_Dim!A:A,Store_Dim!B:B,"Not Found")</f>
        <v>East</v>
      </c>
      <c r="S403" s="8" t="str">
        <f t="array" ref="S403">XLOOKUP(E403,Store_Dim!A:A,Store_Dim!D:D,"Not Found")</f>
        <v>Flagship</v>
      </c>
    </row>
    <row r="404" ht="14.25" customHeight="1">
      <c r="A404" s="8" t="s">
        <v>2357</v>
      </c>
      <c r="B404" s="12">
        <v>45882.0</v>
      </c>
      <c r="C404" s="8" t="s">
        <v>952</v>
      </c>
      <c r="D404" s="8" t="s">
        <v>1620</v>
      </c>
      <c r="E404" s="8" t="s">
        <v>1926</v>
      </c>
      <c r="F404" s="8">
        <v>1.0</v>
      </c>
      <c r="G404" s="8">
        <v>753.39</v>
      </c>
      <c r="H404" s="8">
        <v>0.04</v>
      </c>
      <c r="I404" s="8">
        <f t="shared" si="1"/>
        <v>753.39</v>
      </c>
      <c r="J404" s="8">
        <f t="shared" si="2"/>
        <v>-30.0956</v>
      </c>
      <c r="K404" s="8" t="str">
        <f t="shared" si="3"/>
        <v>Aug</v>
      </c>
      <c r="L404" s="8">
        <f t="shared" si="4"/>
        <v>2025</v>
      </c>
      <c r="N404" s="8" t="str">
        <f t="array" ref="N404">XLOOKUP(C404,Customer_Dim!A:A,Customer_Dim!B:B,"Not Found")</f>
        <v>Jared Moran</v>
      </c>
      <c r="O404" s="8" t="str">
        <f t="array" ref="O404">XLOOKUP(C404,Customer_Dim!A:A,Customer_Dim!E:E,"Not Found")</f>
        <v>South David</v>
      </c>
      <c r="P404" s="8" t="str">
        <f t="array" ref="P404">XLOOKUP(D404,Product_Dim!A:A,Product_Dim!B:B,"Not Found")</f>
        <v>Decorative Wall Mirror</v>
      </c>
      <c r="Q404" s="8" t="str">
        <f t="array" ref="Q404">XLOOKUP(D404,Product_Dim!A:A,Product_Dim!C:C,"Not Found")</f>
        <v>Home</v>
      </c>
      <c r="R404" s="8" t="str">
        <f t="array" ref="R404">XLOOKUP(E404,Store_Dim!A:A,Store_Dim!B:B,"Not Found")</f>
        <v>East</v>
      </c>
      <c r="S404" s="8" t="str">
        <f t="array" ref="S404">XLOOKUP(E404,Store_Dim!A:A,Store_Dim!D:D,"Not Found")</f>
        <v>Online</v>
      </c>
    </row>
    <row r="405" ht="14.25" customHeight="1">
      <c r="A405" s="8" t="s">
        <v>2358</v>
      </c>
      <c r="B405" s="12">
        <v>45883.0</v>
      </c>
      <c r="C405" s="8" t="s">
        <v>669</v>
      </c>
      <c r="D405" s="8" t="s">
        <v>1803</v>
      </c>
      <c r="E405" s="8" t="s">
        <v>1929</v>
      </c>
      <c r="F405" s="8">
        <v>4.0</v>
      </c>
      <c r="G405" s="8">
        <v>849.17</v>
      </c>
      <c r="H405" s="8">
        <v>0.12</v>
      </c>
      <c r="I405" s="8">
        <f t="shared" si="1"/>
        <v>3396.68</v>
      </c>
      <c r="J405" s="8">
        <f t="shared" si="2"/>
        <v>-407.4816</v>
      </c>
      <c r="K405" s="8" t="str">
        <f t="shared" si="3"/>
        <v>Aug</v>
      </c>
      <c r="L405" s="8">
        <f t="shared" si="4"/>
        <v>2025</v>
      </c>
      <c r="N405" s="8" t="str">
        <f t="array" ref="N405">XLOOKUP(C405,Customer_Dim!A:A,Customer_Dim!B:B,"Not Found")</f>
        <v>Mary Boyd</v>
      </c>
      <c r="O405" s="8" t="str">
        <f t="array" ref="O405">XLOOKUP(C405,Customer_Dim!A:A,Customer_Dim!E:E,"Not Found")</f>
        <v>New Logan</v>
      </c>
      <c r="P405" s="8" t="str">
        <f t="array" ref="P405">XLOOKUP(D405,Product_Dim!A:A,Product_Dim!B:B,"Not Found")</f>
        <v>Hair Repair Oil Treatment</v>
      </c>
      <c r="Q405" s="8" t="str">
        <f t="array" ref="Q405">XLOOKUP(D405,Product_Dim!A:A,Product_Dim!C:C,"Not Found")</f>
        <v>Beauty</v>
      </c>
      <c r="R405" s="8" t="str">
        <f t="array" ref="R405">XLOOKUP(E405,Store_Dim!A:A,Store_Dim!B:B,"Not Found")</f>
        <v>North</v>
      </c>
      <c r="S405" s="8" t="str">
        <f t="array" ref="S405">XLOOKUP(E405,Store_Dim!A:A,Store_Dim!D:D,"Not Found")</f>
        <v>Online</v>
      </c>
    </row>
    <row r="406" ht="14.25" customHeight="1">
      <c r="A406" s="8" t="s">
        <v>2359</v>
      </c>
      <c r="B406" s="12">
        <v>45884.0</v>
      </c>
      <c r="C406" s="8" t="s">
        <v>1200</v>
      </c>
      <c r="D406" s="8" t="s">
        <v>1642</v>
      </c>
      <c r="E406" s="8" t="s">
        <v>1899</v>
      </c>
      <c r="F406" s="8">
        <v>4.0</v>
      </c>
      <c r="G406" s="8">
        <v>585.45</v>
      </c>
      <c r="H406" s="8">
        <v>0.25</v>
      </c>
      <c r="I406" s="8">
        <f t="shared" si="1"/>
        <v>2341.8</v>
      </c>
      <c r="J406" s="8">
        <f t="shared" si="2"/>
        <v>-585.2</v>
      </c>
      <c r="K406" s="8" t="str">
        <f t="shared" si="3"/>
        <v>Aug</v>
      </c>
      <c r="L406" s="8">
        <f t="shared" si="4"/>
        <v>2025</v>
      </c>
      <c r="N406" s="8" t="str">
        <f t="array" ref="N406">XLOOKUP(C406,Customer_Dim!A:A,Customer_Dim!B:B,"Not Found")</f>
        <v>Tanya Lopez</v>
      </c>
      <c r="O406" s="8" t="str">
        <f t="array" ref="O406">XLOOKUP(C406,Customer_Dim!A:A,Customer_Dim!E:E,"Not Found")</f>
        <v>West Jeffreyburgh</v>
      </c>
      <c r="P406" s="8" t="str">
        <f t="array" ref="P406">XLOOKUP(D406,Product_Dim!A:A,Product_Dim!B:B,"Not Found")</f>
        <v>Outdoor Sports Water Bottle</v>
      </c>
      <c r="Q406" s="8" t="str">
        <f t="array" ref="Q406">XLOOKUP(D406,Product_Dim!A:A,Product_Dim!C:C,"Not Found")</f>
        <v>Sports</v>
      </c>
      <c r="R406" s="8" t="str">
        <f t="array" ref="R406">XLOOKUP(E406,Store_Dim!A:A,Store_Dim!B:B,"Not Found")</f>
        <v>East</v>
      </c>
      <c r="S406" s="8" t="str">
        <f t="array" ref="S406">XLOOKUP(E406,Store_Dim!A:A,Store_Dim!D:D,"Not Found")</f>
        <v>Flagship</v>
      </c>
    </row>
    <row r="407" ht="14.25" customHeight="1">
      <c r="A407" s="8" t="s">
        <v>2360</v>
      </c>
      <c r="B407" s="12">
        <v>45885.0</v>
      </c>
      <c r="C407" s="8" t="s">
        <v>1482</v>
      </c>
      <c r="D407" s="8" t="s">
        <v>1815</v>
      </c>
      <c r="E407" s="8" t="s">
        <v>1935</v>
      </c>
      <c r="F407" s="8">
        <v>1.0</v>
      </c>
      <c r="G407" s="8">
        <v>745.15</v>
      </c>
      <c r="H407" s="8">
        <v>0.25</v>
      </c>
      <c r="I407" s="8">
        <f t="shared" si="1"/>
        <v>745.15</v>
      </c>
      <c r="J407" s="8">
        <f t="shared" si="2"/>
        <v>-186.0375</v>
      </c>
      <c r="K407" s="8" t="str">
        <f t="shared" si="3"/>
        <v>Aug</v>
      </c>
      <c r="L407" s="8">
        <f t="shared" si="4"/>
        <v>2025</v>
      </c>
      <c r="N407" s="8" t="str">
        <f t="array" ref="N407">XLOOKUP(C407,Customer_Dim!A:A,Customer_Dim!B:B,"Not Found")</f>
        <v>Elizabeth Foster</v>
      </c>
      <c r="O407" s="8" t="str">
        <f t="array" ref="O407">XLOOKUP(C407,Customer_Dim!A:A,Customer_Dim!E:E,"Not Found")</f>
        <v>Anthonymouth</v>
      </c>
      <c r="P407" s="8" t="str">
        <f t="array" ref="P407">XLOOKUP(D407,Product_Dim!A:A,Product_Dim!B:B,"Not Found")</f>
        <v>Women's Ankle Boots</v>
      </c>
      <c r="Q407" s="8" t="str">
        <f t="array" ref="Q407">XLOOKUP(D407,Product_Dim!A:A,Product_Dim!C:C,"Not Found")</f>
        <v>Clothing</v>
      </c>
      <c r="R407" s="8" t="str">
        <f t="array" ref="R407">XLOOKUP(E407,Store_Dim!A:A,Store_Dim!B:B,"Not Found")</f>
        <v>West</v>
      </c>
      <c r="S407" s="8" t="str">
        <f t="array" ref="S407">XLOOKUP(E407,Store_Dim!A:A,Store_Dim!D:D,"Not Found")</f>
        <v>Flagship</v>
      </c>
    </row>
    <row r="408" ht="14.25" customHeight="1">
      <c r="A408" s="8" t="s">
        <v>2361</v>
      </c>
      <c r="B408" s="12">
        <v>45886.0</v>
      </c>
      <c r="C408" s="8" t="s">
        <v>201</v>
      </c>
      <c r="D408" s="8" t="s">
        <v>1887</v>
      </c>
      <c r="E408" s="8" t="s">
        <v>1906</v>
      </c>
      <c r="F408" s="8">
        <v>1.0</v>
      </c>
      <c r="G408" s="8">
        <v>848.69</v>
      </c>
      <c r="H408" s="8">
        <v>0.04</v>
      </c>
      <c r="I408" s="8">
        <f t="shared" si="1"/>
        <v>848.69</v>
      </c>
      <c r="J408" s="8">
        <f t="shared" si="2"/>
        <v>-33.9076</v>
      </c>
      <c r="K408" s="8" t="str">
        <f t="shared" si="3"/>
        <v>Aug</v>
      </c>
      <c r="L408" s="8">
        <f t="shared" si="4"/>
        <v>2025</v>
      </c>
      <c r="N408" s="8" t="str">
        <f t="array" ref="N408">XLOOKUP(C408,Customer_Dim!A:A,Customer_Dim!B:B,"Not Found")</f>
        <v>Matthew Hunter Jr.</v>
      </c>
      <c r="O408" s="8" t="str">
        <f t="array" ref="O408">XLOOKUP(C408,Customer_Dim!A:A,Customer_Dim!E:E,"Not Found")</f>
        <v>Gregoryview</v>
      </c>
      <c r="P408" s="8" t="str">
        <f t="array" ref="P408">XLOOKUP(D408,Product_Dim!A:A,Product_Dim!B:B,"Not Found")</f>
        <v>Stainless Steel Cookware Set</v>
      </c>
      <c r="Q408" s="8" t="str">
        <f t="array" ref="Q408">XLOOKUP(D408,Product_Dim!A:A,Product_Dim!C:C,"Not Found")</f>
        <v>Home</v>
      </c>
      <c r="R408" s="8" t="str">
        <f t="array" ref="R408">XLOOKUP(E408,Store_Dim!A:A,Store_Dim!B:B,"Not Found")</f>
        <v>South</v>
      </c>
      <c r="S408" s="8" t="str">
        <f t="array" ref="S408">XLOOKUP(E408,Store_Dim!A:A,Store_Dim!D:D,"Not Found")</f>
        <v>Outlet</v>
      </c>
    </row>
    <row r="409" ht="14.25" customHeight="1">
      <c r="A409" s="8" t="s">
        <v>2362</v>
      </c>
      <c r="B409" s="12">
        <v>45887.0</v>
      </c>
      <c r="C409" s="8" t="s">
        <v>1299</v>
      </c>
      <c r="D409" s="8" t="s">
        <v>1800</v>
      </c>
      <c r="E409" s="8" t="s">
        <v>1932</v>
      </c>
      <c r="F409" s="8">
        <v>2.0</v>
      </c>
      <c r="G409" s="8">
        <v>247.67</v>
      </c>
      <c r="H409" s="8">
        <v>0.1</v>
      </c>
      <c r="I409" s="8">
        <f t="shared" si="1"/>
        <v>495.34</v>
      </c>
      <c r="J409" s="8">
        <f t="shared" si="2"/>
        <v>-49.434</v>
      </c>
      <c r="K409" s="8" t="str">
        <f t="shared" si="3"/>
        <v>Aug</v>
      </c>
      <c r="L409" s="8">
        <f t="shared" si="4"/>
        <v>2025</v>
      </c>
      <c r="N409" s="8" t="str">
        <f t="array" ref="N409">XLOOKUP(C409,Customer_Dim!A:A,Customer_Dim!B:B,"Not Found")</f>
        <v>Megan Ryan</v>
      </c>
      <c r="O409" s="8" t="str">
        <f t="array" ref="O409">XLOOKUP(C409,Customer_Dim!A:A,Customer_Dim!E:E,"Not Found")</f>
        <v>Andrewsfurt</v>
      </c>
      <c r="P409" s="8" t="str">
        <f t="array" ref="P409">XLOOKUP(D409,Product_Dim!A:A,Product_Dim!B:B,"Not Found")</f>
        <v>Kitchen Storage Rack</v>
      </c>
      <c r="Q409" s="8" t="str">
        <f t="array" ref="Q409">XLOOKUP(D409,Product_Dim!A:A,Product_Dim!C:C,"Not Found")</f>
        <v>Home</v>
      </c>
      <c r="R409" s="8" t="str">
        <f t="array" ref="R409">XLOOKUP(E409,Store_Dim!A:A,Store_Dim!B:B,"Not Found")</f>
        <v>South</v>
      </c>
      <c r="S409" s="8" t="str">
        <f t="array" ref="S409">XLOOKUP(E409,Store_Dim!A:A,Store_Dim!D:D,"Not Found")</f>
        <v>Outlet</v>
      </c>
    </row>
    <row r="410" ht="14.25" customHeight="1">
      <c r="A410" s="8" t="s">
        <v>2363</v>
      </c>
      <c r="B410" s="12">
        <v>45888.0</v>
      </c>
      <c r="C410" s="8" t="s">
        <v>163</v>
      </c>
      <c r="D410" s="8" t="s">
        <v>1812</v>
      </c>
      <c r="E410" s="8" t="s">
        <v>1910</v>
      </c>
      <c r="F410" s="8">
        <v>3.0</v>
      </c>
      <c r="G410" s="8">
        <v>220.51</v>
      </c>
      <c r="H410" s="8">
        <v>0.02</v>
      </c>
      <c r="I410" s="8">
        <f t="shared" si="1"/>
        <v>661.53</v>
      </c>
      <c r="J410" s="8">
        <f t="shared" si="2"/>
        <v>-13.2106</v>
      </c>
      <c r="K410" s="8" t="str">
        <f t="shared" si="3"/>
        <v>Aug</v>
      </c>
      <c r="L410" s="8">
        <f t="shared" si="4"/>
        <v>2025</v>
      </c>
      <c r="N410" s="8" t="str">
        <f t="array" ref="N410">XLOOKUP(C410,Customer_Dim!A:A,Customer_Dim!B:B,"Not Found")</f>
        <v>Tonya Reynolds</v>
      </c>
      <c r="O410" s="8" t="str">
        <f t="array" ref="O410">XLOOKUP(C410,Customer_Dim!A:A,Customer_Dim!E:E,"Not Found")</f>
        <v>Darleneton</v>
      </c>
      <c r="P410" s="8" t="str">
        <f t="array" ref="P410">XLOOKUP(D410,Product_Dim!A:A,Product_Dim!B:B,"Not Found")</f>
        <v>Bluetooth Car Audio System</v>
      </c>
      <c r="Q410" s="8" t="str">
        <f t="array" ref="Q410">XLOOKUP(D410,Product_Dim!A:A,Product_Dim!C:C,"Not Found")</f>
        <v>Electronics</v>
      </c>
      <c r="R410" s="8" t="str">
        <f t="array" ref="R410">XLOOKUP(E410,Store_Dim!A:A,Store_Dim!B:B,"Not Found")</f>
        <v>North</v>
      </c>
      <c r="S410" s="8" t="str">
        <f t="array" ref="S410">XLOOKUP(E410,Store_Dim!A:A,Store_Dim!D:D,"Not Found")</f>
        <v>Outlet</v>
      </c>
    </row>
    <row r="411" ht="14.25" customHeight="1">
      <c r="A411" s="8" t="s">
        <v>2364</v>
      </c>
      <c r="B411" s="12">
        <v>45889.0</v>
      </c>
      <c r="C411" s="8" t="s">
        <v>1044</v>
      </c>
      <c r="D411" s="8" t="s">
        <v>1624</v>
      </c>
      <c r="E411" s="8" t="s">
        <v>1935</v>
      </c>
      <c r="F411" s="8">
        <v>4.0</v>
      </c>
      <c r="G411" s="8">
        <v>370.63</v>
      </c>
      <c r="H411" s="8">
        <v>0.08</v>
      </c>
      <c r="I411" s="8">
        <f t="shared" si="1"/>
        <v>1482.52</v>
      </c>
      <c r="J411" s="8">
        <f t="shared" si="2"/>
        <v>-118.5216</v>
      </c>
      <c r="K411" s="8" t="str">
        <f t="shared" si="3"/>
        <v>Aug</v>
      </c>
      <c r="L411" s="8">
        <f t="shared" si="4"/>
        <v>2025</v>
      </c>
      <c r="N411" s="8" t="str">
        <f t="array" ref="N411">XLOOKUP(C411,Customer_Dim!A:A,Customer_Dim!B:B,"Not Found")</f>
        <v>Reginald Willis</v>
      </c>
      <c r="O411" s="8" t="str">
        <f t="array" ref="O411">XLOOKUP(C411,Customer_Dim!A:A,Customer_Dim!E:E,"Not Found")</f>
        <v>Kellybury</v>
      </c>
      <c r="P411" s="8" t="str">
        <f t="array" ref="P411">XLOOKUP(D411,Product_Dim!A:A,Product_Dim!B:B,"Not Found")</f>
        <v>4K Home Projector</v>
      </c>
      <c r="Q411" s="8" t="str">
        <f t="array" ref="Q411">XLOOKUP(D411,Product_Dim!A:A,Product_Dim!C:C,"Not Found")</f>
        <v>Electronics</v>
      </c>
      <c r="R411" s="8" t="str">
        <f t="array" ref="R411">XLOOKUP(E411,Store_Dim!A:A,Store_Dim!B:B,"Not Found")</f>
        <v>West</v>
      </c>
      <c r="S411" s="8" t="str">
        <f t="array" ref="S411">XLOOKUP(E411,Store_Dim!A:A,Store_Dim!D:D,"Not Found")</f>
        <v>Flagship</v>
      </c>
    </row>
    <row r="412" ht="14.25" customHeight="1">
      <c r="A412" s="8" t="s">
        <v>2365</v>
      </c>
      <c r="B412" s="12">
        <v>45890.0</v>
      </c>
      <c r="C412" s="8" t="s">
        <v>1236</v>
      </c>
      <c r="D412" s="8" t="s">
        <v>1671</v>
      </c>
      <c r="E412" s="8" t="s">
        <v>1941</v>
      </c>
      <c r="F412" s="8">
        <v>4.0</v>
      </c>
      <c r="G412" s="8">
        <v>349.84</v>
      </c>
      <c r="H412" s="8">
        <v>0.11</v>
      </c>
      <c r="I412" s="8">
        <f t="shared" si="1"/>
        <v>1399.36</v>
      </c>
      <c r="J412" s="8">
        <f t="shared" si="2"/>
        <v>-153.8196</v>
      </c>
      <c r="K412" s="8" t="str">
        <f t="shared" si="3"/>
        <v>Aug</v>
      </c>
      <c r="L412" s="8">
        <f t="shared" si="4"/>
        <v>2025</v>
      </c>
      <c r="N412" s="8" t="str">
        <f t="array" ref="N412">XLOOKUP(C412,Customer_Dim!A:A,Customer_Dim!B:B,"Not Found")</f>
        <v>Heidi Tyler</v>
      </c>
      <c r="O412" s="8" t="str">
        <f t="array" ref="O412">XLOOKUP(C412,Customer_Dim!A:A,Customer_Dim!E:E,"Not Found")</f>
        <v>Dawnstad</v>
      </c>
      <c r="P412" s="8" t="str">
        <f t="array" ref="P412">XLOOKUP(D412,Product_Dim!A:A,Product_Dim!B:B,"Not Found")</f>
        <v>Fabric Sofa Throw Blanket</v>
      </c>
      <c r="Q412" s="8" t="str">
        <f t="array" ref="Q412">XLOOKUP(D412,Product_Dim!A:A,Product_Dim!C:C,"Not Found")</f>
        <v>Home</v>
      </c>
      <c r="R412" s="8" t="str">
        <f t="array" ref="R412">XLOOKUP(E412,Store_Dim!A:A,Store_Dim!B:B,"Not Found")</f>
        <v>East</v>
      </c>
      <c r="S412" s="8" t="str">
        <f t="array" ref="S412">XLOOKUP(E412,Store_Dim!A:A,Store_Dim!D:D,"Not Found")</f>
        <v>Online</v>
      </c>
    </row>
    <row r="413" ht="14.25" customHeight="1">
      <c r="A413" s="8" t="s">
        <v>2366</v>
      </c>
      <c r="B413" s="12">
        <v>45891.0</v>
      </c>
      <c r="C413" s="8" t="s">
        <v>178</v>
      </c>
      <c r="D413" s="8" t="s">
        <v>1703</v>
      </c>
      <c r="E413" s="8" t="s">
        <v>1929</v>
      </c>
      <c r="F413" s="8">
        <v>1.0</v>
      </c>
      <c r="G413" s="8">
        <v>770.87</v>
      </c>
      <c r="H413" s="8">
        <v>0.1</v>
      </c>
      <c r="I413" s="8">
        <f t="shared" si="1"/>
        <v>770.87</v>
      </c>
      <c r="J413" s="8">
        <f t="shared" si="2"/>
        <v>-76.987</v>
      </c>
      <c r="K413" s="8" t="str">
        <f t="shared" si="3"/>
        <v>Aug</v>
      </c>
      <c r="L413" s="8">
        <f t="shared" si="4"/>
        <v>2025</v>
      </c>
      <c r="N413" s="8" t="str">
        <f t="array" ref="N413">XLOOKUP(C413,Customer_Dim!A:A,Customer_Dim!B:B,"Not Found")</f>
        <v>Joseph Snow</v>
      </c>
      <c r="O413" s="8" t="str">
        <f t="array" ref="O413">XLOOKUP(C413,Customer_Dim!A:A,Customer_Dim!E:E,"Not Found")</f>
        <v>South Michaelfort</v>
      </c>
      <c r="P413" s="8" t="str">
        <f t="array" ref="P413">XLOOKUP(D413,Product_Dim!A:A,Product_Dim!B:B,"Not Found")</f>
        <v>Portable Power Bank</v>
      </c>
      <c r="Q413" s="8" t="str">
        <f t="array" ref="Q413">XLOOKUP(D413,Product_Dim!A:A,Product_Dim!C:C,"Not Found")</f>
        <v>Electronics</v>
      </c>
      <c r="R413" s="8" t="str">
        <f t="array" ref="R413">XLOOKUP(E413,Store_Dim!A:A,Store_Dim!B:B,"Not Found")</f>
        <v>North</v>
      </c>
      <c r="S413" s="8" t="str">
        <f t="array" ref="S413">XLOOKUP(E413,Store_Dim!A:A,Store_Dim!D:D,"Not Found")</f>
        <v>Online</v>
      </c>
    </row>
    <row r="414" ht="14.25" customHeight="1">
      <c r="A414" s="8" t="s">
        <v>2367</v>
      </c>
      <c r="B414" s="12">
        <v>45892.0</v>
      </c>
      <c r="C414" s="8" t="s">
        <v>1491</v>
      </c>
      <c r="D414" s="8" t="s">
        <v>1887</v>
      </c>
      <c r="E414" s="8" t="s">
        <v>1937</v>
      </c>
      <c r="F414" s="8">
        <v>3.0</v>
      </c>
      <c r="G414" s="8">
        <v>507.33</v>
      </c>
      <c r="H414" s="8">
        <v>0.06</v>
      </c>
      <c r="I414" s="8">
        <f t="shared" si="1"/>
        <v>1521.99</v>
      </c>
      <c r="J414" s="8">
        <f t="shared" si="2"/>
        <v>-91.2594</v>
      </c>
      <c r="K414" s="8" t="str">
        <f t="shared" si="3"/>
        <v>Aug</v>
      </c>
      <c r="L414" s="8">
        <f t="shared" si="4"/>
        <v>2025</v>
      </c>
      <c r="N414" s="8" t="str">
        <f t="array" ref="N414">XLOOKUP(C414,Customer_Dim!A:A,Customer_Dim!B:B,"Not Found")</f>
        <v>Dylan Gutierrez</v>
      </c>
      <c r="O414" s="8" t="str">
        <f t="array" ref="O414">XLOOKUP(C414,Customer_Dim!A:A,Customer_Dim!E:E,"Not Found")</f>
        <v>New Jamesview</v>
      </c>
      <c r="P414" s="8" t="str">
        <f t="array" ref="P414">XLOOKUP(D414,Product_Dim!A:A,Product_Dim!B:B,"Not Found")</f>
        <v>Stainless Steel Cookware Set</v>
      </c>
      <c r="Q414" s="8" t="str">
        <f t="array" ref="Q414">XLOOKUP(D414,Product_Dim!A:A,Product_Dim!C:C,"Not Found")</f>
        <v>Home</v>
      </c>
      <c r="R414" s="8" t="str">
        <f t="array" ref="R414">XLOOKUP(E414,Store_Dim!A:A,Store_Dim!B:B,"Not Found")</f>
        <v>North</v>
      </c>
      <c r="S414" s="8" t="str">
        <f t="array" ref="S414">XLOOKUP(E414,Store_Dim!A:A,Store_Dim!D:D,"Not Found")</f>
        <v>Flagship</v>
      </c>
    </row>
    <row r="415" ht="14.25" customHeight="1">
      <c r="A415" s="8" t="s">
        <v>2368</v>
      </c>
      <c r="B415" s="12">
        <v>45893.0</v>
      </c>
      <c r="C415" s="8" t="s">
        <v>622</v>
      </c>
      <c r="D415" s="8" t="s">
        <v>1787</v>
      </c>
      <c r="E415" s="8" t="s">
        <v>1924</v>
      </c>
      <c r="F415" s="8">
        <v>1.0</v>
      </c>
      <c r="G415" s="8">
        <v>87.78</v>
      </c>
      <c r="H415" s="8">
        <v>0.06</v>
      </c>
      <c r="I415" s="8">
        <f t="shared" si="1"/>
        <v>87.78</v>
      </c>
      <c r="J415" s="8">
        <f t="shared" si="2"/>
        <v>-5.2068</v>
      </c>
      <c r="K415" s="8" t="str">
        <f t="shared" si="3"/>
        <v>Aug</v>
      </c>
      <c r="L415" s="8">
        <f t="shared" si="4"/>
        <v>2025</v>
      </c>
      <c r="N415" s="8" t="str">
        <f t="array" ref="N415">XLOOKUP(C415,Customer_Dim!A:A,Customer_Dim!B:B,"Not Found")</f>
        <v>Brent Rivas</v>
      </c>
      <c r="O415" s="8" t="str">
        <f t="array" ref="O415">XLOOKUP(C415,Customer_Dim!A:A,Customer_Dim!E:E,"Not Found")</f>
        <v>North Kellyberg</v>
      </c>
      <c r="P415" s="8" t="str">
        <f t="array" ref="P415">XLOOKUP(D415,Product_Dim!A:A,Product_Dim!B:B,"Not Found")</f>
        <v>Women's Hair Dryer Brush</v>
      </c>
      <c r="Q415" s="8" t="str">
        <f t="array" ref="Q415">XLOOKUP(D415,Product_Dim!A:A,Product_Dim!C:C,"Not Found")</f>
        <v>Beauty</v>
      </c>
      <c r="R415" s="8" t="str">
        <f t="array" ref="R415">XLOOKUP(E415,Store_Dim!A:A,Store_Dim!B:B,"Not Found")</f>
        <v>South</v>
      </c>
      <c r="S415" s="8" t="str">
        <f t="array" ref="S415">XLOOKUP(E415,Store_Dim!A:A,Store_Dim!D:D,"Not Found")</f>
        <v>Flagship</v>
      </c>
    </row>
    <row r="416" ht="14.25" customHeight="1">
      <c r="A416" s="8" t="s">
        <v>2369</v>
      </c>
      <c r="B416" s="12">
        <v>45894.0</v>
      </c>
      <c r="C416" s="8" t="s">
        <v>44</v>
      </c>
      <c r="D416" s="8" t="s">
        <v>1869</v>
      </c>
      <c r="E416" s="8" t="s">
        <v>1912</v>
      </c>
      <c r="F416" s="8">
        <v>2.0</v>
      </c>
      <c r="G416" s="8">
        <v>772.24</v>
      </c>
      <c r="H416" s="8">
        <v>0.22</v>
      </c>
      <c r="I416" s="8">
        <f t="shared" si="1"/>
        <v>1544.48</v>
      </c>
      <c r="J416" s="8">
        <f t="shared" si="2"/>
        <v>-339.5656</v>
      </c>
      <c r="K416" s="8" t="str">
        <f t="shared" si="3"/>
        <v>Aug</v>
      </c>
      <c r="L416" s="8">
        <f t="shared" si="4"/>
        <v>2025</v>
      </c>
      <c r="N416" s="8" t="str">
        <f t="array" ref="N416">XLOOKUP(C416,Customer_Dim!A:A,Customer_Dim!B:B,"Not Found")</f>
        <v>Amber Jackson</v>
      </c>
      <c r="O416" s="8" t="str">
        <f t="array" ref="O416">XLOOKUP(C416,Customer_Dim!A:A,Customer_Dim!E:E,"Not Found")</f>
        <v>Deborahborough</v>
      </c>
      <c r="P416" s="8" t="str">
        <f t="array" ref="P416">XLOOKUP(D416,Product_Dim!A:A,Product_Dim!B:B,"Not Found")</f>
        <v>USB-C Laptop Charger</v>
      </c>
      <c r="Q416" s="8" t="str">
        <f t="array" ref="Q416">XLOOKUP(D416,Product_Dim!A:A,Product_Dim!C:C,"Not Found")</f>
        <v>Electronics</v>
      </c>
      <c r="R416" s="8" t="str">
        <f t="array" ref="R416">XLOOKUP(E416,Store_Dim!A:A,Store_Dim!B:B,"Not Found")</f>
        <v>South</v>
      </c>
      <c r="S416" s="8" t="str">
        <f t="array" ref="S416">XLOOKUP(E416,Store_Dim!A:A,Store_Dim!D:D,"Not Found")</f>
        <v>Online</v>
      </c>
    </row>
    <row r="417" ht="14.25" customHeight="1">
      <c r="A417" s="8" t="s">
        <v>2370</v>
      </c>
      <c r="B417" s="12">
        <v>45895.0</v>
      </c>
      <c r="C417" s="8" t="s">
        <v>191</v>
      </c>
      <c r="D417" s="8" t="s">
        <v>1800</v>
      </c>
      <c r="E417" s="8" t="s">
        <v>1932</v>
      </c>
      <c r="F417" s="8">
        <v>1.0</v>
      </c>
      <c r="G417" s="8">
        <v>108.27</v>
      </c>
      <c r="H417" s="8">
        <v>0.1</v>
      </c>
      <c r="I417" s="8">
        <f t="shared" si="1"/>
        <v>108.27</v>
      </c>
      <c r="J417" s="8">
        <f t="shared" si="2"/>
        <v>-10.727</v>
      </c>
      <c r="K417" s="8" t="str">
        <f t="shared" si="3"/>
        <v>Aug</v>
      </c>
      <c r="L417" s="8">
        <f t="shared" si="4"/>
        <v>2025</v>
      </c>
      <c r="N417" s="8" t="str">
        <f t="array" ref="N417">XLOOKUP(C417,Customer_Dim!A:A,Customer_Dim!B:B,"Not Found")</f>
        <v>Gina Knight</v>
      </c>
      <c r="O417" s="8" t="str">
        <f t="array" ref="O417">XLOOKUP(C417,Customer_Dim!A:A,Customer_Dim!E:E,"Not Found")</f>
        <v>Lake Roberthaven</v>
      </c>
      <c r="P417" s="8" t="str">
        <f t="array" ref="P417">XLOOKUP(D417,Product_Dim!A:A,Product_Dim!B:B,"Not Found")</f>
        <v>Kitchen Storage Rack</v>
      </c>
      <c r="Q417" s="8" t="str">
        <f t="array" ref="Q417">XLOOKUP(D417,Product_Dim!A:A,Product_Dim!C:C,"Not Found")</f>
        <v>Home</v>
      </c>
      <c r="R417" s="8" t="str">
        <f t="array" ref="R417">XLOOKUP(E417,Store_Dim!A:A,Store_Dim!B:B,"Not Found")</f>
        <v>South</v>
      </c>
      <c r="S417" s="8" t="str">
        <f t="array" ref="S417">XLOOKUP(E417,Store_Dim!A:A,Store_Dim!D:D,"Not Found")</f>
        <v>Outlet</v>
      </c>
    </row>
    <row r="418" ht="14.25" customHeight="1">
      <c r="A418" s="8" t="s">
        <v>2371</v>
      </c>
      <c r="B418" s="12">
        <v>45896.0</v>
      </c>
      <c r="C418" s="8" t="s">
        <v>1104</v>
      </c>
      <c r="D418" s="8" t="s">
        <v>1700</v>
      </c>
      <c r="E418" s="8" t="s">
        <v>1937</v>
      </c>
      <c r="F418" s="8">
        <v>2.0</v>
      </c>
      <c r="G418" s="8">
        <v>839.24</v>
      </c>
      <c r="H418" s="8">
        <v>0.21</v>
      </c>
      <c r="I418" s="8">
        <f t="shared" si="1"/>
        <v>1678.48</v>
      </c>
      <c r="J418" s="8">
        <f t="shared" si="2"/>
        <v>-352.2708</v>
      </c>
      <c r="K418" s="8" t="str">
        <f t="shared" si="3"/>
        <v>Aug</v>
      </c>
      <c r="L418" s="8">
        <f t="shared" si="4"/>
        <v>2025</v>
      </c>
      <c r="N418" s="8" t="str">
        <f t="array" ref="N418">XLOOKUP(C418,Customer_Dim!A:A,Customer_Dim!B:B,"Not Found")</f>
        <v>Justin Mason DDS</v>
      </c>
      <c r="O418" s="8" t="str">
        <f t="array" ref="O418">XLOOKUP(C418,Customer_Dim!A:A,Customer_Dim!E:E,"Not Found")</f>
        <v>Peggystad</v>
      </c>
      <c r="P418" s="8" t="str">
        <f t="array" ref="P418">XLOOKUP(D418,Product_Dim!A:A,Product_Dim!B:B,"Not Found")</f>
        <v>Sports Water Hydration Pack</v>
      </c>
      <c r="Q418" s="8" t="str">
        <f t="array" ref="Q418">XLOOKUP(D418,Product_Dim!A:A,Product_Dim!C:C,"Not Found")</f>
        <v>Sports</v>
      </c>
      <c r="R418" s="8" t="str">
        <f t="array" ref="R418">XLOOKUP(E418,Store_Dim!A:A,Store_Dim!B:B,"Not Found")</f>
        <v>North</v>
      </c>
      <c r="S418" s="8" t="str">
        <f t="array" ref="S418">XLOOKUP(E418,Store_Dim!A:A,Store_Dim!D:D,"Not Found")</f>
        <v>Flagship</v>
      </c>
    </row>
    <row r="419" ht="14.25" customHeight="1">
      <c r="A419" s="8" t="s">
        <v>2372</v>
      </c>
      <c r="B419" s="12">
        <v>45897.0</v>
      </c>
      <c r="C419" s="8" t="s">
        <v>1212</v>
      </c>
      <c r="D419" s="8" t="s">
        <v>1763</v>
      </c>
      <c r="E419" s="8" t="s">
        <v>1926</v>
      </c>
      <c r="F419" s="8">
        <v>2.0</v>
      </c>
      <c r="G419" s="8">
        <v>466.27</v>
      </c>
      <c r="H419" s="8">
        <v>0.11</v>
      </c>
      <c r="I419" s="8">
        <f t="shared" si="1"/>
        <v>932.54</v>
      </c>
      <c r="J419" s="8">
        <f t="shared" si="2"/>
        <v>-102.4694</v>
      </c>
      <c r="K419" s="8" t="str">
        <f t="shared" si="3"/>
        <v>Aug</v>
      </c>
      <c r="L419" s="8">
        <f t="shared" si="4"/>
        <v>2025</v>
      </c>
      <c r="N419" s="8" t="str">
        <f t="array" ref="N419">XLOOKUP(C419,Customer_Dim!A:A,Customer_Dim!B:B,"Not Found")</f>
        <v>Kristine Higgins</v>
      </c>
      <c r="O419" s="8" t="str">
        <f t="array" ref="O419">XLOOKUP(C419,Customer_Dim!A:A,Customer_Dim!E:E,"Not Found")</f>
        <v>Jennifertown</v>
      </c>
      <c r="P419" s="8" t="str">
        <f t="array" ref="P419">XLOOKUP(D419,Product_Dim!A:A,Product_Dim!B:B,"Not Found")</f>
        <v>Womens Cotton Scarf</v>
      </c>
      <c r="Q419" s="8" t="str">
        <f t="array" ref="Q419">XLOOKUP(D419,Product_Dim!A:A,Product_Dim!C:C,"Not Found")</f>
        <v>Clothing</v>
      </c>
      <c r="R419" s="8" t="str">
        <f t="array" ref="R419">XLOOKUP(E419,Store_Dim!A:A,Store_Dim!B:B,"Not Found")</f>
        <v>East</v>
      </c>
      <c r="S419" s="8" t="str">
        <f t="array" ref="S419">XLOOKUP(E419,Store_Dim!A:A,Store_Dim!D:D,"Not Found")</f>
        <v>Online</v>
      </c>
    </row>
    <row r="420" ht="14.25" customHeight="1">
      <c r="A420" s="8" t="s">
        <v>2373</v>
      </c>
      <c r="B420" s="12">
        <v>45898.0</v>
      </c>
      <c r="C420" s="8" t="s">
        <v>1256</v>
      </c>
      <c r="D420" s="8" t="s">
        <v>1775</v>
      </c>
      <c r="E420" s="8" t="s">
        <v>1932</v>
      </c>
      <c r="F420" s="8">
        <v>3.0</v>
      </c>
      <c r="G420" s="8">
        <v>969.83</v>
      </c>
      <c r="H420" s="8">
        <v>0.02</v>
      </c>
      <c r="I420" s="8">
        <f t="shared" si="1"/>
        <v>2909.49</v>
      </c>
      <c r="J420" s="8">
        <f t="shared" si="2"/>
        <v>-58.1698</v>
      </c>
      <c r="K420" s="8" t="str">
        <f t="shared" si="3"/>
        <v>Aug</v>
      </c>
      <c r="L420" s="8">
        <f t="shared" si="4"/>
        <v>2025</v>
      </c>
      <c r="N420" s="8" t="str">
        <f t="array" ref="N420">XLOOKUP(C420,Customer_Dim!A:A,Customer_Dim!B:B,"Not Found")</f>
        <v>Jennifer Johnson</v>
      </c>
      <c r="O420" s="8" t="str">
        <f t="array" ref="O420">XLOOKUP(C420,Customer_Dim!A:A,Customer_Dim!E:E,"Not Found")</f>
        <v>Cheyenneborough</v>
      </c>
      <c r="P420" s="8" t="str">
        <f t="array" ref="P420">XLOOKUP(D420,Product_Dim!A:A,Product_Dim!B:B,"Not Found")</f>
        <v>Laptop Cooling Pad</v>
      </c>
      <c r="Q420" s="8" t="str">
        <f t="array" ref="Q420">XLOOKUP(D420,Product_Dim!A:A,Product_Dim!C:C,"Not Found")</f>
        <v>Electronics</v>
      </c>
      <c r="R420" s="8" t="str">
        <f t="array" ref="R420">XLOOKUP(E420,Store_Dim!A:A,Store_Dim!B:B,"Not Found")</f>
        <v>South</v>
      </c>
      <c r="S420" s="8" t="str">
        <f t="array" ref="S420">XLOOKUP(E420,Store_Dim!A:A,Store_Dim!D:D,"Not Found")</f>
        <v>Outlet</v>
      </c>
    </row>
    <row r="421" ht="14.25" customHeight="1">
      <c r="A421" s="8" t="s">
        <v>2374</v>
      </c>
      <c r="B421" s="12">
        <v>45899.0</v>
      </c>
      <c r="C421" s="8" t="s">
        <v>1311</v>
      </c>
      <c r="D421" s="8" t="s">
        <v>1863</v>
      </c>
      <c r="E421" s="8" t="s">
        <v>1941</v>
      </c>
      <c r="F421" s="8">
        <v>2.0</v>
      </c>
      <c r="G421" s="8">
        <v>782.11</v>
      </c>
      <c r="H421" s="8">
        <v>0.17</v>
      </c>
      <c r="I421" s="8">
        <f t="shared" si="1"/>
        <v>1564.22</v>
      </c>
      <c r="J421" s="8">
        <f t="shared" si="2"/>
        <v>-265.7474</v>
      </c>
      <c r="K421" s="8" t="str">
        <f t="shared" si="3"/>
        <v>Aug</v>
      </c>
      <c r="L421" s="8">
        <f t="shared" si="4"/>
        <v>2025</v>
      </c>
      <c r="N421" s="8" t="str">
        <f t="array" ref="N421">XLOOKUP(C421,Customer_Dim!A:A,Customer_Dim!B:B,"Not Found")</f>
        <v>Karen King</v>
      </c>
      <c r="O421" s="8" t="str">
        <f t="array" ref="O421">XLOOKUP(C421,Customer_Dim!A:A,Customer_Dim!E:E,"Not Found")</f>
        <v>Kimburgh</v>
      </c>
      <c r="P421" s="8" t="str">
        <f t="array" ref="P421">XLOOKUP(D421,Product_Dim!A:A,Product_Dim!B:B,"Not Found")</f>
        <v>Women's High Heels</v>
      </c>
      <c r="Q421" s="8" t="str">
        <f t="array" ref="Q421">XLOOKUP(D421,Product_Dim!A:A,Product_Dim!C:C,"Not Found")</f>
        <v>Clothing</v>
      </c>
      <c r="R421" s="8" t="str">
        <f t="array" ref="R421">XLOOKUP(E421,Store_Dim!A:A,Store_Dim!B:B,"Not Found")</f>
        <v>East</v>
      </c>
      <c r="S421" s="8" t="str">
        <f t="array" ref="S421">XLOOKUP(E421,Store_Dim!A:A,Store_Dim!D:D,"Not Found")</f>
        <v>Online</v>
      </c>
    </row>
    <row r="422" ht="14.25" customHeight="1">
      <c r="A422" s="8" t="s">
        <v>2375</v>
      </c>
      <c r="B422" s="12">
        <v>45900.0</v>
      </c>
      <c r="C422" s="8" t="s">
        <v>1411</v>
      </c>
      <c r="D422" s="8" t="s">
        <v>1707</v>
      </c>
      <c r="E422" s="8" t="s">
        <v>1928</v>
      </c>
      <c r="F422" s="8">
        <v>2.0</v>
      </c>
      <c r="G422" s="8">
        <v>74.63</v>
      </c>
      <c r="H422" s="8">
        <v>0.01</v>
      </c>
      <c r="I422" s="8">
        <f t="shared" si="1"/>
        <v>149.26</v>
      </c>
      <c r="J422" s="8">
        <f t="shared" si="2"/>
        <v>-1.4826</v>
      </c>
      <c r="K422" s="8" t="str">
        <f t="shared" si="3"/>
        <v>Aug</v>
      </c>
      <c r="L422" s="8">
        <f t="shared" si="4"/>
        <v>2025</v>
      </c>
      <c r="N422" s="8" t="str">
        <f t="array" ref="N422">XLOOKUP(C422,Customer_Dim!A:A,Customer_Dim!B:B,"Not Found")</f>
        <v>Ashley Roberts</v>
      </c>
      <c r="O422" s="8" t="str">
        <f t="array" ref="O422">XLOOKUP(C422,Customer_Dim!A:A,Customer_Dim!E:E,"Not Found")</f>
        <v>Josephmouth</v>
      </c>
      <c r="P422" s="8" t="str">
        <f t="array" ref="P422">XLOOKUP(D422,Product_Dim!A:A,Product_Dim!B:B,"Not Found")</f>
        <v>Noise-Canceling Headphones</v>
      </c>
      <c r="Q422" s="8" t="str">
        <f t="array" ref="Q422">XLOOKUP(D422,Product_Dim!A:A,Product_Dim!C:C,"Not Found")</f>
        <v>Electronics</v>
      </c>
      <c r="R422" s="8" t="str">
        <f t="array" ref="R422">XLOOKUP(E422,Store_Dim!A:A,Store_Dim!B:B,"Not Found")</f>
        <v>South</v>
      </c>
      <c r="S422" s="8" t="str">
        <f t="array" ref="S422">XLOOKUP(E422,Store_Dim!A:A,Store_Dim!D:D,"Not Found")</f>
        <v>Online</v>
      </c>
    </row>
    <row r="423" ht="14.25" customHeight="1">
      <c r="A423" s="8" t="s">
        <v>2376</v>
      </c>
      <c r="B423" s="12">
        <v>45901.0</v>
      </c>
      <c r="C423" s="8" t="s">
        <v>170</v>
      </c>
      <c r="D423" s="8" t="s">
        <v>1845</v>
      </c>
      <c r="E423" s="8" t="s">
        <v>1917</v>
      </c>
      <c r="F423" s="8">
        <v>3.0</v>
      </c>
      <c r="G423" s="8">
        <v>522.78</v>
      </c>
      <c r="H423" s="8">
        <v>0.25</v>
      </c>
      <c r="I423" s="8">
        <f t="shared" si="1"/>
        <v>1568.34</v>
      </c>
      <c r="J423" s="8">
        <f t="shared" si="2"/>
        <v>-391.835</v>
      </c>
      <c r="K423" s="8" t="str">
        <f t="shared" si="3"/>
        <v>Sep</v>
      </c>
      <c r="L423" s="8">
        <f t="shared" si="4"/>
        <v>2025</v>
      </c>
      <c r="N423" s="8" t="str">
        <f t="array" ref="N423">XLOOKUP(C423,Customer_Dim!A:A,Customer_Dim!B:B,"Not Found")</f>
        <v>James Gibbs</v>
      </c>
      <c r="O423" s="8" t="str">
        <f t="array" ref="O423">XLOOKUP(C423,Customer_Dim!A:A,Customer_Dim!E:E,"Not Found")</f>
        <v>Mooneyshire</v>
      </c>
      <c r="P423" s="8" t="str">
        <f t="array" ref="P423">XLOOKUP(D423,Product_Dim!A:A,Product_Dim!B:B,"Not Found")</f>
        <v>Women's Beanie Hat</v>
      </c>
      <c r="Q423" s="8" t="str">
        <f t="array" ref="Q423">XLOOKUP(D423,Product_Dim!A:A,Product_Dim!C:C,"Not Found")</f>
        <v>Clothing</v>
      </c>
      <c r="R423" s="8" t="str">
        <f t="array" ref="R423">XLOOKUP(E423,Store_Dim!A:A,Store_Dim!B:B,"Not Found")</f>
        <v>East</v>
      </c>
      <c r="S423" s="8" t="str">
        <f t="array" ref="S423">XLOOKUP(E423,Store_Dim!A:A,Store_Dim!D:D,"Not Found")</f>
        <v>Online</v>
      </c>
    </row>
    <row r="424" ht="14.25" customHeight="1">
      <c r="A424" s="8" t="s">
        <v>2377</v>
      </c>
      <c r="B424" s="12">
        <v>45902.0</v>
      </c>
      <c r="C424" s="8" t="s">
        <v>1077</v>
      </c>
      <c r="D424" s="8" t="s">
        <v>1617</v>
      </c>
      <c r="E424" s="8" t="s">
        <v>1933</v>
      </c>
      <c r="F424" s="8">
        <v>1.0</v>
      </c>
      <c r="G424" s="8">
        <v>206.45</v>
      </c>
      <c r="H424" s="8">
        <v>0.15</v>
      </c>
      <c r="I424" s="8">
        <f t="shared" si="1"/>
        <v>206.45</v>
      </c>
      <c r="J424" s="8">
        <f t="shared" si="2"/>
        <v>-30.8175</v>
      </c>
      <c r="K424" s="8" t="str">
        <f t="shared" si="3"/>
        <v>Sep</v>
      </c>
      <c r="L424" s="8">
        <f t="shared" si="4"/>
        <v>2025</v>
      </c>
      <c r="N424" s="8" t="str">
        <f t="array" ref="N424">XLOOKUP(C424,Customer_Dim!A:A,Customer_Dim!B:B,"Not Found")</f>
        <v>Jasmine Snyder</v>
      </c>
      <c r="O424" s="8" t="str">
        <f t="array" ref="O424">XLOOKUP(C424,Customer_Dim!A:A,Customer_Dim!E:E,"Not Found")</f>
        <v>Hudsonfort</v>
      </c>
      <c r="P424" s="8" t="str">
        <f t="array" ref="P424">XLOOKUP(D424,Product_Dim!A:A,Product_Dim!B:B,"Not Found")</f>
        <v>USB-C Fast Charger</v>
      </c>
      <c r="Q424" s="8" t="str">
        <f t="array" ref="Q424">XLOOKUP(D424,Product_Dim!A:A,Product_Dim!C:C,"Not Found")</f>
        <v>Electronics</v>
      </c>
      <c r="R424" s="8" t="str">
        <f t="array" ref="R424">XLOOKUP(E424,Store_Dim!A:A,Store_Dim!B:B,"Not Found")</f>
        <v>North</v>
      </c>
      <c r="S424" s="8" t="str">
        <f t="array" ref="S424">XLOOKUP(E424,Store_Dim!A:A,Store_Dim!D:D,"Not Found")</f>
        <v>Flagship</v>
      </c>
    </row>
    <row r="425" ht="14.25" customHeight="1">
      <c r="A425" s="8" t="s">
        <v>2378</v>
      </c>
      <c r="B425" s="12">
        <v>45903.0</v>
      </c>
      <c r="C425" s="8" t="s">
        <v>502</v>
      </c>
      <c r="D425" s="8" t="s">
        <v>1797</v>
      </c>
      <c r="E425" s="8" t="s">
        <v>1915</v>
      </c>
      <c r="F425" s="8">
        <v>1.0</v>
      </c>
      <c r="G425" s="8">
        <v>815.53</v>
      </c>
      <c r="H425" s="8">
        <v>0.3</v>
      </c>
      <c r="I425" s="8">
        <f t="shared" si="1"/>
        <v>815.53</v>
      </c>
      <c r="J425" s="8">
        <f t="shared" si="2"/>
        <v>-244.359</v>
      </c>
      <c r="K425" s="8" t="str">
        <f t="shared" si="3"/>
        <v>Sep</v>
      </c>
      <c r="L425" s="8">
        <f t="shared" si="4"/>
        <v>2025</v>
      </c>
      <c r="N425" s="8" t="str">
        <f t="array" ref="N425">XLOOKUP(C425,Customer_Dim!A:A,Customer_Dim!B:B,"Not Found")</f>
        <v>Cameron Simpson</v>
      </c>
      <c r="O425" s="8" t="str">
        <f t="array" ref="O425">XLOOKUP(C425,Customer_Dim!A:A,Customer_Dim!E:E,"Not Found")</f>
        <v>Michaelfort</v>
      </c>
      <c r="P425" s="8" t="str">
        <f t="array" ref="P425">XLOOKUP(D425,Product_Dim!A:A,Product_Dim!B:B,"Not Found")</f>
        <v>Men's Sports Shorts</v>
      </c>
      <c r="Q425" s="8" t="str">
        <f t="array" ref="Q425">XLOOKUP(D425,Product_Dim!A:A,Product_Dim!C:C,"Not Found")</f>
        <v>Clothing</v>
      </c>
      <c r="R425" s="8" t="str">
        <f t="array" ref="R425">XLOOKUP(E425,Store_Dim!A:A,Store_Dim!B:B,"Not Found")</f>
        <v>North</v>
      </c>
      <c r="S425" s="8" t="str">
        <f t="array" ref="S425">XLOOKUP(E425,Store_Dim!A:A,Store_Dim!D:D,"Not Found")</f>
        <v>Outlet</v>
      </c>
    </row>
    <row r="426" ht="14.25" customHeight="1">
      <c r="A426" s="8" t="s">
        <v>2379</v>
      </c>
      <c r="B426" s="12">
        <v>45904.0</v>
      </c>
      <c r="C426" s="8" t="s">
        <v>157</v>
      </c>
      <c r="D426" s="8" t="s">
        <v>1827</v>
      </c>
      <c r="E426" s="8" t="s">
        <v>1931</v>
      </c>
      <c r="F426" s="8">
        <v>1.0</v>
      </c>
      <c r="G426" s="8">
        <v>823.61</v>
      </c>
      <c r="H426" s="8">
        <v>0.28</v>
      </c>
      <c r="I426" s="8">
        <f t="shared" si="1"/>
        <v>823.61</v>
      </c>
      <c r="J426" s="8">
        <f t="shared" si="2"/>
        <v>-230.3308</v>
      </c>
      <c r="K426" s="8" t="str">
        <f t="shared" si="3"/>
        <v>Sep</v>
      </c>
      <c r="L426" s="8">
        <f t="shared" si="4"/>
        <v>2025</v>
      </c>
      <c r="N426" s="8" t="str">
        <f t="array" ref="N426">XLOOKUP(C426,Customer_Dim!A:A,Customer_Dim!B:B,"Not Found")</f>
        <v>Christopher Carter</v>
      </c>
      <c r="O426" s="8" t="str">
        <f t="array" ref="O426">XLOOKUP(C426,Customer_Dim!A:A,Customer_Dim!E:E,"Not Found")</f>
        <v>Brendastad</v>
      </c>
      <c r="P426" s="8" t="str">
        <f t="array" ref="P426">XLOOKUP(D426,Product_Dim!A:A,Product_Dim!B:B,"Not Found")</f>
        <v>Decorative Lamp Shade</v>
      </c>
      <c r="Q426" s="8" t="str">
        <f t="array" ref="Q426">XLOOKUP(D426,Product_Dim!A:A,Product_Dim!C:C,"Not Found")</f>
        <v>Home</v>
      </c>
      <c r="R426" s="8" t="str">
        <f t="array" ref="R426">XLOOKUP(E426,Store_Dim!A:A,Store_Dim!B:B,"Not Found")</f>
        <v>East</v>
      </c>
      <c r="S426" s="8" t="str">
        <f t="array" ref="S426">XLOOKUP(E426,Store_Dim!A:A,Store_Dim!D:D,"Not Found")</f>
        <v>Flagship</v>
      </c>
    </row>
    <row r="427" ht="14.25" customHeight="1">
      <c r="A427" s="8" t="s">
        <v>2380</v>
      </c>
      <c r="B427" s="12">
        <v>45905.0</v>
      </c>
      <c r="C427" s="8" t="s">
        <v>1488</v>
      </c>
      <c r="D427" s="8" t="s">
        <v>1851</v>
      </c>
      <c r="E427" s="8" t="s">
        <v>1924</v>
      </c>
      <c r="F427" s="8">
        <v>2.0</v>
      </c>
      <c r="G427" s="8">
        <v>209.96</v>
      </c>
      <c r="H427" s="8">
        <v>0.0</v>
      </c>
      <c r="I427" s="8">
        <f t="shared" si="1"/>
        <v>419.92</v>
      </c>
      <c r="J427" s="8">
        <f t="shared" si="2"/>
        <v>0</v>
      </c>
      <c r="K427" s="8" t="str">
        <f t="shared" si="3"/>
        <v>Sep</v>
      </c>
      <c r="L427" s="8">
        <f t="shared" si="4"/>
        <v>2025</v>
      </c>
      <c r="N427" s="8" t="str">
        <f t="array" ref="N427">XLOOKUP(C427,Customer_Dim!A:A,Customer_Dim!B:B,"Not Found")</f>
        <v>Earl Smith DDS</v>
      </c>
      <c r="O427" s="8" t="str">
        <f t="array" ref="O427">XLOOKUP(C427,Customer_Dim!A:A,Customer_Dim!E:E,"Not Found")</f>
        <v>West Sarah</v>
      </c>
      <c r="P427" s="8" t="str">
        <f t="array" ref="P427">XLOOKUP(D427,Product_Dim!A:A,Product_Dim!B:B,"Not Found")</f>
        <v>LED Bedside Lamp</v>
      </c>
      <c r="Q427" s="8" t="str">
        <f t="array" ref="Q427">XLOOKUP(D427,Product_Dim!A:A,Product_Dim!C:C,"Not Found")</f>
        <v>Home</v>
      </c>
      <c r="R427" s="8" t="str">
        <f t="array" ref="R427">XLOOKUP(E427,Store_Dim!A:A,Store_Dim!B:B,"Not Found")</f>
        <v>South</v>
      </c>
      <c r="S427" s="8" t="str">
        <f t="array" ref="S427">XLOOKUP(E427,Store_Dim!A:A,Store_Dim!D:D,"Not Found")</f>
        <v>Flagship</v>
      </c>
    </row>
    <row r="428" ht="14.25" customHeight="1">
      <c r="A428" s="8" t="s">
        <v>2381</v>
      </c>
      <c r="B428" s="12">
        <v>45906.0</v>
      </c>
      <c r="C428" s="8" t="s">
        <v>591</v>
      </c>
      <c r="D428" s="8" t="s">
        <v>1562</v>
      </c>
      <c r="E428" s="8" t="s">
        <v>1935</v>
      </c>
      <c r="F428" s="8">
        <v>4.0</v>
      </c>
      <c r="G428" s="8">
        <v>897.93</v>
      </c>
      <c r="H428" s="8">
        <v>0.05</v>
      </c>
      <c r="I428" s="8">
        <f t="shared" si="1"/>
        <v>3591.72</v>
      </c>
      <c r="J428" s="8">
        <f t="shared" si="2"/>
        <v>-179.536</v>
      </c>
      <c r="K428" s="8" t="str">
        <f t="shared" si="3"/>
        <v>Sep</v>
      </c>
      <c r="L428" s="8">
        <f t="shared" si="4"/>
        <v>2025</v>
      </c>
      <c r="N428" s="8" t="str">
        <f t="array" ref="N428">XLOOKUP(C428,Customer_Dim!A:A,Customer_Dim!B:B,"Not Found")</f>
        <v>Michelle Rogers</v>
      </c>
      <c r="O428" s="8" t="str">
        <f t="array" ref="O428">XLOOKUP(C428,Customer_Dim!A:A,Customer_Dim!E:E,"Not Found")</f>
        <v>East Jessicaborough</v>
      </c>
      <c r="P428" s="8" t="str">
        <f t="array" ref="P428">XLOOKUP(D428,Product_Dim!A:A,Product_Dim!B:B,"Not Found")</f>
        <v>Brother Laser Printer</v>
      </c>
      <c r="Q428" s="8" t="str">
        <f t="array" ref="Q428">XLOOKUP(D428,Product_Dim!A:A,Product_Dim!C:C,"Not Found")</f>
        <v>Electronics</v>
      </c>
      <c r="R428" s="8" t="str">
        <f t="array" ref="R428">XLOOKUP(E428,Store_Dim!A:A,Store_Dim!B:B,"Not Found")</f>
        <v>West</v>
      </c>
      <c r="S428" s="8" t="str">
        <f t="array" ref="S428">XLOOKUP(E428,Store_Dim!A:A,Store_Dim!D:D,"Not Found")</f>
        <v>Flagship</v>
      </c>
    </row>
    <row r="429" ht="14.25" customHeight="1">
      <c r="A429" s="8" t="s">
        <v>2382</v>
      </c>
      <c r="B429" s="12">
        <v>45907.0</v>
      </c>
      <c r="C429" s="8" t="s">
        <v>610</v>
      </c>
      <c r="D429" s="8" t="s">
        <v>1778</v>
      </c>
      <c r="E429" s="8" t="s">
        <v>1899</v>
      </c>
      <c r="F429" s="8">
        <v>4.0</v>
      </c>
      <c r="G429" s="8">
        <v>925.95</v>
      </c>
      <c r="H429" s="8">
        <v>0.16</v>
      </c>
      <c r="I429" s="8">
        <f t="shared" si="1"/>
        <v>3703.8</v>
      </c>
      <c r="J429" s="8">
        <f t="shared" si="2"/>
        <v>-592.448</v>
      </c>
      <c r="K429" s="8" t="str">
        <f t="shared" si="3"/>
        <v>Sep</v>
      </c>
      <c r="L429" s="8">
        <f t="shared" si="4"/>
        <v>2025</v>
      </c>
      <c r="N429" s="8" t="str">
        <f t="array" ref="N429">XLOOKUP(C429,Customer_Dim!A:A,Customer_Dim!B:B,"Not Found")</f>
        <v>Erin Ward</v>
      </c>
      <c r="O429" s="8" t="str">
        <f t="array" ref="O429">XLOOKUP(C429,Customer_Dim!A:A,Customer_Dim!E:E,"Not Found")</f>
        <v>New Brianchester</v>
      </c>
      <c r="P429" s="8" t="str">
        <f t="array" ref="P429">XLOOKUP(D429,Product_Dim!A:A,Product_Dim!B:B,"Not Found")</f>
        <v>Organic Sunscreen Lotion</v>
      </c>
      <c r="Q429" s="8" t="str">
        <f t="array" ref="Q429">XLOOKUP(D429,Product_Dim!A:A,Product_Dim!C:C,"Not Found")</f>
        <v>Beauty</v>
      </c>
      <c r="R429" s="8" t="str">
        <f t="array" ref="R429">XLOOKUP(E429,Store_Dim!A:A,Store_Dim!B:B,"Not Found")</f>
        <v>East</v>
      </c>
      <c r="S429" s="8" t="str">
        <f t="array" ref="S429">XLOOKUP(E429,Store_Dim!A:A,Store_Dim!D:D,"Not Found")</f>
        <v>Flagship</v>
      </c>
    </row>
    <row r="430" ht="14.25" customHeight="1">
      <c r="A430" s="8" t="s">
        <v>2383</v>
      </c>
      <c r="B430" s="12">
        <v>45908.0</v>
      </c>
      <c r="C430" s="8" t="s">
        <v>314</v>
      </c>
      <c r="D430" s="8" t="s">
        <v>1742</v>
      </c>
      <c r="E430" s="8" t="s">
        <v>1917</v>
      </c>
      <c r="F430" s="8">
        <v>2.0</v>
      </c>
      <c r="G430" s="8">
        <v>573.09</v>
      </c>
      <c r="H430" s="8">
        <v>0.03</v>
      </c>
      <c r="I430" s="8">
        <f t="shared" si="1"/>
        <v>1146.18</v>
      </c>
      <c r="J430" s="8">
        <f t="shared" si="2"/>
        <v>-34.3554</v>
      </c>
      <c r="K430" s="8" t="str">
        <f t="shared" si="3"/>
        <v>Sep</v>
      </c>
      <c r="L430" s="8">
        <f t="shared" si="4"/>
        <v>2025</v>
      </c>
      <c r="N430" s="8" t="str">
        <f t="array" ref="N430">XLOOKUP(C430,Customer_Dim!A:A,Customer_Dim!B:B,"Not Found")</f>
        <v>Christy Hoffman</v>
      </c>
      <c r="O430" s="8" t="str">
        <f t="array" ref="O430">XLOOKUP(C430,Customer_Dim!A:A,Customer_Dim!E:E,"Not Found")</f>
        <v>Garyberg</v>
      </c>
      <c r="P430" s="8" t="str">
        <f t="array" ref="P430">XLOOKUP(D430,Product_Dim!A:A,Product_Dim!B:B,"Not Found")</f>
        <v>HDMI Cable – 2m</v>
      </c>
      <c r="Q430" s="8" t="str">
        <f t="array" ref="Q430">XLOOKUP(D430,Product_Dim!A:A,Product_Dim!C:C,"Not Found")</f>
        <v>Electronics</v>
      </c>
      <c r="R430" s="8" t="str">
        <f t="array" ref="R430">XLOOKUP(E430,Store_Dim!A:A,Store_Dim!B:B,"Not Found")</f>
        <v>East</v>
      </c>
      <c r="S430" s="8" t="str">
        <f t="array" ref="S430">XLOOKUP(E430,Store_Dim!A:A,Store_Dim!D:D,"Not Found")</f>
        <v>Online</v>
      </c>
    </row>
    <row r="431" ht="14.25" customHeight="1">
      <c r="A431" s="8" t="s">
        <v>2384</v>
      </c>
      <c r="B431" s="12">
        <v>45909.0</v>
      </c>
      <c r="C431" s="8" t="s">
        <v>616</v>
      </c>
      <c r="D431" s="8" t="s">
        <v>1592</v>
      </c>
      <c r="E431" s="8" t="s">
        <v>1912</v>
      </c>
      <c r="F431" s="8">
        <v>4.0</v>
      </c>
      <c r="G431" s="8">
        <v>149.83</v>
      </c>
      <c r="H431" s="8">
        <v>0.02</v>
      </c>
      <c r="I431" s="8">
        <f t="shared" si="1"/>
        <v>599.32</v>
      </c>
      <c r="J431" s="8">
        <f t="shared" si="2"/>
        <v>-11.9664</v>
      </c>
      <c r="K431" s="8" t="str">
        <f t="shared" si="3"/>
        <v>Sep</v>
      </c>
      <c r="L431" s="8">
        <f t="shared" si="4"/>
        <v>2025</v>
      </c>
      <c r="N431" s="8" t="str">
        <f t="array" ref="N431">XLOOKUP(C431,Customer_Dim!A:A,Customer_Dim!B:B,"Not Found")</f>
        <v>Mario Jacobs</v>
      </c>
      <c r="O431" s="8" t="str">
        <f t="array" ref="O431">XLOOKUP(C431,Customer_Dim!A:A,Customer_Dim!E:E,"Not Found")</f>
        <v>Port James</v>
      </c>
      <c r="P431" s="8" t="str">
        <f t="array" ref="P431">XLOOKUP(D431,Product_Dim!A:A,Product_Dim!B:B,"Not Found")</f>
        <v>LED Table Lamp</v>
      </c>
      <c r="Q431" s="8" t="str">
        <f t="array" ref="Q431">XLOOKUP(D431,Product_Dim!A:A,Product_Dim!C:C,"Not Found")</f>
        <v>Home</v>
      </c>
      <c r="R431" s="8" t="str">
        <f t="array" ref="R431">XLOOKUP(E431,Store_Dim!A:A,Store_Dim!B:B,"Not Found")</f>
        <v>South</v>
      </c>
      <c r="S431" s="8" t="str">
        <f t="array" ref="S431">XLOOKUP(E431,Store_Dim!A:A,Store_Dim!D:D,"Not Found")</f>
        <v>Online</v>
      </c>
    </row>
    <row r="432" ht="14.25" customHeight="1">
      <c r="A432" s="8" t="s">
        <v>2385</v>
      </c>
      <c r="B432" s="12">
        <v>45910.0</v>
      </c>
      <c r="C432" s="8" t="s">
        <v>20</v>
      </c>
      <c r="D432" s="8" t="s">
        <v>1742</v>
      </c>
      <c r="E432" s="8" t="s">
        <v>1932</v>
      </c>
      <c r="F432" s="8">
        <v>3.0</v>
      </c>
      <c r="G432" s="8">
        <v>287.71</v>
      </c>
      <c r="H432" s="8">
        <v>0.03</v>
      </c>
      <c r="I432" s="8">
        <f t="shared" si="1"/>
        <v>863.13</v>
      </c>
      <c r="J432" s="8">
        <f t="shared" si="2"/>
        <v>-25.8639</v>
      </c>
      <c r="K432" s="8" t="str">
        <f t="shared" si="3"/>
        <v>Sep</v>
      </c>
      <c r="L432" s="8">
        <f t="shared" si="4"/>
        <v>2025</v>
      </c>
      <c r="N432" s="8" t="str">
        <f t="array" ref="N432">XLOOKUP(C432,Customer_Dim!A:A,Customer_Dim!B:B,"Not Found")</f>
        <v>Eugene Nelson</v>
      </c>
      <c r="O432" s="8" t="str">
        <f t="array" ref="O432">XLOOKUP(C432,Customer_Dim!A:A,Customer_Dim!E:E,"Not Found")</f>
        <v>Phillipsmouth</v>
      </c>
      <c r="P432" s="8" t="str">
        <f t="array" ref="P432">XLOOKUP(D432,Product_Dim!A:A,Product_Dim!B:B,"Not Found")</f>
        <v>HDMI Cable – 2m</v>
      </c>
      <c r="Q432" s="8" t="str">
        <f t="array" ref="Q432">XLOOKUP(D432,Product_Dim!A:A,Product_Dim!C:C,"Not Found")</f>
        <v>Electronics</v>
      </c>
      <c r="R432" s="8" t="str">
        <f t="array" ref="R432">XLOOKUP(E432,Store_Dim!A:A,Store_Dim!B:B,"Not Found")</f>
        <v>South</v>
      </c>
      <c r="S432" s="8" t="str">
        <f t="array" ref="S432">XLOOKUP(E432,Store_Dim!A:A,Store_Dim!D:D,"Not Found")</f>
        <v>Outlet</v>
      </c>
    </row>
    <row r="433" ht="14.25" customHeight="1">
      <c r="A433" s="8" t="s">
        <v>2386</v>
      </c>
      <c r="B433" s="12">
        <v>45911.0</v>
      </c>
      <c r="C433" s="8" t="s">
        <v>348</v>
      </c>
      <c r="D433" s="8" t="s">
        <v>1790</v>
      </c>
      <c r="E433" s="8" t="s">
        <v>1917</v>
      </c>
      <c r="F433" s="8">
        <v>2.0</v>
      </c>
      <c r="G433" s="8">
        <v>849.8</v>
      </c>
      <c r="H433" s="8">
        <v>0.06</v>
      </c>
      <c r="I433" s="8">
        <f t="shared" si="1"/>
        <v>1699.6</v>
      </c>
      <c r="J433" s="8">
        <f t="shared" si="2"/>
        <v>-101.916</v>
      </c>
      <c r="K433" s="8" t="str">
        <f t="shared" si="3"/>
        <v>Sep</v>
      </c>
      <c r="L433" s="8">
        <f t="shared" si="4"/>
        <v>2025</v>
      </c>
      <c r="N433" s="8" t="str">
        <f t="array" ref="N433">XLOOKUP(C433,Customer_Dim!A:A,Customer_Dim!B:B,"Not Found")</f>
        <v>David Patterson</v>
      </c>
      <c r="O433" s="8" t="str">
        <f t="array" ref="O433">XLOOKUP(C433,Customer_Dim!A:A,Customer_Dim!E:E,"Not Found")</f>
        <v>New Amyport</v>
      </c>
      <c r="P433" s="8" t="str">
        <f t="array" ref="P433">XLOOKUP(D433,Product_Dim!A:A,Product_Dim!B:B,"Not Found")</f>
        <v>Smart LED Light Strip</v>
      </c>
      <c r="Q433" s="8" t="str">
        <f t="array" ref="Q433">XLOOKUP(D433,Product_Dim!A:A,Product_Dim!C:C,"Not Found")</f>
        <v>Electronics</v>
      </c>
      <c r="R433" s="8" t="str">
        <f t="array" ref="R433">XLOOKUP(E433,Store_Dim!A:A,Store_Dim!B:B,"Not Found")</f>
        <v>East</v>
      </c>
      <c r="S433" s="8" t="str">
        <f t="array" ref="S433">XLOOKUP(E433,Store_Dim!A:A,Store_Dim!D:D,"Not Found")</f>
        <v>Online</v>
      </c>
    </row>
    <row r="434" ht="14.25" customHeight="1">
      <c r="A434" s="8" t="s">
        <v>2387</v>
      </c>
      <c r="B434" s="12">
        <v>45912.0</v>
      </c>
      <c r="C434" s="8" t="s">
        <v>84</v>
      </c>
      <c r="D434" s="8" t="s">
        <v>1710</v>
      </c>
      <c r="E434" s="8" t="s">
        <v>1910</v>
      </c>
      <c r="F434" s="8">
        <v>3.0</v>
      </c>
      <c r="G434" s="8">
        <v>482.58</v>
      </c>
      <c r="H434" s="8">
        <v>0.28</v>
      </c>
      <c r="I434" s="8">
        <f t="shared" si="1"/>
        <v>1447.74</v>
      </c>
      <c r="J434" s="8">
        <f t="shared" si="2"/>
        <v>-405.0872</v>
      </c>
      <c r="K434" s="8" t="str">
        <f t="shared" si="3"/>
        <v>Sep</v>
      </c>
      <c r="L434" s="8">
        <f t="shared" si="4"/>
        <v>2025</v>
      </c>
      <c r="N434" s="8" t="str">
        <f t="array" ref="N434">XLOOKUP(C434,Customer_Dim!A:A,Customer_Dim!B:B,"Not Found")</f>
        <v>John Scott</v>
      </c>
      <c r="O434" s="8" t="str">
        <f t="array" ref="O434">XLOOKUP(C434,Customer_Dim!A:A,Customer_Dim!E:E,"Not Found")</f>
        <v>South Christopher</v>
      </c>
      <c r="P434" s="8" t="str">
        <f t="array" ref="P434">XLOOKUP(D434,Product_Dim!A:A,Product_Dim!B:B,"Not Found")</f>
        <v>Yoga Exercise Mat</v>
      </c>
      <c r="Q434" s="8" t="str">
        <f t="array" ref="Q434">XLOOKUP(D434,Product_Dim!A:A,Product_Dim!C:C,"Not Found")</f>
        <v>Sports</v>
      </c>
      <c r="R434" s="8" t="str">
        <f t="array" ref="R434">XLOOKUP(E434,Store_Dim!A:A,Store_Dim!B:B,"Not Found")</f>
        <v>North</v>
      </c>
      <c r="S434" s="8" t="str">
        <f t="array" ref="S434">XLOOKUP(E434,Store_Dim!A:A,Store_Dim!D:D,"Not Found")</f>
        <v>Outlet</v>
      </c>
    </row>
    <row r="435" ht="14.25" customHeight="1">
      <c r="A435" s="8" t="s">
        <v>2388</v>
      </c>
      <c r="B435" s="12">
        <v>45913.0</v>
      </c>
      <c r="C435" s="8" t="s">
        <v>409</v>
      </c>
      <c r="D435" s="8" t="s">
        <v>1766</v>
      </c>
      <c r="E435" s="8" t="s">
        <v>1906</v>
      </c>
      <c r="F435" s="8">
        <v>2.0</v>
      </c>
      <c r="G435" s="8">
        <v>64.7</v>
      </c>
      <c r="H435" s="8">
        <v>0.0</v>
      </c>
      <c r="I435" s="8">
        <f t="shared" si="1"/>
        <v>129.4</v>
      </c>
      <c r="J435" s="8">
        <f t="shared" si="2"/>
        <v>0</v>
      </c>
      <c r="K435" s="8" t="str">
        <f t="shared" si="3"/>
        <v>Sep</v>
      </c>
      <c r="L435" s="8">
        <f t="shared" si="4"/>
        <v>2025</v>
      </c>
      <c r="N435" s="8" t="str">
        <f t="array" ref="N435">XLOOKUP(C435,Customer_Dim!A:A,Customer_Dim!B:B,"Not Found")</f>
        <v>Ryan Hernandez</v>
      </c>
      <c r="O435" s="8" t="str">
        <f t="array" ref="O435">XLOOKUP(C435,Customer_Dim!A:A,Customer_Dim!E:E,"Not Found")</f>
        <v>East Donna</v>
      </c>
      <c r="P435" s="8" t="str">
        <f t="array" ref="P435">XLOOKUP(D435,Product_Dim!A:A,Product_Dim!B:B,"Not Found")</f>
        <v>Men's Hair Styling Gel</v>
      </c>
      <c r="Q435" s="8" t="str">
        <f t="array" ref="Q435">XLOOKUP(D435,Product_Dim!A:A,Product_Dim!C:C,"Not Found")</f>
        <v>Beauty</v>
      </c>
      <c r="R435" s="8" t="str">
        <f t="array" ref="R435">XLOOKUP(E435,Store_Dim!A:A,Store_Dim!B:B,"Not Found")</f>
        <v>South</v>
      </c>
      <c r="S435" s="8" t="str">
        <f t="array" ref="S435">XLOOKUP(E435,Store_Dim!A:A,Store_Dim!D:D,"Not Found")</f>
        <v>Outlet</v>
      </c>
    </row>
    <row r="436" ht="14.25" customHeight="1">
      <c r="A436" s="8" t="s">
        <v>2389</v>
      </c>
      <c r="B436" s="12">
        <v>45914.0</v>
      </c>
      <c r="C436" s="8" t="s">
        <v>511</v>
      </c>
      <c r="D436" s="8" t="s">
        <v>1583</v>
      </c>
      <c r="E436" s="8" t="s">
        <v>1915</v>
      </c>
      <c r="F436" s="8">
        <v>3.0</v>
      </c>
      <c r="G436" s="8">
        <v>589.83</v>
      </c>
      <c r="H436" s="8">
        <v>0.26</v>
      </c>
      <c r="I436" s="8">
        <f t="shared" si="1"/>
        <v>1769.49</v>
      </c>
      <c r="J436" s="8">
        <f t="shared" si="2"/>
        <v>-459.8074</v>
      </c>
      <c r="K436" s="8" t="str">
        <f t="shared" si="3"/>
        <v>Sep</v>
      </c>
      <c r="L436" s="8">
        <f t="shared" si="4"/>
        <v>2025</v>
      </c>
      <c r="N436" s="8" t="str">
        <f t="array" ref="N436">XLOOKUP(C436,Customer_Dim!A:A,Customer_Dim!B:B,"Not Found")</f>
        <v>Theresa Campbell</v>
      </c>
      <c r="O436" s="8" t="str">
        <f t="array" ref="O436">XLOOKUP(C436,Customer_Dim!A:A,Customer_Dim!E:E,"Not Found")</f>
        <v>New Brian</v>
      </c>
      <c r="P436" s="8" t="str">
        <f t="array" ref="P436">XLOOKUP(D436,Product_Dim!A:A,Product_Dim!B:B,"Not Found")</f>
        <v>Men's Leather Belt</v>
      </c>
      <c r="Q436" s="8" t="str">
        <f t="array" ref="Q436">XLOOKUP(D436,Product_Dim!A:A,Product_Dim!C:C,"Not Found")</f>
        <v>Clothing</v>
      </c>
      <c r="R436" s="8" t="str">
        <f t="array" ref="R436">XLOOKUP(E436,Store_Dim!A:A,Store_Dim!B:B,"Not Found")</f>
        <v>North</v>
      </c>
      <c r="S436" s="8" t="str">
        <f t="array" ref="S436">XLOOKUP(E436,Store_Dim!A:A,Store_Dim!D:D,"Not Found")</f>
        <v>Outlet</v>
      </c>
    </row>
    <row r="437" ht="14.25" customHeight="1">
      <c r="A437" s="8" t="s">
        <v>2390</v>
      </c>
      <c r="B437" s="12">
        <v>45915.0</v>
      </c>
      <c r="C437" s="8" t="s">
        <v>929</v>
      </c>
      <c r="D437" s="8" t="s">
        <v>2052</v>
      </c>
      <c r="E437" s="8" t="s">
        <v>1924</v>
      </c>
      <c r="F437" s="8">
        <v>4.0</v>
      </c>
      <c r="G437" s="8">
        <v>758.49</v>
      </c>
      <c r="H437" s="8">
        <v>0.16</v>
      </c>
      <c r="I437" s="8">
        <f t="shared" si="1"/>
        <v>3033.96</v>
      </c>
      <c r="J437" s="8">
        <f t="shared" si="2"/>
        <v>-485.2736</v>
      </c>
      <c r="K437" s="8" t="str">
        <f t="shared" si="3"/>
        <v>Sep</v>
      </c>
      <c r="L437" s="8">
        <f t="shared" si="4"/>
        <v>2025</v>
      </c>
      <c r="N437" s="8" t="str">
        <f t="array" ref="N437">XLOOKUP(C437,Customer_Dim!A:A,Customer_Dim!B:B,"Not Found")</f>
        <v>Misty Ferguson</v>
      </c>
      <c r="O437" s="8" t="str">
        <f t="array" ref="O437">XLOOKUP(C437,Customer_Dim!A:A,Customer_Dim!E:E,"Not Found")</f>
        <v>North Joseside</v>
      </c>
      <c r="P437" s="8" t="str">
        <f t="array" ref="P437">XLOOKUP(D437,Product_Dim!A:A,Product_Dim!B:B,"Not Found")</f>
        <v>Not Found</v>
      </c>
      <c r="Q437" s="8" t="str">
        <f t="array" ref="Q437">XLOOKUP(D437,Product_Dim!A:A,Product_Dim!C:C,"Not Found")</f>
        <v>Not Found</v>
      </c>
      <c r="R437" s="8" t="str">
        <f t="array" ref="R437">XLOOKUP(E437,Store_Dim!A:A,Store_Dim!B:B,"Not Found")</f>
        <v>South</v>
      </c>
      <c r="S437" s="8" t="str">
        <f t="array" ref="S437">XLOOKUP(E437,Store_Dim!A:A,Store_Dim!D:D,"Not Found")</f>
        <v>Flagship</v>
      </c>
    </row>
    <row r="438" ht="14.25" customHeight="1">
      <c r="A438" s="8" t="s">
        <v>2391</v>
      </c>
      <c r="B438" s="12">
        <v>45916.0</v>
      </c>
      <c r="C438" s="8" t="s">
        <v>212</v>
      </c>
      <c r="D438" s="8" t="s">
        <v>1696</v>
      </c>
      <c r="E438" s="8" t="s">
        <v>1929</v>
      </c>
      <c r="F438" s="8">
        <v>4.0</v>
      </c>
      <c r="G438" s="8">
        <v>747.56</v>
      </c>
      <c r="H438" s="8">
        <v>0.09</v>
      </c>
      <c r="I438" s="8">
        <f t="shared" si="1"/>
        <v>2990.24</v>
      </c>
      <c r="J438" s="8">
        <f t="shared" si="2"/>
        <v>-269.0316</v>
      </c>
      <c r="K438" s="8" t="str">
        <f t="shared" si="3"/>
        <v>Sep</v>
      </c>
      <c r="L438" s="8">
        <f t="shared" si="4"/>
        <v>2025</v>
      </c>
      <c r="N438" s="8" t="str">
        <f t="array" ref="N438">XLOOKUP(C438,Customer_Dim!A:A,Customer_Dim!B:B,"Not Found")</f>
        <v>Sharon Brown</v>
      </c>
      <c r="O438" s="8" t="str">
        <f t="array" ref="O438">XLOOKUP(C438,Customer_Dim!A:A,Customer_Dim!E:E,"Not Found")</f>
        <v>East Andrea</v>
      </c>
      <c r="P438" s="8" t="str">
        <f t="array" ref="P438">XLOOKUP(D438,Product_Dim!A:A,Product_Dim!B:B,"Not Found")</f>
        <v>Men's Casual Sneakers</v>
      </c>
      <c r="Q438" s="8" t="str">
        <f t="array" ref="Q438">XLOOKUP(D438,Product_Dim!A:A,Product_Dim!C:C,"Not Found")</f>
        <v>Clothing</v>
      </c>
      <c r="R438" s="8" t="str">
        <f t="array" ref="R438">XLOOKUP(E438,Store_Dim!A:A,Store_Dim!B:B,"Not Found")</f>
        <v>North</v>
      </c>
      <c r="S438" s="8" t="str">
        <f t="array" ref="S438">XLOOKUP(E438,Store_Dim!A:A,Store_Dim!D:D,"Not Found")</f>
        <v>Online</v>
      </c>
    </row>
    <row r="439" ht="14.25" customHeight="1">
      <c r="A439" s="8" t="s">
        <v>2392</v>
      </c>
      <c r="B439" s="12">
        <v>45917.0</v>
      </c>
      <c r="C439" s="8" t="s">
        <v>824</v>
      </c>
      <c r="D439" s="8" t="s">
        <v>1707</v>
      </c>
      <c r="E439" s="8" t="s">
        <v>1937</v>
      </c>
      <c r="F439" s="8">
        <v>3.0</v>
      </c>
      <c r="G439" s="8">
        <v>551.22</v>
      </c>
      <c r="H439" s="8">
        <v>0.12</v>
      </c>
      <c r="I439" s="8">
        <f t="shared" si="1"/>
        <v>1653.66</v>
      </c>
      <c r="J439" s="8">
        <f t="shared" si="2"/>
        <v>-198.3192</v>
      </c>
      <c r="K439" s="8" t="str">
        <f t="shared" si="3"/>
        <v>Sep</v>
      </c>
      <c r="L439" s="8">
        <f t="shared" si="4"/>
        <v>2025</v>
      </c>
      <c r="N439" s="8" t="str">
        <f t="array" ref="N439">XLOOKUP(C439,Customer_Dim!A:A,Customer_Dim!B:B,"Not Found")</f>
        <v>Dr. Ashley Yates MD</v>
      </c>
      <c r="O439" s="8" t="str">
        <f t="array" ref="O439">XLOOKUP(C439,Customer_Dim!A:A,Customer_Dim!E:E,"Not Found")</f>
        <v>New Maria</v>
      </c>
      <c r="P439" s="8" t="str">
        <f t="array" ref="P439">XLOOKUP(D439,Product_Dim!A:A,Product_Dim!B:B,"Not Found")</f>
        <v>Noise-Canceling Headphones</v>
      </c>
      <c r="Q439" s="8" t="str">
        <f t="array" ref="Q439">XLOOKUP(D439,Product_Dim!A:A,Product_Dim!C:C,"Not Found")</f>
        <v>Electronics</v>
      </c>
      <c r="R439" s="8" t="str">
        <f t="array" ref="R439">XLOOKUP(E439,Store_Dim!A:A,Store_Dim!B:B,"Not Found")</f>
        <v>North</v>
      </c>
      <c r="S439" s="8" t="str">
        <f t="array" ref="S439">XLOOKUP(E439,Store_Dim!A:A,Store_Dim!D:D,"Not Found")</f>
        <v>Flagship</v>
      </c>
    </row>
    <row r="440" ht="14.25" customHeight="1">
      <c r="A440" s="8" t="s">
        <v>2393</v>
      </c>
      <c r="B440" s="12">
        <v>45918.0</v>
      </c>
      <c r="C440" s="8" t="s">
        <v>544</v>
      </c>
      <c r="D440" s="8" t="s">
        <v>1797</v>
      </c>
      <c r="E440" s="8" t="s">
        <v>1932</v>
      </c>
      <c r="F440" s="8">
        <v>2.0</v>
      </c>
      <c r="G440" s="8">
        <v>527.06</v>
      </c>
      <c r="H440" s="8">
        <v>0.17</v>
      </c>
      <c r="I440" s="8">
        <f t="shared" si="1"/>
        <v>1054.12</v>
      </c>
      <c r="J440" s="8">
        <f t="shared" si="2"/>
        <v>-179.0304</v>
      </c>
      <c r="K440" s="8" t="str">
        <f t="shared" si="3"/>
        <v>Sep</v>
      </c>
      <c r="L440" s="8">
        <f t="shared" si="4"/>
        <v>2025</v>
      </c>
      <c r="N440" s="8" t="str">
        <f t="array" ref="N440">XLOOKUP(C440,Customer_Dim!A:A,Customer_Dim!B:B,"Not Found")</f>
        <v>Brian Choi</v>
      </c>
      <c r="O440" s="8" t="str">
        <f t="array" ref="O440">XLOOKUP(C440,Customer_Dim!A:A,Customer_Dim!E:E,"Not Found")</f>
        <v>Floydton</v>
      </c>
      <c r="P440" s="8" t="str">
        <f t="array" ref="P440">XLOOKUP(D440,Product_Dim!A:A,Product_Dim!B:B,"Not Found")</f>
        <v>Men's Sports Shorts</v>
      </c>
      <c r="Q440" s="8" t="str">
        <f t="array" ref="Q440">XLOOKUP(D440,Product_Dim!A:A,Product_Dim!C:C,"Not Found")</f>
        <v>Clothing</v>
      </c>
      <c r="R440" s="8" t="str">
        <f t="array" ref="R440">XLOOKUP(E440,Store_Dim!A:A,Store_Dim!B:B,"Not Found")</f>
        <v>South</v>
      </c>
      <c r="S440" s="8" t="str">
        <f t="array" ref="S440">XLOOKUP(E440,Store_Dim!A:A,Store_Dim!D:D,"Not Found")</f>
        <v>Outlet</v>
      </c>
    </row>
    <row r="441" ht="14.25" customHeight="1">
      <c r="A441" s="8" t="s">
        <v>2394</v>
      </c>
      <c r="B441" s="12">
        <v>45919.0</v>
      </c>
      <c r="C441" s="8" t="s">
        <v>360</v>
      </c>
      <c r="D441" s="8" t="s">
        <v>1775</v>
      </c>
      <c r="E441" s="8" t="s">
        <v>1915</v>
      </c>
      <c r="F441" s="8">
        <v>4.0</v>
      </c>
      <c r="G441" s="8">
        <v>875.41</v>
      </c>
      <c r="H441" s="8">
        <v>0.27</v>
      </c>
      <c r="I441" s="8">
        <f t="shared" si="1"/>
        <v>3501.64</v>
      </c>
      <c r="J441" s="8">
        <f t="shared" si="2"/>
        <v>-945.1728</v>
      </c>
      <c r="K441" s="8" t="str">
        <f t="shared" si="3"/>
        <v>Sep</v>
      </c>
      <c r="L441" s="8">
        <f t="shared" si="4"/>
        <v>2025</v>
      </c>
      <c r="N441" s="8" t="str">
        <f t="array" ref="N441">XLOOKUP(C441,Customer_Dim!A:A,Customer_Dim!B:B,"Not Found")</f>
        <v>Brittney Morgan</v>
      </c>
      <c r="O441" s="8" t="str">
        <f t="array" ref="O441">XLOOKUP(C441,Customer_Dim!A:A,Customer_Dim!E:E,"Not Found")</f>
        <v>Lake Kaylahaven</v>
      </c>
      <c r="P441" s="8" t="str">
        <f t="array" ref="P441">XLOOKUP(D441,Product_Dim!A:A,Product_Dim!B:B,"Not Found")</f>
        <v>Laptop Cooling Pad</v>
      </c>
      <c r="Q441" s="8" t="str">
        <f t="array" ref="Q441">XLOOKUP(D441,Product_Dim!A:A,Product_Dim!C:C,"Not Found")</f>
        <v>Electronics</v>
      </c>
      <c r="R441" s="8" t="str">
        <f t="array" ref="R441">XLOOKUP(E441,Store_Dim!A:A,Store_Dim!B:B,"Not Found")</f>
        <v>North</v>
      </c>
      <c r="S441" s="8" t="str">
        <f t="array" ref="S441">XLOOKUP(E441,Store_Dim!A:A,Store_Dim!D:D,"Not Found")</f>
        <v>Outlet</v>
      </c>
    </row>
    <row r="442" ht="14.25" customHeight="1">
      <c r="A442" s="8" t="s">
        <v>2395</v>
      </c>
      <c r="B442" s="12">
        <v>45920.0</v>
      </c>
      <c r="C442" s="8" t="s">
        <v>48</v>
      </c>
      <c r="D442" s="8" t="s">
        <v>1845</v>
      </c>
      <c r="E442" s="8" t="s">
        <v>1899</v>
      </c>
      <c r="F442" s="8">
        <v>2.0</v>
      </c>
      <c r="G442" s="8">
        <v>226.43</v>
      </c>
      <c r="H442" s="8">
        <v>0.03</v>
      </c>
      <c r="I442" s="8">
        <f t="shared" si="1"/>
        <v>452.86</v>
      </c>
      <c r="J442" s="8">
        <f t="shared" si="2"/>
        <v>-13.5558</v>
      </c>
      <c r="K442" s="8" t="str">
        <f t="shared" si="3"/>
        <v>Sep</v>
      </c>
      <c r="L442" s="8">
        <f t="shared" si="4"/>
        <v>2025</v>
      </c>
      <c r="N442" s="8" t="str">
        <f t="array" ref="N442">XLOOKUP(C442,Customer_Dim!A:A,Customer_Dim!B:B,"Not Found")</f>
        <v>Daniel Boyd</v>
      </c>
      <c r="O442" s="8" t="str">
        <f t="array" ref="O442">XLOOKUP(C442,Customer_Dim!A:A,Customer_Dim!E:E,"Not Found")</f>
        <v>West Pamelafurt</v>
      </c>
      <c r="P442" s="8" t="str">
        <f t="array" ref="P442">XLOOKUP(D442,Product_Dim!A:A,Product_Dim!B:B,"Not Found")</f>
        <v>Women's Beanie Hat</v>
      </c>
      <c r="Q442" s="8" t="str">
        <f t="array" ref="Q442">XLOOKUP(D442,Product_Dim!A:A,Product_Dim!C:C,"Not Found")</f>
        <v>Clothing</v>
      </c>
      <c r="R442" s="8" t="str">
        <f t="array" ref="R442">XLOOKUP(E442,Store_Dim!A:A,Store_Dim!B:B,"Not Found")</f>
        <v>East</v>
      </c>
      <c r="S442" s="8" t="str">
        <f t="array" ref="S442">XLOOKUP(E442,Store_Dim!A:A,Store_Dim!D:D,"Not Found")</f>
        <v>Flagship</v>
      </c>
    </row>
    <row r="443" ht="14.25" customHeight="1">
      <c r="A443" s="8" t="s">
        <v>2396</v>
      </c>
      <c r="B443" s="12">
        <v>45921.0</v>
      </c>
      <c r="C443" s="8" t="s">
        <v>151</v>
      </c>
      <c r="D443" s="8" t="s">
        <v>1827</v>
      </c>
      <c r="E443" s="8" t="s">
        <v>1915</v>
      </c>
      <c r="F443" s="8">
        <v>2.0</v>
      </c>
      <c r="G443" s="8">
        <v>285.39</v>
      </c>
      <c r="H443" s="8">
        <v>0.1</v>
      </c>
      <c r="I443" s="8">
        <f t="shared" si="1"/>
        <v>570.78</v>
      </c>
      <c r="J443" s="8">
        <f t="shared" si="2"/>
        <v>-56.978</v>
      </c>
      <c r="K443" s="8" t="str">
        <f t="shared" si="3"/>
        <v>Sep</v>
      </c>
      <c r="L443" s="8">
        <f t="shared" si="4"/>
        <v>2025</v>
      </c>
      <c r="N443" s="8" t="str">
        <f t="array" ref="N443">XLOOKUP(C443,Customer_Dim!A:A,Customer_Dim!B:B,"Not Found")</f>
        <v>Rachel Myers</v>
      </c>
      <c r="O443" s="8" t="str">
        <f t="array" ref="O443">XLOOKUP(C443,Customer_Dim!A:A,Customer_Dim!E:E,"Not Found")</f>
        <v>Robertberg</v>
      </c>
      <c r="P443" s="8" t="str">
        <f t="array" ref="P443">XLOOKUP(D443,Product_Dim!A:A,Product_Dim!B:B,"Not Found")</f>
        <v>Decorative Lamp Shade</v>
      </c>
      <c r="Q443" s="8" t="str">
        <f t="array" ref="Q443">XLOOKUP(D443,Product_Dim!A:A,Product_Dim!C:C,"Not Found")</f>
        <v>Home</v>
      </c>
      <c r="R443" s="8" t="str">
        <f t="array" ref="R443">XLOOKUP(E443,Store_Dim!A:A,Store_Dim!B:B,"Not Found")</f>
        <v>North</v>
      </c>
      <c r="S443" s="8" t="str">
        <f t="array" ref="S443">XLOOKUP(E443,Store_Dim!A:A,Store_Dim!D:D,"Not Found")</f>
        <v>Outlet</v>
      </c>
    </row>
    <row r="444" ht="14.25" customHeight="1">
      <c r="A444" s="8" t="s">
        <v>2397</v>
      </c>
      <c r="B444" s="12">
        <v>45922.0</v>
      </c>
      <c r="C444" s="8" t="s">
        <v>1065</v>
      </c>
      <c r="D444" s="8" t="s">
        <v>1610</v>
      </c>
      <c r="E444" s="8" t="s">
        <v>1933</v>
      </c>
      <c r="F444" s="8">
        <v>2.0</v>
      </c>
      <c r="G444" s="8">
        <v>298.01</v>
      </c>
      <c r="H444" s="8">
        <v>0.05</v>
      </c>
      <c r="I444" s="8">
        <f t="shared" si="1"/>
        <v>596.02</v>
      </c>
      <c r="J444" s="8">
        <f t="shared" si="2"/>
        <v>-29.751</v>
      </c>
      <c r="K444" s="8" t="str">
        <f t="shared" si="3"/>
        <v>Sep</v>
      </c>
      <c r="L444" s="8">
        <f t="shared" si="4"/>
        <v>2025</v>
      </c>
      <c r="N444" s="8" t="str">
        <f t="array" ref="N444">XLOOKUP(C444,Customer_Dim!A:A,Customer_Dim!B:B,"Not Found")</f>
        <v>Mr. Christopher Sims</v>
      </c>
      <c r="O444" s="8" t="str">
        <f t="array" ref="O444">XLOOKUP(C444,Customer_Dim!A:A,Customer_Dim!E:E,"Not Found")</f>
        <v>Donaldsontown</v>
      </c>
      <c r="P444" s="8" t="str">
        <f t="array" ref="P444">XLOOKUP(D444,Product_Dim!A:A,Product_Dim!B:B,"Not Found")</f>
        <v>HD Smart TV Stick</v>
      </c>
      <c r="Q444" s="8" t="str">
        <f t="array" ref="Q444">XLOOKUP(D444,Product_Dim!A:A,Product_Dim!C:C,"Not Found")</f>
        <v>Electronics</v>
      </c>
      <c r="R444" s="8" t="str">
        <f t="array" ref="R444">XLOOKUP(E444,Store_Dim!A:A,Store_Dim!B:B,"Not Found")</f>
        <v>North</v>
      </c>
      <c r="S444" s="8" t="str">
        <f t="array" ref="S444">XLOOKUP(E444,Store_Dim!A:A,Store_Dim!D:D,"Not Found")</f>
        <v>Flagship</v>
      </c>
    </row>
    <row r="445" ht="14.25" customHeight="1">
      <c r="A445" s="8" t="s">
        <v>2398</v>
      </c>
      <c r="B445" s="12">
        <v>45923.0</v>
      </c>
      <c r="C445" s="8" t="s">
        <v>544</v>
      </c>
      <c r="D445" s="8" t="s">
        <v>1707</v>
      </c>
      <c r="E445" s="8" t="s">
        <v>1912</v>
      </c>
      <c r="F445" s="8">
        <v>4.0</v>
      </c>
      <c r="G445" s="8">
        <v>753.49</v>
      </c>
      <c r="H445" s="8">
        <v>0.26</v>
      </c>
      <c r="I445" s="8">
        <f t="shared" si="1"/>
        <v>3013.96</v>
      </c>
      <c r="J445" s="8">
        <f t="shared" si="2"/>
        <v>-783.3696</v>
      </c>
      <c r="K445" s="8" t="str">
        <f t="shared" si="3"/>
        <v>Sep</v>
      </c>
      <c r="L445" s="8">
        <f t="shared" si="4"/>
        <v>2025</v>
      </c>
      <c r="N445" s="8" t="str">
        <f t="array" ref="N445">XLOOKUP(C445,Customer_Dim!A:A,Customer_Dim!B:B,"Not Found")</f>
        <v>Brian Choi</v>
      </c>
      <c r="O445" s="8" t="str">
        <f t="array" ref="O445">XLOOKUP(C445,Customer_Dim!A:A,Customer_Dim!E:E,"Not Found")</f>
        <v>Floydton</v>
      </c>
      <c r="P445" s="8" t="str">
        <f t="array" ref="P445">XLOOKUP(D445,Product_Dim!A:A,Product_Dim!B:B,"Not Found")</f>
        <v>Noise-Canceling Headphones</v>
      </c>
      <c r="Q445" s="8" t="str">
        <f t="array" ref="Q445">XLOOKUP(D445,Product_Dim!A:A,Product_Dim!C:C,"Not Found")</f>
        <v>Electronics</v>
      </c>
      <c r="R445" s="8" t="str">
        <f t="array" ref="R445">XLOOKUP(E445,Store_Dim!A:A,Store_Dim!B:B,"Not Found")</f>
        <v>South</v>
      </c>
      <c r="S445" s="8" t="str">
        <f t="array" ref="S445">XLOOKUP(E445,Store_Dim!A:A,Store_Dim!D:D,"Not Found")</f>
        <v>Online</v>
      </c>
    </row>
    <row r="446" ht="14.25" customHeight="1">
      <c r="A446" s="8" t="s">
        <v>2399</v>
      </c>
      <c r="B446" s="12">
        <v>45924.0</v>
      </c>
      <c r="C446" s="8" t="s">
        <v>1517</v>
      </c>
      <c r="D446" s="8" t="s">
        <v>1824</v>
      </c>
      <c r="E446" s="8" t="s">
        <v>1929</v>
      </c>
      <c r="F446" s="8">
        <v>2.0</v>
      </c>
      <c r="G446" s="8">
        <v>130.39</v>
      </c>
      <c r="H446" s="8">
        <v>0.17</v>
      </c>
      <c r="I446" s="8">
        <f t="shared" si="1"/>
        <v>260.78</v>
      </c>
      <c r="J446" s="8">
        <f t="shared" si="2"/>
        <v>-44.1626</v>
      </c>
      <c r="K446" s="8" t="str">
        <f t="shared" si="3"/>
        <v>Sep</v>
      </c>
      <c r="L446" s="8">
        <f t="shared" si="4"/>
        <v>2025</v>
      </c>
      <c r="N446" s="8" t="str">
        <f t="array" ref="N446">XLOOKUP(C446,Customer_Dim!A:A,Customer_Dim!B:B,"Not Found")</f>
        <v>Zachary Andrade</v>
      </c>
      <c r="O446" s="8" t="str">
        <f t="array" ref="O446">XLOOKUP(C446,Customer_Dim!A:A,Customer_Dim!E:E,"Not Found")</f>
        <v>South Davidport</v>
      </c>
      <c r="P446" s="8" t="str">
        <f t="array" ref="P446">XLOOKUP(D446,Product_Dim!A:A,Product_Dim!B:B,"Not Found")</f>
        <v>Essential Oil Diffuser</v>
      </c>
      <c r="Q446" s="8" t="str">
        <f t="array" ref="Q446">XLOOKUP(D446,Product_Dim!A:A,Product_Dim!C:C,"Not Found")</f>
        <v>Home</v>
      </c>
      <c r="R446" s="8" t="str">
        <f t="array" ref="R446">XLOOKUP(E446,Store_Dim!A:A,Store_Dim!B:B,"Not Found")</f>
        <v>North</v>
      </c>
      <c r="S446" s="8" t="str">
        <f t="array" ref="S446">XLOOKUP(E446,Store_Dim!A:A,Store_Dim!D:D,"Not Found")</f>
        <v>Online</v>
      </c>
    </row>
    <row r="447" ht="14.25" customHeight="1">
      <c r="A447" s="8" t="s">
        <v>2400</v>
      </c>
      <c r="B447" s="12">
        <v>45925.0</v>
      </c>
      <c r="C447" s="8" t="s">
        <v>1098</v>
      </c>
      <c r="D447" s="8" t="s">
        <v>1649</v>
      </c>
      <c r="E447" s="8" t="s">
        <v>1924</v>
      </c>
      <c r="F447" s="8">
        <v>4.0</v>
      </c>
      <c r="G447" s="8">
        <v>164.02</v>
      </c>
      <c r="H447" s="8">
        <v>0.01</v>
      </c>
      <c r="I447" s="8">
        <f t="shared" si="1"/>
        <v>656.08</v>
      </c>
      <c r="J447" s="8">
        <f t="shared" si="2"/>
        <v>-6.5508</v>
      </c>
      <c r="K447" s="8" t="str">
        <f t="shared" si="3"/>
        <v>Sep</v>
      </c>
      <c r="L447" s="8">
        <f t="shared" si="4"/>
        <v>2025</v>
      </c>
      <c r="N447" s="8" t="str">
        <f t="array" ref="N447">XLOOKUP(C447,Customer_Dim!A:A,Customer_Dim!B:B,"Not Found")</f>
        <v>Daniel Nelson</v>
      </c>
      <c r="O447" s="8" t="str">
        <f t="array" ref="O447">XLOOKUP(C447,Customer_Dim!A:A,Customer_Dim!E:E,"Not Found")</f>
        <v>North Jonathan</v>
      </c>
      <c r="P447" s="8" t="str">
        <f t="array" ref="P447">XLOOKUP(D447,Product_Dim!A:A,Product_Dim!B:B,"Not Found")</f>
        <v>Carbon Fiber Tennis Racket</v>
      </c>
      <c r="Q447" s="8" t="str">
        <f t="array" ref="Q447">XLOOKUP(D447,Product_Dim!A:A,Product_Dim!C:C,"Not Found")</f>
        <v>Sports</v>
      </c>
      <c r="R447" s="8" t="str">
        <f t="array" ref="R447">XLOOKUP(E447,Store_Dim!A:A,Store_Dim!B:B,"Not Found")</f>
        <v>South</v>
      </c>
      <c r="S447" s="8" t="str">
        <f t="array" ref="S447">XLOOKUP(E447,Store_Dim!A:A,Store_Dim!D:D,"Not Found")</f>
        <v>Flagship</v>
      </c>
    </row>
    <row r="448" ht="14.25" customHeight="1">
      <c r="A448" s="8" t="s">
        <v>2401</v>
      </c>
      <c r="B448" s="12">
        <v>45926.0</v>
      </c>
      <c r="C448" s="8" t="s">
        <v>559</v>
      </c>
      <c r="D448" s="8" t="s">
        <v>1671</v>
      </c>
      <c r="E448" s="8" t="s">
        <v>1912</v>
      </c>
      <c r="F448" s="8">
        <v>2.0</v>
      </c>
      <c r="G448" s="8">
        <v>527.51</v>
      </c>
      <c r="H448" s="8">
        <v>0.18</v>
      </c>
      <c r="I448" s="8">
        <f t="shared" si="1"/>
        <v>1055.02</v>
      </c>
      <c r="J448" s="8">
        <f t="shared" si="2"/>
        <v>-189.7236</v>
      </c>
      <c r="K448" s="8" t="str">
        <f t="shared" si="3"/>
        <v>Sep</v>
      </c>
      <c r="L448" s="8">
        <f t="shared" si="4"/>
        <v>2025</v>
      </c>
      <c r="N448" s="8" t="str">
        <f t="array" ref="N448">XLOOKUP(C448,Customer_Dim!A:A,Customer_Dim!B:B,"Not Found")</f>
        <v>Daniel Rivas</v>
      </c>
      <c r="O448" s="8" t="str">
        <f t="array" ref="O448">XLOOKUP(C448,Customer_Dim!A:A,Customer_Dim!E:E,"Not Found")</f>
        <v>Dominiquefort</v>
      </c>
      <c r="P448" s="8" t="str">
        <f t="array" ref="P448">XLOOKUP(D448,Product_Dim!A:A,Product_Dim!B:B,"Not Found")</f>
        <v>Fabric Sofa Throw Blanket</v>
      </c>
      <c r="Q448" s="8" t="str">
        <f t="array" ref="Q448">XLOOKUP(D448,Product_Dim!A:A,Product_Dim!C:C,"Not Found")</f>
        <v>Home</v>
      </c>
      <c r="R448" s="8" t="str">
        <f t="array" ref="R448">XLOOKUP(E448,Store_Dim!A:A,Store_Dim!B:B,"Not Found")</f>
        <v>South</v>
      </c>
      <c r="S448" s="8" t="str">
        <f t="array" ref="S448">XLOOKUP(E448,Store_Dim!A:A,Store_Dim!D:D,"Not Found")</f>
        <v>Online</v>
      </c>
    </row>
    <row r="449" ht="14.25" customHeight="1">
      <c r="A449" s="8" t="s">
        <v>2402</v>
      </c>
      <c r="B449" s="12">
        <v>45927.0</v>
      </c>
      <c r="C449" s="8" t="s">
        <v>824</v>
      </c>
      <c r="D449" s="8" t="s">
        <v>1760</v>
      </c>
      <c r="E449" s="8" t="s">
        <v>1931</v>
      </c>
      <c r="F449" s="8">
        <v>3.0</v>
      </c>
      <c r="G449" s="8">
        <v>628.18</v>
      </c>
      <c r="H449" s="8">
        <v>0.26</v>
      </c>
      <c r="I449" s="8">
        <f t="shared" si="1"/>
        <v>1884.54</v>
      </c>
      <c r="J449" s="8">
        <f t="shared" si="2"/>
        <v>-489.7204</v>
      </c>
      <c r="K449" s="8" t="str">
        <f t="shared" si="3"/>
        <v>Sep</v>
      </c>
      <c r="L449" s="8">
        <f t="shared" si="4"/>
        <v>2025</v>
      </c>
      <c r="N449" s="8" t="str">
        <f t="array" ref="N449">XLOOKUP(C449,Customer_Dim!A:A,Customer_Dim!B:B,"Not Found")</f>
        <v>Dr. Ashley Yates MD</v>
      </c>
      <c r="O449" s="8" t="str">
        <f t="array" ref="O449">XLOOKUP(C449,Customer_Dim!A:A,Customer_Dim!E:E,"Not Found")</f>
        <v>New Maria</v>
      </c>
      <c r="P449" s="8" t="str">
        <f t="array" ref="P449">XLOOKUP(D449,Product_Dim!A:A,Product_Dim!B:B,"Not Found")</f>
        <v>Foam Roller</v>
      </c>
      <c r="Q449" s="8" t="str">
        <f t="array" ref="Q449">XLOOKUP(D449,Product_Dim!A:A,Product_Dim!C:C,"Not Found")</f>
        <v>Sports</v>
      </c>
      <c r="R449" s="8" t="str">
        <f t="array" ref="R449">XLOOKUP(E449,Store_Dim!A:A,Store_Dim!B:B,"Not Found")</f>
        <v>East</v>
      </c>
      <c r="S449" s="8" t="str">
        <f t="array" ref="S449">XLOOKUP(E449,Store_Dim!A:A,Store_Dim!D:D,"Not Found")</f>
        <v>Flagship</v>
      </c>
    </row>
    <row r="450" ht="14.25" customHeight="1">
      <c r="A450" s="8" t="s">
        <v>2403</v>
      </c>
      <c r="B450" s="12">
        <v>45928.0</v>
      </c>
      <c r="C450" s="8" t="s">
        <v>872</v>
      </c>
      <c r="D450" s="8" t="s">
        <v>1757</v>
      </c>
      <c r="E450" s="8" t="s">
        <v>1910</v>
      </c>
      <c r="F450" s="8">
        <v>1.0</v>
      </c>
      <c r="G450" s="8">
        <v>862.31</v>
      </c>
      <c r="H450" s="8">
        <v>0.06</v>
      </c>
      <c r="I450" s="8">
        <f t="shared" si="1"/>
        <v>862.31</v>
      </c>
      <c r="J450" s="8">
        <f t="shared" si="2"/>
        <v>-51.6786</v>
      </c>
      <c r="K450" s="8" t="str">
        <f t="shared" si="3"/>
        <v>Sep</v>
      </c>
      <c r="L450" s="8">
        <f t="shared" si="4"/>
        <v>2025</v>
      </c>
      <c r="N450" s="8" t="str">
        <f t="array" ref="N450">XLOOKUP(C450,Customer_Dim!A:A,Customer_Dim!B:B,"Not Found")</f>
        <v>Tyrone Olson</v>
      </c>
      <c r="O450" s="8" t="str">
        <f t="array" ref="O450">XLOOKUP(C450,Customer_Dim!A:A,Customer_Dim!E:E,"Not Found")</f>
        <v>Emilytown</v>
      </c>
      <c r="P450" s="8" t="str">
        <f t="array" ref="P450">XLOOKUP(D450,Product_Dim!A:A,Product_Dim!B:B,"Not Found")</f>
        <v>Premium Blanket Throw</v>
      </c>
      <c r="Q450" s="8" t="str">
        <f t="array" ref="Q450">XLOOKUP(D450,Product_Dim!A:A,Product_Dim!C:C,"Not Found")</f>
        <v>Home</v>
      </c>
      <c r="R450" s="8" t="str">
        <f t="array" ref="R450">XLOOKUP(E450,Store_Dim!A:A,Store_Dim!B:B,"Not Found")</f>
        <v>North</v>
      </c>
      <c r="S450" s="8" t="str">
        <f t="array" ref="S450">XLOOKUP(E450,Store_Dim!A:A,Store_Dim!D:D,"Not Found")</f>
        <v>Outlet</v>
      </c>
    </row>
    <row r="451" ht="14.25" customHeight="1">
      <c r="A451" s="8" t="s">
        <v>2404</v>
      </c>
      <c r="B451" s="12">
        <v>45929.0</v>
      </c>
      <c r="C451" s="8" t="s">
        <v>271</v>
      </c>
      <c r="D451" s="8" t="s">
        <v>1839</v>
      </c>
      <c r="E451" s="8" t="s">
        <v>1932</v>
      </c>
      <c r="F451" s="8">
        <v>2.0</v>
      </c>
      <c r="G451" s="8">
        <v>541.39</v>
      </c>
      <c r="H451" s="8">
        <v>0.03</v>
      </c>
      <c r="I451" s="8">
        <f t="shared" si="1"/>
        <v>1082.78</v>
      </c>
      <c r="J451" s="8">
        <f t="shared" si="2"/>
        <v>-32.4534</v>
      </c>
      <c r="K451" s="8" t="str">
        <f t="shared" si="3"/>
        <v>Sep</v>
      </c>
      <c r="L451" s="8">
        <f t="shared" si="4"/>
        <v>2025</v>
      </c>
      <c r="N451" s="8" t="str">
        <f t="array" ref="N451">XLOOKUP(C451,Customer_Dim!A:A,Customer_Dim!B:B,"Not Found")</f>
        <v>Andrea Perez</v>
      </c>
      <c r="O451" s="8" t="str">
        <f t="array" ref="O451">XLOOKUP(C451,Customer_Dim!A:A,Customer_Dim!E:E,"Not Found")</f>
        <v>South Shaun</v>
      </c>
      <c r="P451" s="8" t="str">
        <f t="array" ref="P451">XLOOKUP(D451,Product_Dim!A:A,Product_Dim!B:B,"Not Found")</f>
        <v>Hydrating Face Cleanser</v>
      </c>
      <c r="Q451" s="8" t="str">
        <f t="array" ref="Q451">XLOOKUP(D451,Product_Dim!A:A,Product_Dim!C:C,"Not Found")</f>
        <v>Beauty</v>
      </c>
      <c r="R451" s="8" t="str">
        <f t="array" ref="R451">XLOOKUP(E451,Store_Dim!A:A,Store_Dim!B:B,"Not Found")</f>
        <v>South</v>
      </c>
      <c r="S451" s="8" t="str">
        <f t="array" ref="S451">XLOOKUP(E451,Store_Dim!A:A,Store_Dim!D:D,"Not Found")</f>
        <v>Outlet</v>
      </c>
    </row>
    <row r="452" ht="14.25" customHeight="1">
      <c r="A452" s="8" t="s">
        <v>2405</v>
      </c>
      <c r="B452" s="12">
        <v>45930.0</v>
      </c>
      <c r="C452" s="8" t="s">
        <v>1485</v>
      </c>
      <c r="D452" s="8" t="s">
        <v>1818</v>
      </c>
      <c r="E452" s="8" t="s">
        <v>1935</v>
      </c>
      <c r="F452" s="8">
        <v>3.0</v>
      </c>
      <c r="G452" s="8">
        <v>761.8</v>
      </c>
      <c r="H452" s="8">
        <v>0.06</v>
      </c>
      <c r="I452" s="8">
        <f t="shared" si="1"/>
        <v>2285.4</v>
      </c>
      <c r="J452" s="8">
        <f t="shared" si="2"/>
        <v>-137.064</v>
      </c>
      <c r="K452" s="8" t="str">
        <f t="shared" si="3"/>
        <v>Sep</v>
      </c>
      <c r="L452" s="8">
        <f t="shared" si="4"/>
        <v>2025</v>
      </c>
      <c r="N452" s="8" t="str">
        <f t="array" ref="N452">XLOOKUP(C452,Customer_Dim!A:A,Customer_Dim!B:B,"Not Found")</f>
        <v>Andrea Harris</v>
      </c>
      <c r="O452" s="8" t="str">
        <f t="array" ref="O452">XLOOKUP(C452,Customer_Dim!A:A,Customer_Dim!E:E,"Not Found")</f>
        <v>West Kelseyberg</v>
      </c>
      <c r="P452" s="8" t="str">
        <f t="array" ref="P452">XLOOKUP(D452,Product_Dim!A:A,Product_Dim!B:B,"Not Found")</f>
        <v>Wireless Mouse</v>
      </c>
      <c r="Q452" s="8" t="str">
        <f t="array" ref="Q452">XLOOKUP(D452,Product_Dim!A:A,Product_Dim!C:C,"Not Found")</f>
        <v>Electronics</v>
      </c>
      <c r="R452" s="8" t="str">
        <f t="array" ref="R452">XLOOKUP(E452,Store_Dim!A:A,Store_Dim!B:B,"Not Found")</f>
        <v>West</v>
      </c>
      <c r="S452" s="8" t="str">
        <f t="array" ref="S452">XLOOKUP(E452,Store_Dim!A:A,Store_Dim!D:D,"Not Found")</f>
        <v>Flagship</v>
      </c>
    </row>
    <row r="453" ht="14.25" customHeight="1">
      <c r="A453" s="8" t="s">
        <v>2406</v>
      </c>
      <c r="B453" s="12">
        <v>45931.0</v>
      </c>
      <c r="C453" s="8" t="s">
        <v>1326</v>
      </c>
      <c r="D453" s="8" t="s">
        <v>1735</v>
      </c>
      <c r="E453" s="8" t="s">
        <v>1906</v>
      </c>
      <c r="F453" s="8">
        <v>4.0</v>
      </c>
      <c r="G453" s="8">
        <v>829.36</v>
      </c>
      <c r="H453" s="8">
        <v>0.11</v>
      </c>
      <c r="I453" s="8">
        <f t="shared" si="1"/>
        <v>3317.44</v>
      </c>
      <c r="J453" s="8">
        <f t="shared" si="2"/>
        <v>-364.8084</v>
      </c>
      <c r="K453" s="8" t="str">
        <f t="shared" si="3"/>
        <v>Oct</v>
      </c>
      <c r="L453" s="8">
        <f t="shared" si="4"/>
        <v>2025</v>
      </c>
      <c r="N453" s="8" t="str">
        <f t="array" ref="N453">XLOOKUP(C453,Customer_Dim!A:A,Customer_Dim!B:B,"Not Found")</f>
        <v>Brittany Edwards DDS</v>
      </c>
      <c r="O453" s="8" t="str">
        <f t="array" ref="O453">XLOOKUP(C453,Customer_Dim!A:A,Customer_Dim!E:E,"Not Found")</f>
        <v>Aliciahaven</v>
      </c>
      <c r="P453" s="8" t="str">
        <f t="array" ref="P453">XLOOKUP(D453,Product_Dim!A:A,Product_Dim!B:B,"Not Found")</f>
        <v>Men's Roll-On Perfume</v>
      </c>
      <c r="Q453" s="8" t="str">
        <f t="array" ref="Q453">XLOOKUP(D453,Product_Dim!A:A,Product_Dim!C:C,"Not Found")</f>
        <v>Beauty</v>
      </c>
      <c r="R453" s="8" t="str">
        <f t="array" ref="R453">XLOOKUP(E453,Store_Dim!A:A,Store_Dim!B:B,"Not Found")</f>
        <v>South</v>
      </c>
      <c r="S453" s="8" t="str">
        <f t="array" ref="S453">XLOOKUP(E453,Store_Dim!A:A,Store_Dim!D:D,"Not Found")</f>
        <v>Outlet</v>
      </c>
    </row>
    <row r="454" ht="14.25" customHeight="1">
      <c r="A454" s="8" t="s">
        <v>2407</v>
      </c>
      <c r="B454" s="12">
        <v>45932.0</v>
      </c>
      <c r="C454" s="8" t="s">
        <v>1273</v>
      </c>
      <c r="D454" s="8" t="s">
        <v>1652</v>
      </c>
      <c r="E454" s="8" t="s">
        <v>1935</v>
      </c>
      <c r="F454" s="8">
        <v>2.0</v>
      </c>
      <c r="G454" s="8">
        <v>425.06</v>
      </c>
      <c r="H454" s="8">
        <v>0.09</v>
      </c>
      <c r="I454" s="8">
        <f t="shared" si="1"/>
        <v>850.12</v>
      </c>
      <c r="J454" s="8">
        <f t="shared" si="2"/>
        <v>-76.4208</v>
      </c>
      <c r="K454" s="8" t="str">
        <f t="shared" si="3"/>
        <v>Oct</v>
      </c>
      <c r="L454" s="8">
        <f t="shared" si="4"/>
        <v>2025</v>
      </c>
      <c r="N454" s="8" t="str">
        <f t="array" ref="N454">XLOOKUP(C454,Customer_Dim!A:A,Customer_Dim!B:B,"Not Found")</f>
        <v>David Ross</v>
      </c>
      <c r="O454" s="8" t="str">
        <f t="array" ref="O454">XLOOKUP(C454,Customer_Dim!A:A,Customer_Dim!E:E,"Not Found")</f>
        <v>South Angela</v>
      </c>
      <c r="P454" s="8" t="str">
        <f t="array" ref="P454">XLOOKUP(D454,Product_Dim!A:A,Product_Dim!B:B,"Not Found")</f>
        <v>Men's Formal Shirt</v>
      </c>
      <c r="Q454" s="8" t="str">
        <f t="array" ref="Q454">XLOOKUP(D454,Product_Dim!A:A,Product_Dim!C:C,"Not Found")</f>
        <v>Clothing</v>
      </c>
      <c r="R454" s="8" t="str">
        <f t="array" ref="R454">XLOOKUP(E454,Store_Dim!A:A,Store_Dim!B:B,"Not Found")</f>
        <v>West</v>
      </c>
      <c r="S454" s="8" t="str">
        <f t="array" ref="S454">XLOOKUP(E454,Store_Dim!A:A,Store_Dim!D:D,"Not Found")</f>
        <v>Flagship</v>
      </c>
    </row>
    <row r="455" ht="14.25" customHeight="1">
      <c r="A455" s="8" t="s">
        <v>2408</v>
      </c>
      <c r="B455" s="12">
        <v>45933.0</v>
      </c>
      <c r="C455" s="8" t="s">
        <v>449</v>
      </c>
      <c r="D455" s="8" t="s">
        <v>1754</v>
      </c>
      <c r="E455" s="8" t="s">
        <v>1899</v>
      </c>
      <c r="F455" s="8">
        <v>2.0</v>
      </c>
      <c r="G455" s="8">
        <v>911.14</v>
      </c>
      <c r="H455" s="8">
        <v>0.1</v>
      </c>
      <c r="I455" s="8">
        <f t="shared" si="1"/>
        <v>1822.28</v>
      </c>
      <c r="J455" s="8">
        <f t="shared" si="2"/>
        <v>-182.128</v>
      </c>
      <c r="K455" s="8" t="str">
        <f t="shared" si="3"/>
        <v>Oct</v>
      </c>
      <c r="L455" s="8">
        <f t="shared" si="4"/>
        <v>2025</v>
      </c>
      <c r="N455" s="8" t="str">
        <f t="array" ref="N455">XLOOKUP(C455,Customer_Dim!A:A,Customer_Dim!B:B,"Not Found")</f>
        <v>John Mcknight</v>
      </c>
      <c r="O455" s="8" t="str">
        <f t="array" ref="O455">XLOOKUP(C455,Customer_Dim!A:A,Customer_Dim!E:E,"Not Found")</f>
        <v>South Nathan</v>
      </c>
      <c r="P455" s="8" t="str">
        <f t="array" ref="P455">XLOOKUP(D455,Product_Dim!A:A,Product_Dim!B:B,"Not Found")</f>
        <v>Ceramic Plant Pot</v>
      </c>
      <c r="Q455" s="8" t="str">
        <f t="array" ref="Q455">XLOOKUP(D455,Product_Dim!A:A,Product_Dim!C:C,"Not Found")</f>
        <v>Home</v>
      </c>
      <c r="R455" s="8" t="str">
        <f t="array" ref="R455">XLOOKUP(E455,Store_Dim!A:A,Store_Dim!B:B,"Not Found")</f>
        <v>East</v>
      </c>
      <c r="S455" s="8" t="str">
        <f t="array" ref="S455">XLOOKUP(E455,Store_Dim!A:A,Store_Dim!D:D,"Not Found")</f>
        <v>Flagship</v>
      </c>
    </row>
    <row r="456" ht="14.25" customHeight="1">
      <c r="A456" s="8" t="s">
        <v>2409</v>
      </c>
      <c r="B456" s="12">
        <v>45934.0</v>
      </c>
      <c r="C456" s="8" t="s">
        <v>314</v>
      </c>
      <c r="D456" s="8" t="s">
        <v>1793</v>
      </c>
      <c r="E456" s="8" t="s">
        <v>1921</v>
      </c>
      <c r="F456" s="8">
        <v>3.0</v>
      </c>
      <c r="G456" s="8">
        <v>811.96</v>
      </c>
      <c r="H456" s="8">
        <v>0.29</v>
      </c>
      <c r="I456" s="8">
        <f t="shared" si="1"/>
        <v>2435.88</v>
      </c>
      <c r="J456" s="8">
        <f t="shared" si="2"/>
        <v>-706.1152</v>
      </c>
      <c r="K456" s="8" t="str">
        <f t="shared" si="3"/>
        <v>Oct</v>
      </c>
      <c r="L456" s="8">
        <f t="shared" si="4"/>
        <v>2025</v>
      </c>
      <c r="N456" s="8" t="str">
        <f t="array" ref="N456">XLOOKUP(C456,Customer_Dim!A:A,Customer_Dim!B:B,"Not Found")</f>
        <v>Christy Hoffman</v>
      </c>
      <c r="O456" s="8" t="str">
        <f t="array" ref="O456">XLOOKUP(C456,Customer_Dim!A:A,Customer_Dim!E:E,"Not Found")</f>
        <v>Garyberg</v>
      </c>
      <c r="P456" s="8" t="str">
        <f t="array" ref="P456">XLOOKUP(D456,Product_Dim!A:A,Product_Dim!B:B,"Not Found")</f>
        <v>Wooden Nightstand</v>
      </c>
      <c r="Q456" s="8" t="str">
        <f t="array" ref="Q456">XLOOKUP(D456,Product_Dim!A:A,Product_Dim!C:C,"Not Found")</f>
        <v>Home</v>
      </c>
      <c r="R456" s="8" t="str">
        <f t="array" ref="R456">XLOOKUP(E456,Store_Dim!A:A,Store_Dim!B:B,"Not Found")</f>
        <v>West</v>
      </c>
      <c r="S456" s="8" t="str">
        <f t="array" ref="S456">XLOOKUP(E456,Store_Dim!A:A,Store_Dim!D:D,"Not Found")</f>
        <v>Online</v>
      </c>
    </row>
    <row r="457" ht="14.25" customHeight="1">
      <c r="A457" s="8" t="s">
        <v>2410</v>
      </c>
      <c r="B457" s="12">
        <v>45935.0</v>
      </c>
      <c r="C457" s="8" t="s">
        <v>884</v>
      </c>
      <c r="D457" s="8" t="s">
        <v>1677</v>
      </c>
      <c r="E457" s="8" t="s">
        <v>1926</v>
      </c>
      <c r="F457" s="8">
        <v>2.0</v>
      </c>
      <c r="G457" s="8">
        <v>780.05</v>
      </c>
      <c r="H457" s="8">
        <v>0.12</v>
      </c>
      <c r="I457" s="8">
        <f t="shared" si="1"/>
        <v>1560.1</v>
      </c>
      <c r="J457" s="8">
        <f t="shared" si="2"/>
        <v>-187.092</v>
      </c>
      <c r="K457" s="8" t="str">
        <f t="shared" si="3"/>
        <v>Oct</v>
      </c>
      <c r="L457" s="8">
        <f t="shared" si="4"/>
        <v>2025</v>
      </c>
      <c r="N457" s="8" t="str">
        <f t="array" ref="N457">XLOOKUP(C457,Customer_Dim!A:A,Customer_Dim!B:B,"Not Found")</f>
        <v>Samantha Robinson</v>
      </c>
      <c r="O457" s="8" t="str">
        <f t="array" ref="O457">XLOOKUP(C457,Customer_Dim!A:A,Customer_Dim!E:E,"Not Found")</f>
        <v>North Roy</v>
      </c>
      <c r="P457" s="8" t="str">
        <f t="array" ref="P457">XLOOKUP(D457,Product_Dim!A:A,Product_Dim!B:B,"Not Found")</f>
        <v>Basketball</v>
      </c>
      <c r="Q457" s="8" t="str">
        <f t="array" ref="Q457">XLOOKUP(D457,Product_Dim!A:A,Product_Dim!C:C,"Not Found")</f>
        <v>Sports</v>
      </c>
      <c r="R457" s="8" t="str">
        <f t="array" ref="R457">XLOOKUP(E457,Store_Dim!A:A,Store_Dim!B:B,"Not Found")</f>
        <v>East</v>
      </c>
      <c r="S457" s="8" t="str">
        <f t="array" ref="S457">XLOOKUP(E457,Store_Dim!A:A,Store_Dim!D:D,"Not Found")</f>
        <v>Online</v>
      </c>
    </row>
    <row r="458" ht="14.25" customHeight="1">
      <c r="A458" s="8" t="s">
        <v>2411</v>
      </c>
      <c r="B458" s="12">
        <v>45936.0</v>
      </c>
      <c r="C458" s="8" t="s">
        <v>711</v>
      </c>
      <c r="D458" s="8" t="s">
        <v>1681</v>
      </c>
      <c r="E458" s="8" t="s">
        <v>1924</v>
      </c>
      <c r="F458" s="8">
        <v>4.0</v>
      </c>
      <c r="G458" s="8">
        <v>315.95</v>
      </c>
      <c r="H458" s="8">
        <v>0.19</v>
      </c>
      <c r="I458" s="8">
        <f t="shared" si="1"/>
        <v>1263.8</v>
      </c>
      <c r="J458" s="8">
        <f t="shared" si="2"/>
        <v>-239.932</v>
      </c>
      <c r="K458" s="8" t="str">
        <f t="shared" si="3"/>
        <v>Oct</v>
      </c>
      <c r="L458" s="8">
        <f t="shared" si="4"/>
        <v>2025</v>
      </c>
      <c r="N458" s="8" t="str">
        <f t="array" ref="N458">XLOOKUP(C458,Customer_Dim!A:A,Customer_Dim!B:B,"Not Found")</f>
        <v>Steve Medina</v>
      </c>
      <c r="O458" s="8" t="str">
        <f t="array" ref="O458">XLOOKUP(C458,Customer_Dim!A:A,Customer_Dim!E:E,"Not Found")</f>
        <v>East Josephside</v>
      </c>
      <c r="P458" s="8" t="str">
        <f t="array" ref="P458">XLOOKUP(D458,Product_Dim!A:A,Product_Dim!B:B,"Not Found")</f>
        <v>Vitamin C Face Serum</v>
      </c>
      <c r="Q458" s="8" t="str">
        <f t="array" ref="Q458">XLOOKUP(D458,Product_Dim!A:A,Product_Dim!C:C,"Not Found")</f>
        <v>Beauty</v>
      </c>
      <c r="R458" s="8" t="str">
        <f t="array" ref="R458">XLOOKUP(E458,Store_Dim!A:A,Store_Dim!B:B,"Not Found")</f>
        <v>South</v>
      </c>
      <c r="S458" s="8" t="str">
        <f t="array" ref="S458">XLOOKUP(E458,Store_Dim!A:A,Store_Dim!D:D,"Not Found")</f>
        <v>Flagship</v>
      </c>
    </row>
    <row r="459" ht="14.25" customHeight="1">
      <c r="A459" s="8" t="s">
        <v>2412</v>
      </c>
      <c r="B459" s="12">
        <v>45937.0</v>
      </c>
      <c r="C459" s="8" t="s">
        <v>752</v>
      </c>
      <c r="D459" s="8" t="s">
        <v>1745</v>
      </c>
      <c r="E459" s="8" t="s">
        <v>1924</v>
      </c>
      <c r="F459" s="8">
        <v>2.0</v>
      </c>
      <c r="G459" s="8">
        <v>810.17</v>
      </c>
      <c r="H459" s="8">
        <v>0.27</v>
      </c>
      <c r="I459" s="8">
        <f t="shared" si="1"/>
        <v>1620.34</v>
      </c>
      <c r="J459" s="8">
        <f t="shared" si="2"/>
        <v>-437.2218</v>
      </c>
      <c r="K459" s="8" t="str">
        <f t="shared" si="3"/>
        <v>Oct</v>
      </c>
      <c r="L459" s="8">
        <f t="shared" si="4"/>
        <v>2025</v>
      </c>
      <c r="N459" s="8" t="str">
        <f t="array" ref="N459">XLOOKUP(C459,Customer_Dim!A:A,Customer_Dim!B:B,"Not Found")</f>
        <v>Tanner Thompson</v>
      </c>
      <c r="O459" s="8" t="str">
        <f t="array" ref="O459">XLOOKUP(C459,Customer_Dim!A:A,Customer_Dim!E:E,"Not Found")</f>
        <v>Port Lisashire</v>
      </c>
      <c r="P459" s="8" t="str">
        <f t="array" ref="P459">XLOOKUP(D459,Product_Dim!A:A,Product_Dim!B:B,"Not Found")</f>
        <v>Rugby Ball</v>
      </c>
      <c r="Q459" s="8" t="str">
        <f t="array" ref="Q459">XLOOKUP(D459,Product_Dim!A:A,Product_Dim!C:C,"Not Found")</f>
        <v>Sports</v>
      </c>
      <c r="R459" s="8" t="str">
        <f t="array" ref="R459">XLOOKUP(E459,Store_Dim!A:A,Store_Dim!B:B,"Not Found")</f>
        <v>South</v>
      </c>
      <c r="S459" s="8" t="str">
        <f t="array" ref="S459">XLOOKUP(E459,Store_Dim!A:A,Store_Dim!D:D,"Not Found")</f>
        <v>Flagship</v>
      </c>
    </row>
    <row r="460" ht="14.25" customHeight="1">
      <c r="A460" s="8" t="s">
        <v>2413</v>
      </c>
      <c r="B460" s="12">
        <v>45938.0</v>
      </c>
      <c r="C460" s="8" t="s">
        <v>681</v>
      </c>
      <c r="D460" s="8" t="s">
        <v>1842</v>
      </c>
      <c r="E460" s="8" t="s">
        <v>1912</v>
      </c>
      <c r="F460" s="8">
        <v>3.0</v>
      </c>
      <c r="G460" s="8">
        <v>505.01</v>
      </c>
      <c r="H460" s="8">
        <v>0.02</v>
      </c>
      <c r="I460" s="8">
        <f t="shared" si="1"/>
        <v>1515.03</v>
      </c>
      <c r="J460" s="8">
        <f t="shared" si="2"/>
        <v>-30.2806</v>
      </c>
      <c r="K460" s="8" t="str">
        <f t="shared" si="3"/>
        <v>Oct</v>
      </c>
      <c r="L460" s="8">
        <f t="shared" si="4"/>
        <v>2025</v>
      </c>
      <c r="N460" s="8" t="str">
        <f t="array" ref="N460">XLOOKUP(C460,Customer_Dim!A:A,Customer_Dim!B:B,"Not Found")</f>
        <v>Michelle Carpenter</v>
      </c>
      <c r="O460" s="8" t="str">
        <f t="array" ref="O460">XLOOKUP(C460,Customer_Dim!A:A,Customer_Dim!E:E,"Not Found")</f>
        <v>Lake Danielleton</v>
      </c>
      <c r="P460" s="8" t="str">
        <f t="array" ref="P460">XLOOKUP(D460,Product_Dim!A:A,Product_Dim!B:B,"Not Found")</f>
        <v>Wooden Bookshelf</v>
      </c>
      <c r="Q460" s="8" t="str">
        <f t="array" ref="Q460">XLOOKUP(D460,Product_Dim!A:A,Product_Dim!C:C,"Not Found")</f>
        <v>Home</v>
      </c>
      <c r="R460" s="8" t="str">
        <f t="array" ref="R460">XLOOKUP(E460,Store_Dim!A:A,Store_Dim!B:B,"Not Found")</f>
        <v>South</v>
      </c>
      <c r="S460" s="8" t="str">
        <f t="array" ref="S460">XLOOKUP(E460,Store_Dim!A:A,Store_Dim!D:D,"Not Found")</f>
        <v>Online</v>
      </c>
    </row>
    <row r="461" ht="14.25" customHeight="1">
      <c r="A461" s="8" t="s">
        <v>2414</v>
      </c>
      <c r="B461" s="12">
        <v>45939.0</v>
      </c>
      <c r="C461" s="8" t="s">
        <v>1456</v>
      </c>
      <c r="D461" s="8" t="s">
        <v>1806</v>
      </c>
      <c r="E461" s="8" t="s">
        <v>1937</v>
      </c>
      <c r="F461" s="8">
        <v>2.0</v>
      </c>
      <c r="G461" s="8">
        <v>736.75</v>
      </c>
      <c r="H461" s="8">
        <v>0.18</v>
      </c>
      <c r="I461" s="8">
        <f t="shared" si="1"/>
        <v>1473.5</v>
      </c>
      <c r="J461" s="8">
        <f t="shared" si="2"/>
        <v>-265.05</v>
      </c>
      <c r="K461" s="8" t="str">
        <f t="shared" si="3"/>
        <v>Oct</v>
      </c>
      <c r="L461" s="8">
        <f t="shared" si="4"/>
        <v>2025</v>
      </c>
      <c r="N461" s="8" t="str">
        <f t="array" ref="N461">XLOOKUP(C461,Customer_Dim!A:A,Customer_Dim!B:B,"Not Found")</f>
        <v>Michael Foley</v>
      </c>
      <c r="O461" s="8" t="str">
        <f t="array" ref="O461">XLOOKUP(C461,Customer_Dim!A:A,Customer_Dim!E:E,"Not Found")</f>
        <v>Oneillfurt</v>
      </c>
      <c r="P461" s="8" t="str">
        <f t="array" ref="P461">XLOOKUP(D461,Product_Dim!A:A,Product_Dim!B:B,"Not Found")</f>
        <v>Professional Jump Rope</v>
      </c>
      <c r="Q461" s="8" t="str">
        <f t="array" ref="Q461">XLOOKUP(D461,Product_Dim!A:A,Product_Dim!C:C,"Not Found")</f>
        <v>Sports</v>
      </c>
      <c r="R461" s="8" t="str">
        <f t="array" ref="R461">XLOOKUP(E461,Store_Dim!A:A,Store_Dim!B:B,"Not Found")</f>
        <v>North</v>
      </c>
      <c r="S461" s="8" t="str">
        <f t="array" ref="S461">XLOOKUP(E461,Store_Dim!A:A,Store_Dim!D:D,"Not Found")</f>
        <v>Flagship</v>
      </c>
    </row>
    <row r="462" ht="14.25" customHeight="1">
      <c r="A462" s="8" t="s">
        <v>2415</v>
      </c>
      <c r="B462" s="12">
        <v>45940.0</v>
      </c>
      <c r="C462" s="8" t="s">
        <v>124</v>
      </c>
      <c r="D462" s="8" t="s">
        <v>1821</v>
      </c>
      <c r="E462" s="8" t="s">
        <v>1924</v>
      </c>
      <c r="F462" s="8">
        <v>4.0</v>
      </c>
      <c r="G462" s="8">
        <v>700.31</v>
      </c>
      <c r="H462" s="8">
        <v>0.2</v>
      </c>
      <c r="I462" s="8">
        <f t="shared" si="1"/>
        <v>2801.24</v>
      </c>
      <c r="J462" s="8">
        <f t="shared" si="2"/>
        <v>-560.048</v>
      </c>
      <c r="K462" s="8" t="str">
        <f t="shared" si="3"/>
        <v>Oct</v>
      </c>
      <c r="L462" s="8">
        <f t="shared" si="4"/>
        <v>2025</v>
      </c>
      <c r="N462" s="8" t="str">
        <f t="array" ref="N462">XLOOKUP(C462,Customer_Dim!A:A,Customer_Dim!B:B,"Not Found")</f>
        <v>Leslie Johnson</v>
      </c>
      <c r="O462" s="8" t="str">
        <f t="array" ref="O462">XLOOKUP(C462,Customer_Dim!A:A,Customer_Dim!E:E,"Not Found")</f>
        <v>Mollyshire</v>
      </c>
      <c r="P462" s="8" t="str">
        <f t="array" ref="P462">XLOOKUP(D462,Product_Dim!A:A,Product_Dim!B:B,"Not Found")</f>
        <v>WiFi Mesh Router</v>
      </c>
      <c r="Q462" s="8" t="str">
        <f t="array" ref="Q462">XLOOKUP(D462,Product_Dim!A:A,Product_Dim!C:C,"Not Found")</f>
        <v>Electronics</v>
      </c>
      <c r="R462" s="8" t="str">
        <f t="array" ref="R462">XLOOKUP(E462,Store_Dim!A:A,Store_Dim!B:B,"Not Found")</f>
        <v>South</v>
      </c>
      <c r="S462" s="8" t="str">
        <f t="array" ref="S462">XLOOKUP(E462,Store_Dim!A:A,Store_Dim!D:D,"Not Found")</f>
        <v>Flagship</v>
      </c>
    </row>
    <row r="463" ht="14.25" customHeight="1">
      <c r="A463" s="8" t="s">
        <v>2416</v>
      </c>
      <c r="B463" s="12">
        <v>45941.0</v>
      </c>
      <c r="C463" s="8" t="s">
        <v>455</v>
      </c>
      <c r="D463" s="8" t="s">
        <v>1863</v>
      </c>
      <c r="E463" s="8" t="s">
        <v>1928</v>
      </c>
      <c r="F463" s="8">
        <v>4.0</v>
      </c>
      <c r="G463" s="8">
        <v>202.46</v>
      </c>
      <c r="H463" s="8">
        <v>0.24</v>
      </c>
      <c r="I463" s="8">
        <f t="shared" si="1"/>
        <v>809.84</v>
      </c>
      <c r="J463" s="8">
        <f t="shared" si="2"/>
        <v>-194.1216</v>
      </c>
      <c r="K463" s="8" t="str">
        <f t="shared" si="3"/>
        <v>Oct</v>
      </c>
      <c r="L463" s="8">
        <f t="shared" si="4"/>
        <v>2025</v>
      </c>
      <c r="N463" s="8" t="str">
        <f t="array" ref="N463">XLOOKUP(C463,Customer_Dim!A:A,Customer_Dim!B:B,"Not Found")</f>
        <v>Jessica Mitchell</v>
      </c>
      <c r="O463" s="8" t="str">
        <f t="array" ref="O463">XLOOKUP(C463,Customer_Dim!A:A,Customer_Dim!E:E,"Not Found")</f>
        <v>Matthewbury</v>
      </c>
      <c r="P463" s="8" t="str">
        <f t="array" ref="P463">XLOOKUP(D463,Product_Dim!A:A,Product_Dim!B:B,"Not Found")</f>
        <v>Women's High Heels</v>
      </c>
      <c r="Q463" s="8" t="str">
        <f t="array" ref="Q463">XLOOKUP(D463,Product_Dim!A:A,Product_Dim!C:C,"Not Found")</f>
        <v>Clothing</v>
      </c>
      <c r="R463" s="8" t="str">
        <f t="array" ref="R463">XLOOKUP(E463,Store_Dim!A:A,Store_Dim!B:B,"Not Found")</f>
        <v>South</v>
      </c>
      <c r="S463" s="8" t="str">
        <f t="array" ref="S463">XLOOKUP(E463,Store_Dim!A:A,Store_Dim!D:D,"Not Found")</f>
        <v>Online</v>
      </c>
    </row>
    <row r="464" ht="14.25" customHeight="1">
      <c r="A464" s="8" t="s">
        <v>2417</v>
      </c>
      <c r="B464" s="12">
        <v>45942.0</v>
      </c>
      <c r="C464" s="8" t="s">
        <v>861</v>
      </c>
      <c r="D464" s="8" t="s">
        <v>1851</v>
      </c>
      <c r="E464" s="8" t="s">
        <v>1903</v>
      </c>
      <c r="F464" s="8">
        <v>2.0</v>
      </c>
      <c r="G464" s="8">
        <v>291.84</v>
      </c>
      <c r="H464" s="8">
        <v>0.25</v>
      </c>
      <c r="I464" s="8">
        <f t="shared" si="1"/>
        <v>583.68</v>
      </c>
      <c r="J464" s="8">
        <f t="shared" si="2"/>
        <v>-145.67</v>
      </c>
      <c r="K464" s="8" t="str">
        <f t="shared" si="3"/>
        <v>Oct</v>
      </c>
      <c r="L464" s="8">
        <f t="shared" si="4"/>
        <v>2025</v>
      </c>
      <c r="N464" s="8" t="str">
        <f t="array" ref="N464">XLOOKUP(C464,Customer_Dim!A:A,Customer_Dim!B:B,"Not Found")</f>
        <v>Tracy Kelly</v>
      </c>
      <c r="O464" s="8" t="str">
        <f t="array" ref="O464">XLOOKUP(C464,Customer_Dim!A:A,Customer_Dim!E:E,"Not Found")</f>
        <v>West Jamieport</v>
      </c>
      <c r="P464" s="8" t="str">
        <f t="array" ref="P464">XLOOKUP(D464,Product_Dim!A:A,Product_Dim!B:B,"Not Found")</f>
        <v>LED Bedside Lamp</v>
      </c>
      <c r="Q464" s="8" t="str">
        <f t="array" ref="Q464">XLOOKUP(D464,Product_Dim!A:A,Product_Dim!C:C,"Not Found")</f>
        <v>Home</v>
      </c>
      <c r="R464" s="8" t="str">
        <f t="array" ref="R464">XLOOKUP(E464,Store_Dim!A:A,Store_Dim!B:B,"Not Found")</f>
        <v>North</v>
      </c>
      <c r="S464" s="8" t="str">
        <f t="array" ref="S464">XLOOKUP(E464,Store_Dim!A:A,Store_Dim!D:D,"Not Found")</f>
        <v>Flagship</v>
      </c>
    </row>
    <row r="465" ht="14.25" customHeight="1">
      <c r="A465" s="8" t="s">
        <v>2418</v>
      </c>
      <c r="B465" s="12">
        <v>45943.0</v>
      </c>
      <c r="C465" s="8" t="s">
        <v>556</v>
      </c>
      <c r="D465" s="8" t="s">
        <v>1881</v>
      </c>
      <c r="E465" s="8" t="s">
        <v>1915</v>
      </c>
      <c r="F465" s="8">
        <v>2.0</v>
      </c>
      <c r="G465" s="8">
        <v>261.48</v>
      </c>
      <c r="H465" s="8">
        <v>0.17</v>
      </c>
      <c r="I465" s="8">
        <f t="shared" si="1"/>
        <v>522.96</v>
      </c>
      <c r="J465" s="8">
        <f t="shared" si="2"/>
        <v>-88.7332</v>
      </c>
      <c r="K465" s="8" t="str">
        <f t="shared" si="3"/>
        <v>Oct</v>
      </c>
      <c r="L465" s="8">
        <f t="shared" si="4"/>
        <v>2025</v>
      </c>
      <c r="N465" s="8" t="str">
        <f t="array" ref="N465">XLOOKUP(C465,Customer_Dim!A:A,Customer_Dim!B:B,"Not Found")</f>
        <v>Joseph Jones</v>
      </c>
      <c r="O465" s="8" t="str">
        <f t="array" ref="O465">XLOOKUP(C465,Customer_Dim!A:A,Customer_Dim!E:E,"Not Found")</f>
        <v>North Matthew</v>
      </c>
      <c r="P465" s="8" t="str">
        <f t="array" ref="P465">XLOOKUP(D465,Product_Dim!A:A,Product_Dim!B:B,"Not Found")</f>
        <v>Cricket Bat</v>
      </c>
      <c r="Q465" s="8" t="str">
        <f t="array" ref="Q465">XLOOKUP(D465,Product_Dim!A:A,Product_Dim!C:C,"Not Found")</f>
        <v>Sports</v>
      </c>
      <c r="R465" s="8" t="str">
        <f t="array" ref="R465">XLOOKUP(E465,Store_Dim!A:A,Store_Dim!B:B,"Not Found")</f>
        <v>North</v>
      </c>
      <c r="S465" s="8" t="str">
        <f t="array" ref="S465">XLOOKUP(E465,Store_Dim!A:A,Store_Dim!D:D,"Not Found")</f>
        <v>Outlet</v>
      </c>
    </row>
    <row r="466" ht="14.25" customHeight="1">
      <c r="A466" s="8" t="s">
        <v>2419</v>
      </c>
      <c r="B466" s="12">
        <v>45944.0</v>
      </c>
      <c r="C466" s="8" t="s">
        <v>963</v>
      </c>
      <c r="D466" s="8" t="s">
        <v>1693</v>
      </c>
      <c r="E466" s="8" t="s">
        <v>1932</v>
      </c>
      <c r="F466" s="8">
        <v>1.0</v>
      </c>
      <c r="G466" s="8">
        <v>850.83</v>
      </c>
      <c r="H466" s="8">
        <v>0.28</v>
      </c>
      <c r="I466" s="8">
        <f t="shared" si="1"/>
        <v>850.83</v>
      </c>
      <c r="J466" s="8">
        <f t="shared" si="2"/>
        <v>-237.9524</v>
      </c>
      <c r="K466" s="8" t="str">
        <f t="shared" si="3"/>
        <v>Oct</v>
      </c>
      <c r="L466" s="8">
        <f t="shared" si="4"/>
        <v>2025</v>
      </c>
      <c r="N466" s="8" t="str">
        <f t="array" ref="N466">XLOOKUP(C466,Customer_Dim!A:A,Customer_Dim!B:B,"Not Found")</f>
        <v>Matthew Avery</v>
      </c>
      <c r="O466" s="8" t="str">
        <f t="array" ref="O466">XLOOKUP(C466,Customer_Dim!A:A,Customer_Dim!E:E,"Not Found")</f>
        <v>Lake Melissashire</v>
      </c>
      <c r="P466" s="8" t="str">
        <f t="array" ref="P466">XLOOKUP(D466,Product_Dim!A:A,Product_Dim!B:B,"Not Found")</f>
        <v>Women's Summer Dress</v>
      </c>
      <c r="Q466" s="8" t="str">
        <f t="array" ref="Q466">XLOOKUP(D466,Product_Dim!A:A,Product_Dim!C:C,"Not Found")</f>
        <v>Clothing</v>
      </c>
      <c r="R466" s="8" t="str">
        <f t="array" ref="R466">XLOOKUP(E466,Store_Dim!A:A,Store_Dim!B:B,"Not Found")</f>
        <v>South</v>
      </c>
      <c r="S466" s="8" t="str">
        <f t="array" ref="S466">XLOOKUP(E466,Store_Dim!A:A,Store_Dim!D:D,"Not Found")</f>
        <v>Outlet</v>
      </c>
    </row>
    <row r="467" ht="14.25" customHeight="1">
      <c r="A467" s="8" t="s">
        <v>2420</v>
      </c>
      <c r="B467" s="12">
        <v>45945.0</v>
      </c>
      <c r="C467" s="8" t="s">
        <v>1276</v>
      </c>
      <c r="D467" s="8" t="s">
        <v>1725</v>
      </c>
      <c r="E467" s="8" t="s">
        <v>1924</v>
      </c>
      <c r="F467" s="8">
        <v>1.0</v>
      </c>
      <c r="G467" s="8">
        <v>83.83</v>
      </c>
      <c r="H467" s="8">
        <v>0.05</v>
      </c>
      <c r="I467" s="8">
        <f t="shared" si="1"/>
        <v>83.83</v>
      </c>
      <c r="J467" s="8">
        <f t="shared" si="2"/>
        <v>-4.1415</v>
      </c>
      <c r="K467" s="8" t="str">
        <f t="shared" si="3"/>
        <v>Oct</v>
      </c>
      <c r="L467" s="8">
        <f t="shared" si="4"/>
        <v>2025</v>
      </c>
      <c r="N467" s="8" t="str">
        <f t="array" ref="N467">XLOOKUP(C467,Customer_Dim!A:A,Customer_Dim!B:B,"Not Found")</f>
        <v>Eric Wolfe</v>
      </c>
      <c r="O467" s="8" t="str">
        <f t="array" ref="O467">XLOOKUP(C467,Customer_Dim!A:A,Customer_Dim!E:E,"Not Found")</f>
        <v>Garciaview</v>
      </c>
      <c r="P467" s="8" t="str">
        <f t="array" ref="P467">XLOOKUP(D467,Product_Dim!A:A,Product_Dim!B:B,"Not Found")</f>
        <v>Men's Winter Jacket</v>
      </c>
      <c r="Q467" s="8" t="str">
        <f t="array" ref="Q467">XLOOKUP(D467,Product_Dim!A:A,Product_Dim!C:C,"Not Found")</f>
        <v>Clothing</v>
      </c>
      <c r="R467" s="8" t="str">
        <f t="array" ref="R467">XLOOKUP(E467,Store_Dim!A:A,Store_Dim!B:B,"Not Found")</f>
        <v>South</v>
      </c>
      <c r="S467" s="8" t="str">
        <f t="array" ref="S467">XLOOKUP(E467,Store_Dim!A:A,Store_Dim!D:D,"Not Found")</f>
        <v>Flagship</v>
      </c>
    </row>
    <row r="468" ht="14.25" customHeight="1">
      <c r="A468" s="8" t="s">
        <v>2421</v>
      </c>
      <c r="B468" s="12">
        <v>45946.0</v>
      </c>
      <c r="C468" s="8" t="s">
        <v>44</v>
      </c>
      <c r="D468" s="8" t="s">
        <v>1854</v>
      </c>
      <c r="E468" s="8" t="s">
        <v>1935</v>
      </c>
      <c r="F468" s="8">
        <v>3.0</v>
      </c>
      <c r="G468" s="8">
        <v>649.95</v>
      </c>
      <c r="H468" s="8">
        <v>0.28</v>
      </c>
      <c r="I468" s="8">
        <f t="shared" si="1"/>
        <v>1949.85</v>
      </c>
      <c r="J468" s="8">
        <f t="shared" si="2"/>
        <v>-545.678</v>
      </c>
      <c r="K468" s="8" t="str">
        <f t="shared" si="3"/>
        <v>Oct</v>
      </c>
      <c r="L468" s="8">
        <f t="shared" si="4"/>
        <v>2025</v>
      </c>
      <c r="N468" s="8" t="str">
        <f t="array" ref="N468">XLOOKUP(C468,Customer_Dim!A:A,Customer_Dim!B:B,"Not Found")</f>
        <v>Amber Jackson</v>
      </c>
      <c r="O468" s="8" t="str">
        <f t="array" ref="O468">XLOOKUP(C468,Customer_Dim!A:A,Customer_Dim!E:E,"Not Found")</f>
        <v>Deborahborough</v>
      </c>
      <c r="P468" s="8" t="str">
        <f t="array" ref="P468">XLOOKUP(D468,Product_Dim!A:A,Product_Dim!B:B,"Not Found")</f>
        <v>Sports Wrist Sweatbands</v>
      </c>
      <c r="Q468" s="8" t="str">
        <f t="array" ref="Q468">XLOOKUP(D468,Product_Dim!A:A,Product_Dim!C:C,"Not Found")</f>
        <v>Sports</v>
      </c>
      <c r="R468" s="8" t="str">
        <f t="array" ref="R468">XLOOKUP(E468,Store_Dim!A:A,Store_Dim!B:B,"Not Found")</f>
        <v>West</v>
      </c>
      <c r="S468" s="8" t="str">
        <f t="array" ref="S468">XLOOKUP(E468,Store_Dim!A:A,Store_Dim!D:D,"Not Found")</f>
        <v>Flagship</v>
      </c>
    </row>
    <row r="469" ht="14.25" customHeight="1">
      <c r="A469" s="8" t="s">
        <v>2422</v>
      </c>
      <c r="B469" s="12">
        <v>45947.0</v>
      </c>
      <c r="C469" s="8" t="s">
        <v>1161</v>
      </c>
      <c r="D469" s="8" t="s">
        <v>1809</v>
      </c>
      <c r="E469" s="8" t="s">
        <v>1917</v>
      </c>
      <c r="F469" s="8">
        <v>4.0</v>
      </c>
      <c r="G469" s="8">
        <v>934.96</v>
      </c>
      <c r="H469" s="8">
        <v>0.18</v>
      </c>
      <c r="I469" s="8">
        <f t="shared" si="1"/>
        <v>3739.84</v>
      </c>
      <c r="J469" s="8">
        <f t="shared" si="2"/>
        <v>-672.9912</v>
      </c>
      <c r="K469" s="8" t="str">
        <f t="shared" si="3"/>
        <v>Oct</v>
      </c>
      <c r="L469" s="8">
        <f t="shared" si="4"/>
        <v>2025</v>
      </c>
      <c r="N469" s="8" t="str">
        <f t="array" ref="N469">XLOOKUP(C469,Customer_Dim!A:A,Customer_Dim!B:B,"Not Found")</f>
        <v>Mallory Allen</v>
      </c>
      <c r="O469" s="8" t="str">
        <f t="array" ref="O469">XLOOKUP(C469,Customer_Dim!A:A,Customer_Dim!E:E,"Not Found")</f>
        <v>North Theresa</v>
      </c>
      <c r="P469" s="8" t="str">
        <f t="array" ref="P469">XLOOKUP(D469,Product_Dim!A:A,Product_Dim!B:B,"Not Found")</f>
        <v>Shin Guards – Adult</v>
      </c>
      <c r="Q469" s="8" t="str">
        <f t="array" ref="Q469">XLOOKUP(D469,Product_Dim!A:A,Product_Dim!C:C,"Not Found")</f>
        <v>Sports</v>
      </c>
      <c r="R469" s="8" t="str">
        <f t="array" ref="R469">XLOOKUP(E469,Store_Dim!A:A,Store_Dim!B:B,"Not Found")</f>
        <v>East</v>
      </c>
      <c r="S469" s="8" t="str">
        <f t="array" ref="S469">XLOOKUP(E469,Store_Dim!A:A,Store_Dim!D:D,"Not Found")</f>
        <v>Online</v>
      </c>
    </row>
    <row r="470" ht="14.25" customHeight="1">
      <c r="A470" s="8" t="s">
        <v>2423</v>
      </c>
      <c r="B470" s="12">
        <v>45948.0</v>
      </c>
      <c r="C470" s="8" t="s">
        <v>684</v>
      </c>
      <c r="D470" s="8" t="s">
        <v>1632</v>
      </c>
      <c r="E470" s="8" t="s">
        <v>1932</v>
      </c>
      <c r="F470" s="8">
        <v>1.0</v>
      </c>
      <c r="G470" s="8">
        <v>880.89</v>
      </c>
      <c r="H470" s="8">
        <v>0.13</v>
      </c>
      <c r="I470" s="8">
        <f t="shared" si="1"/>
        <v>880.89</v>
      </c>
      <c r="J470" s="8">
        <f t="shared" si="2"/>
        <v>-114.3857</v>
      </c>
      <c r="K470" s="8" t="str">
        <f t="shared" si="3"/>
        <v>Oct</v>
      </c>
      <c r="L470" s="8">
        <f t="shared" si="4"/>
        <v>2025</v>
      </c>
      <c r="N470" s="8" t="str">
        <f t="array" ref="N470">XLOOKUP(C470,Customer_Dim!A:A,Customer_Dim!B:B,"Not Found")</f>
        <v>Ronald Jones</v>
      </c>
      <c r="O470" s="8" t="str">
        <f t="array" ref="O470">XLOOKUP(C470,Customer_Dim!A:A,Customer_Dim!E:E,"Not Found")</f>
        <v>Brownshire</v>
      </c>
      <c r="P470" s="8" t="str">
        <f t="array" ref="P470">XLOOKUP(D470,Product_Dim!A:A,Product_Dim!B:B,"Not Found")</f>
        <v>Soccer Training Cone Set</v>
      </c>
      <c r="Q470" s="8" t="str">
        <f t="array" ref="Q470">XLOOKUP(D470,Product_Dim!A:A,Product_Dim!C:C,"Not Found")</f>
        <v>Sports</v>
      </c>
      <c r="R470" s="8" t="str">
        <f t="array" ref="R470">XLOOKUP(E470,Store_Dim!A:A,Store_Dim!B:B,"Not Found")</f>
        <v>South</v>
      </c>
      <c r="S470" s="8" t="str">
        <f t="array" ref="S470">XLOOKUP(E470,Store_Dim!A:A,Store_Dim!D:D,"Not Found")</f>
        <v>Outlet</v>
      </c>
    </row>
    <row r="471" ht="14.25" customHeight="1">
      <c r="A471" s="8" t="s">
        <v>2424</v>
      </c>
      <c r="B471" s="12">
        <v>45949.0</v>
      </c>
      <c r="C471" s="8" t="s">
        <v>1485</v>
      </c>
      <c r="D471" s="8" t="s">
        <v>1884</v>
      </c>
      <c r="E471" s="8" t="s">
        <v>1921</v>
      </c>
      <c r="F471" s="8">
        <v>4.0</v>
      </c>
      <c r="G471" s="8">
        <v>610.6</v>
      </c>
      <c r="H471" s="8">
        <v>0.1</v>
      </c>
      <c r="I471" s="8">
        <f t="shared" si="1"/>
        <v>2442.4</v>
      </c>
      <c r="J471" s="8">
        <f t="shared" si="2"/>
        <v>-244.14</v>
      </c>
      <c r="K471" s="8" t="str">
        <f t="shared" si="3"/>
        <v>Oct</v>
      </c>
      <c r="L471" s="8">
        <f t="shared" si="4"/>
        <v>2025</v>
      </c>
      <c r="N471" s="8" t="str">
        <f t="array" ref="N471">XLOOKUP(C471,Customer_Dim!A:A,Customer_Dim!B:B,"Not Found")</f>
        <v>Andrea Harris</v>
      </c>
      <c r="O471" s="8" t="str">
        <f t="array" ref="O471">XLOOKUP(C471,Customer_Dim!A:A,Customer_Dim!E:E,"Not Found")</f>
        <v>West Kelseyberg</v>
      </c>
      <c r="P471" s="8" t="str">
        <f t="array" ref="P471">XLOOKUP(D471,Product_Dim!A:A,Product_Dim!B:B,"Not Found")</f>
        <v>Portable Bluetooth Speaker</v>
      </c>
      <c r="Q471" s="8" t="str">
        <f t="array" ref="Q471">XLOOKUP(D471,Product_Dim!A:A,Product_Dim!C:C,"Not Found")</f>
        <v>Electronics</v>
      </c>
      <c r="R471" s="8" t="str">
        <f t="array" ref="R471">XLOOKUP(E471,Store_Dim!A:A,Store_Dim!B:B,"Not Found")</f>
        <v>West</v>
      </c>
      <c r="S471" s="8" t="str">
        <f t="array" ref="S471">XLOOKUP(E471,Store_Dim!A:A,Store_Dim!D:D,"Not Found")</f>
        <v>Online</v>
      </c>
    </row>
    <row r="472" ht="14.25" customHeight="1">
      <c r="A472" s="8" t="s">
        <v>2425</v>
      </c>
      <c r="B472" s="12">
        <v>45950.0</v>
      </c>
      <c r="C472" s="8" t="s">
        <v>285</v>
      </c>
      <c r="D472" s="8" t="s">
        <v>1668</v>
      </c>
      <c r="E472" s="8" t="s">
        <v>1939</v>
      </c>
      <c r="F472" s="8">
        <v>1.0</v>
      </c>
      <c r="G472" s="8">
        <v>514.19</v>
      </c>
      <c r="H472" s="8">
        <v>0.2</v>
      </c>
      <c r="I472" s="8">
        <f t="shared" si="1"/>
        <v>514.19</v>
      </c>
      <c r="J472" s="8">
        <f t="shared" si="2"/>
        <v>-102.638</v>
      </c>
      <c r="K472" s="8" t="str">
        <f t="shared" si="3"/>
        <v>Oct</v>
      </c>
      <c r="L472" s="8">
        <f t="shared" si="4"/>
        <v>2025</v>
      </c>
      <c r="N472" s="8" t="str">
        <f t="array" ref="N472">XLOOKUP(C472,Customer_Dim!A:A,Customer_Dim!B:B,"Not Found")</f>
        <v>Rhonda Morales</v>
      </c>
      <c r="O472" s="8" t="str">
        <f t="array" ref="O472">XLOOKUP(C472,Customer_Dim!A:A,Customer_Dim!E:E,"Not Found")</f>
        <v>Lake Barryfurt</v>
      </c>
      <c r="P472" s="8" t="str">
        <f t="array" ref="P472">XLOOKUP(D472,Product_Dim!A:A,Product_Dim!B:B,"Not Found")</f>
        <v>Sports Stopwatch Timer</v>
      </c>
      <c r="Q472" s="8" t="str">
        <f t="array" ref="Q472">XLOOKUP(D472,Product_Dim!A:A,Product_Dim!C:C,"Not Found")</f>
        <v>Sports</v>
      </c>
      <c r="R472" s="8" t="str">
        <f t="array" ref="R472">XLOOKUP(E472,Store_Dim!A:A,Store_Dim!B:B,"Not Found")</f>
        <v>East</v>
      </c>
      <c r="S472" s="8" t="str">
        <f t="array" ref="S472">XLOOKUP(E472,Store_Dim!A:A,Store_Dim!D:D,"Not Found")</f>
        <v>Flagship</v>
      </c>
    </row>
    <row r="473" ht="14.25" customHeight="1">
      <c r="A473" s="8" t="s">
        <v>2426</v>
      </c>
      <c r="B473" s="12">
        <v>45951.0</v>
      </c>
      <c r="C473" s="8" t="s">
        <v>1259</v>
      </c>
      <c r="D473" s="8" t="s">
        <v>1696</v>
      </c>
      <c r="E473" s="8" t="s">
        <v>1931</v>
      </c>
      <c r="F473" s="8">
        <v>1.0</v>
      </c>
      <c r="G473" s="8">
        <v>546.2</v>
      </c>
      <c r="H473" s="8">
        <v>0.22</v>
      </c>
      <c r="I473" s="8">
        <f t="shared" si="1"/>
        <v>546.2</v>
      </c>
      <c r="J473" s="8">
        <f t="shared" si="2"/>
        <v>-119.944</v>
      </c>
      <c r="K473" s="8" t="str">
        <f t="shared" si="3"/>
        <v>Oct</v>
      </c>
      <c r="L473" s="8">
        <f t="shared" si="4"/>
        <v>2025</v>
      </c>
      <c r="N473" s="8" t="str">
        <f t="array" ref="N473">XLOOKUP(C473,Customer_Dim!A:A,Customer_Dim!B:B,"Not Found")</f>
        <v>John Donaldson</v>
      </c>
      <c r="O473" s="8" t="str">
        <f t="array" ref="O473">XLOOKUP(C473,Customer_Dim!A:A,Customer_Dim!E:E,"Not Found")</f>
        <v>New Edward</v>
      </c>
      <c r="P473" s="8" t="str">
        <f t="array" ref="P473">XLOOKUP(D473,Product_Dim!A:A,Product_Dim!B:B,"Not Found")</f>
        <v>Men's Casual Sneakers</v>
      </c>
      <c r="Q473" s="8" t="str">
        <f t="array" ref="Q473">XLOOKUP(D473,Product_Dim!A:A,Product_Dim!C:C,"Not Found")</f>
        <v>Clothing</v>
      </c>
      <c r="R473" s="8" t="str">
        <f t="array" ref="R473">XLOOKUP(E473,Store_Dim!A:A,Store_Dim!B:B,"Not Found")</f>
        <v>East</v>
      </c>
      <c r="S473" s="8" t="str">
        <f t="array" ref="S473">XLOOKUP(E473,Store_Dim!A:A,Store_Dim!D:D,"Not Found")</f>
        <v>Flagship</v>
      </c>
    </row>
    <row r="474" ht="14.25" customHeight="1">
      <c r="A474" s="8" t="s">
        <v>2427</v>
      </c>
      <c r="B474" s="12">
        <v>45952.0</v>
      </c>
      <c r="C474" s="8" t="s">
        <v>658</v>
      </c>
      <c r="D474" s="8" t="s">
        <v>1696</v>
      </c>
      <c r="E474" s="8" t="s">
        <v>1899</v>
      </c>
      <c r="F474" s="8">
        <v>3.0</v>
      </c>
      <c r="G474" s="8">
        <v>416.01</v>
      </c>
      <c r="H474" s="8">
        <v>0.02</v>
      </c>
      <c r="I474" s="8">
        <f t="shared" si="1"/>
        <v>1248.03</v>
      </c>
      <c r="J474" s="8">
        <f t="shared" si="2"/>
        <v>-24.9406</v>
      </c>
      <c r="K474" s="8" t="str">
        <f t="shared" si="3"/>
        <v>Oct</v>
      </c>
      <c r="L474" s="8">
        <f t="shared" si="4"/>
        <v>2025</v>
      </c>
      <c r="N474" s="8" t="str">
        <f t="array" ref="N474">XLOOKUP(C474,Customer_Dim!A:A,Customer_Dim!B:B,"Not Found")</f>
        <v>Andrea Jacobs</v>
      </c>
      <c r="O474" s="8" t="str">
        <f t="array" ref="O474">XLOOKUP(C474,Customer_Dim!A:A,Customer_Dim!E:E,"Not Found")</f>
        <v>Christopherland</v>
      </c>
      <c r="P474" s="8" t="str">
        <f t="array" ref="P474">XLOOKUP(D474,Product_Dim!A:A,Product_Dim!B:B,"Not Found")</f>
        <v>Men's Casual Sneakers</v>
      </c>
      <c r="Q474" s="8" t="str">
        <f t="array" ref="Q474">XLOOKUP(D474,Product_Dim!A:A,Product_Dim!C:C,"Not Found")</f>
        <v>Clothing</v>
      </c>
      <c r="R474" s="8" t="str">
        <f t="array" ref="R474">XLOOKUP(E474,Store_Dim!A:A,Store_Dim!B:B,"Not Found")</f>
        <v>East</v>
      </c>
      <c r="S474" s="8" t="str">
        <f t="array" ref="S474">XLOOKUP(E474,Store_Dim!A:A,Store_Dim!D:D,"Not Found")</f>
        <v>Flagship</v>
      </c>
    </row>
    <row r="475" ht="14.25" customHeight="1">
      <c r="A475" s="8" t="s">
        <v>2428</v>
      </c>
      <c r="B475" s="12">
        <v>45953.0</v>
      </c>
      <c r="C475" s="8" t="s">
        <v>1215</v>
      </c>
      <c r="D475" s="8" t="s">
        <v>1812</v>
      </c>
      <c r="E475" s="8" t="s">
        <v>1926</v>
      </c>
      <c r="F475" s="8">
        <v>1.0</v>
      </c>
      <c r="G475" s="8">
        <v>30.94</v>
      </c>
      <c r="H475" s="8">
        <v>0.21</v>
      </c>
      <c r="I475" s="8">
        <f t="shared" si="1"/>
        <v>30.94</v>
      </c>
      <c r="J475" s="8">
        <f t="shared" si="2"/>
        <v>-6.2874</v>
      </c>
      <c r="K475" s="8" t="str">
        <f t="shared" si="3"/>
        <v>Oct</v>
      </c>
      <c r="L475" s="8">
        <f t="shared" si="4"/>
        <v>2025</v>
      </c>
      <c r="N475" s="8" t="str">
        <f t="array" ref="N475">XLOOKUP(C475,Customer_Dim!A:A,Customer_Dim!B:B,"Not Found")</f>
        <v>Andrew Mason</v>
      </c>
      <c r="O475" s="8" t="str">
        <f t="array" ref="O475">XLOOKUP(C475,Customer_Dim!A:A,Customer_Dim!E:E,"Not Found")</f>
        <v>North Michael</v>
      </c>
      <c r="P475" s="8" t="str">
        <f t="array" ref="P475">XLOOKUP(D475,Product_Dim!A:A,Product_Dim!B:B,"Not Found")</f>
        <v>Bluetooth Car Audio System</v>
      </c>
      <c r="Q475" s="8" t="str">
        <f t="array" ref="Q475">XLOOKUP(D475,Product_Dim!A:A,Product_Dim!C:C,"Not Found")</f>
        <v>Electronics</v>
      </c>
      <c r="R475" s="8" t="str">
        <f t="array" ref="R475">XLOOKUP(E475,Store_Dim!A:A,Store_Dim!B:B,"Not Found")</f>
        <v>East</v>
      </c>
      <c r="S475" s="8" t="str">
        <f t="array" ref="S475">XLOOKUP(E475,Store_Dim!A:A,Store_Dim!D:D,"Not Found")</f>
        <v>Online</v>
      </c>
    </row>
    <row r="476" ht="14.25" customHeight="1">
      <c r="A476" s="8" t="s">
        <v>2429</v>
      </c>
      <c r="B476" s="12">
        <v>45954.0</v>
      </c>
      <c r="C476" s="8" t="s">
        <v>666</v>
      </c>
      <c r="D476" s="8" t="s">
        <v>1763</v>
      </c>
      <c r="E476" s="8" t="s">
        <v>1935</v>
      </c>
      <c r="F476" s="8">
        <v>3.0</v>
      </c>
      <c r="G476" s="8">
        <v>666.39</v>
      </c>
      <c r="H476" s="8">
        <v>0.21</v>
      </c>
      <c r="I476" s="8">
        <f t="shared" si="1"/>
        <v>1999.17</v>
      </c>
      <c r="J476" s="8">
        <f t="shared" si="2"/>
        <v>-419.6157</v>
      </c>
      <c r="K476" s="8" t="str">
        <f t="shared" si="3"/>
        <v>Oct</v>
      </c>
      <c r="L476" s="8">
        <f t="shared" si="4"/>
        <v>2025</v>
      </c>
      <c r="N476" s="8" t="str">
        <f t="array" ref="N476">XLOOKUP(C476,Customer_Dim!A:A,Customer_Dim!B:B,"Not Found")</f>
        <v>Anna Perez</v>
      </c>
      <c r="O476" s="8" t="str">
        <f t="array" ref="O476">XLOOKUP(C476,Customer_Dim!A:A,Customer_Dim!E:E,"Not Found")</f>
        <v>South Jerry</v>
      </c>
      <c r="P476" s="8" t="str">
        <f t="array" ref="P476">XLOOKUP(D476,Product_Dim!A:A,Product_Dim!B:B,"Not Found")</f>
        <v>Womens Cotton Scarf</v>
      </c>
      <c r="Q476" s="8" t="str">
        <f t="array" ref="Q476">XLOOKUP(D476,Product_Dim!A:A,Product_Dim!C:C,"Not Found")</f>
        <v>Clothing</v>
      </c>
      <c r="R476" s="8" t="str">
        <f t="array" ref="R476">XLOOKUP(E476,Store_Dim!A:A,Store_Dim!B:B,"Not Found")</f>
        <v>West</v>
      </c>
      <c r="S476" s="8" t="str">
        <f t="array" ref="S476">XLOOKUP(E476,Store_Dim!A:A,Store_Dim!D:D,"Not Found")</f>
        <v>Flagship</v>
      </c>
    </row>
    <row r="477" ht="14.25" customHeight="1">
      <c r="A477" s="8" t="s">
        <v>2430</v>
      </c>
      <c r="B477" s="12">
        <v>45955.0</v>
      </c>
      <c r="C477" s="8" t="s">
        <v>565</v>
      </c>
      <c r="D477" s="8" t="s">
        <v>1833</v>
      </c>
      <c r="E477" s="8" t="s">
        <v>1926</v>
      </c>
      <c r="F477" s="8">
        <v>2.0</v>
      </c>
      <c r="G477" s="8">
        <v>145.26</v>
      </c>
      <c r="H477" s="8">
        <v>0.19</v>
      </c>
      <c r="I477" s="8">
        <f t="shared" si="1"/>
        <v>290.52</v>
      </c>
      <c r="J477" s="8">
        <f t="shared" si="2"/>
        <v>-55.0088</v>
      </c>
      <c r="K477" s="8" t="str">
        <f t="shared" si="3"/>
        <v>Oct</v>
      </c>
      <c r="L477" s="8">
        <f t="shared" si="4"/>
        <v>2025</v>
      </c>
      <c r="N477" s="8" t="str">
        <f t="array" ref="N477">XLOOKUP(C477,Customer_Dim!A:A,Customer_Dim!B:B,"Not Found")</f>
        <v>Patricia Gardner</v>
      </c>
      <c r="O477" s="8" t="str">
        <f t="array" ref="O477">XLOOKUP(C477,Customer_Dim!A:A,Customer_Dim!E:E,"Not Found")</f>
        <v>South Ashleyton</v>
      </c>
      <c r="P477" s="8" t="str">
        <f t="array" ref="P477">XLOOKUP(D477,Product_Dim!A:A,Product_Dim!B:B,"Not Found")</f>
        <v>Badminton Racket Set</v>
      </c>
      <c r="Q477" s="8" t="str">
        <f t="array" ref="Q477">XLOOKUP(D477,Product_Dim!A:A,Product_Dim!C:C,"Not Found")</f>
        <v>Sports</v>
      </c>
      <c r="R477" s="8" t="str">
        <f t="array" ref="R477">XLOOKUP(E477,Store_Dim!A:A,Store_Dim!B:B,"Not Found")</f>
        <v>East</v>
      </c>
      <c r="S477" s="8" t="str">
        <f t="array" ref="S477">XLOOKUP(E477,Store_Dim!A:A,Store_Dim!D:D,"Not Found")</f>
        <v>Online</v>
      </c>
    </row>
    <row r="478" ht="14.25" customHeight="1">
      <c r="A478" s="8" t="s">
        <v>2431</v>
      </c>
      <c r="B478" s="12">
        <v>45956.0</v>
      </c>
      <c r="C478" s="8" t="s">
        <v>421</v>
      </c>
      <c r="D478" s="8" t="s">
        <v>1863</v>
      </c>
      <c r="E478" s="8" t="s">
        <v>1915</v>
      </c>
      <c r="F478" s="8">
        <v>4.0</v>
      </c>
      <c r="G478" s="8">
        <v>940.77</v>
      </c>
      <c r="H478" s="8">
        <v>0.24</v>
      </c>
      <c r="I478" s="8">
        <f t="shared" si="1"/>
        <v>3763.08</v>
      </c>
      <c r="J478" s="8">
        <f t="shared" si="2"/>
        <v>-902.8992</v>
      </c>
      <c r="K478" s="8" t="str">
        <f t="shared" si="3"/>
        <v>Oct</v>
      </c>
      <c r="L478" s="8">
        <f t="shared" si="4"/>
        <v>2025</v>
      </c>
      <c r="N478" s="8" t="str">
        <f t="array" ref="N478">XLOOKUP(C478,Customer_Dim!A:A,Customer_Dim!B:B,"Not Found")</f>
        <v>Earl Allen</v>
      </c>
      <c r="O478" s="8" t="str">
        <f t="array" ref="O478">XLOOKUP(C478,Customer_Dim!A:A,Customer_Dim!E:E,"Not Found")</f>
        <v>New Jenniferburgh</v>
      </c>
      <c r="P478" s="8" t="str">
        <f t="array" ref="P478">XLOOKUP(D478,Product_Dim!A:A,Product_Dim!B:B,"Not Found")</f>
        <v>Women's High Heels</v>
      </c>
      <c r="Q478" s="8" t="str">
        <f t="array" ref="Q478">XLOOKUP(D478,Product_Dim!A:A,Product_Dim!C:C,"Not Found")</f>
        <v>Clothing</v>
      </c>
      <c r="R478" s="8" t="str">
        <f t="array" ref="R478">XLOOKUP(E478,Store_Dim!A:A,Store_Dim!B:B,"Not Found")</f>
        <v>North</v>
      </c>
      <c r="S478" s="8" t="str">
        <f t="array" ref="S478">XLOOKUP(E478,Store_Dim!A:A,Store_Dim!D:D,"Not Found")</f>
        <v>Outlet</v>
      </c>
    </row>
    <row r="479" ht="14.25" customHeight="1">
      <c r="A479" s="8" t="s">
        <v>2432</v>
      </c>
      <c r="B479" s="12">
        <v>45957.0</v>
      </c>
      <c r="C479" s="8" t="s">
        <v>1462</v>
      </c>
      <c r="D479" s="8" t="s">
        <v>1725</v>
      </c>
      <c r="E479" s="8" t="s">
        <v>1937</v>
      </c>
      <c r="F479" s="8">
        <v>1.0</v>
      </c>
      <c r="G479" s="8">
        <v>708.88</v>
      </c>
      <c r="H479" s="8">
        <v>0.09</v>
      </c>
      <c r="I479" s="8">
        <f t="shared" si="1"/>
        <v>708.88</v>
      </c>
      <c r="J479" s="8">
        <f t="shared" si="2"/>
        <v>-63.7092</v>
      </c>
      <c r="K479" s="8" t="str">
        <f t="shared" si="3"/>
        <v>Oct</v>
      </c>
      <c r="L479" s="8">
        <f t="shared" si="4"/>
        <v>2025</v>
      </c>
      <c r="N479" s="8" t="str">
        <f t="array" ref="N479">XLOOKUP(C479,Customer_Dim!A:A,Customer_Dim!B:B,"Not Found")</f>
        <v>James Foster</v>
      </c>
      <c r="O479" s="8" t="str">
        <f t="array" ref="O479">XLOOKUP(C479,Customer_Dim!A:A,Customer_Dim!E:E,"Not Found")</f>
        <v>East Audrey</v>
      </c>
      <c r="P479" s="8" t="str">
        <f t="array" ref="P479">XLOOKUP(D479,Product_Dim!A:A,Product_Dim!B:B,"Not Found")</f>
        <v>Men's Winter Jacket</v>
      </c>
      <c r="Q479" s="8" t="str">
        <f t="array" ref="Q479">XLOOKUP(D479,Product_Dim!A:A,Product_Dim!C:C,"Not Found")</f>
        <v>Clothing</v>
      </c>
      <c r="R479" s="8" t="str">
        <f t="array" ref="R479">XLOOKUP(E479,Store_Dim!A:A,Store_Dim!B:B,"Not Found")</f>
        <v>North</v>
      </c>
      <c r="S479" s="8" t="str">
        <f t="array" ref="S479">XLOOKUP(E479,Store_Dim!A:A,Store_Dim!D:D,"Not Found")</f>
        <v>Flagship</v>
      </c>
    </row>
    <row r="480" ht="14.25" customHeight="1">
      <c r="A480" s="8" t="s">
        <v>2433</v>
      </c>
      <c r="B480" s="12">
        <v>45958.0</v>
      </c>
      <c r="C480" s="8" t="s">
        <v>984</v>
      </c>
      <c r="D480" s="8" t="s">
        <v>1674</v>
      </c>
      <c r="E480" s="8" t="s">
        <v>1906</v>
      </c>
      <c r="F480" s="8">
        <v>1.0</v>
      </c>
      <c r="G480" s="8">
        <v>790.73</v>
      </c>
      <c r="H480" s="8">
        <v>0.24</v>
      </c>
      <c r="I480" s="8">
        <f t="shared" si="1"/>
        <v>790.73</v>
      </c>
      <c r="J480" s="8">
        <f t="shared" si="2"/>
        <v>-189.5352</v>
      </c>
      <c r="K480" s="8" t="str">
        <f t="shared" si="3"/>
        <v>Oct</v>
      </c>
      <c r="L480" s="8">
        <f t="shared" si="4"/>
        <v>2025</v>
      </c>
      <c r="N480" s="8" t="str">
        <f t="array" ref="N480">XLOOKUP(C480,Customer_Dim!A:A,Customer_Dim!B:B,"Not Found")</f>
        <v>Brandy Thompson</v>
      </c>
      <c r="O480" s="8" t="str">
        <f t="array" ref="O480">XLOOKUP(C480,Customer_Dim!A:A,Customer_Dim!E:E,"Not Found")</f>
        <v>West Patriciaview</v>
      </c>
      <c r="P480" s="8" t="str">
        <f t="array" ref="P480">XLOOKUP(D480,Product_Dim!A:A,Product_Dim!B:B,"Not Found")</f>
        <v>Stainless Steel Cutlery Set</v>
      </c>
      <c r="Q480" s="8" t="str">
        <f t="array" ref="Q480">XLOOKUP(D480,Product_Dim!A:A,Product_Dim!C:C,"Not Found")</f>
        <v>Home</v>
      </c>
      <c r="R480" s="8" t="str">
        <f t="array" ref="R480">XLOOKUP(E480,Store_Dim!A:A,Store_Dim!B:B,"Not Found")</f>
        <v>South</v>
      </c>
      <c r="S480" s="8" t="str">
        <f t="array" ref="S480">XLOOKUP(E480,Store_Dim!A:A,Store_Dim!D:D,"Not Found")</f>
        <v>Outlet</v>
      </c>
    </row>
    <row r="481" ht="14.25" customHeight="1">
      <c r="A481" s="8" t="s">
        <v>2434</v>
      </c>
      <c r="B481" s="12">
        <v>45959.0</v>
      </c>
      <c r="C481" s="8" t="s">
        <v>1405</v>
      </c>
      <c r="D481" s="8" t="s">
        <v>1624</v>
      </c>
      <c r="E481" s="8" t="s">
        <v>1924</v>
      </c>
      <c r="F481" s="8">
        <v>3.0</v>
      </c>
      <c r="G481" s="8">
        <v>635.13</v>
      </c>
      <c r="H481" s="8">
        <v>0.09</v>
      </c>
      <c r="I481" s="8">
        <f t="shared" si="1"/>
        <v>1905.39</v>
      </c>
      <c r="J481" s="8">
        <f t="shared" si="2"/>
        <v>-171.3951</v>
      </c>
      <c r="K481" s="8" t="str">
        <f t="shared" si="3"/>
        <v>Oct</v>
      </c>
      <c r="L481" s="8">
        <f t="shared" si="4"/>
        <v>2025</v>
      </c>
      <c r="N481" s="8" t="str">
        <f t="array" ref="N481">XLOOKUP(C481,Customer_Dim!A:A,Customer_Dim!B:B,"Not Found")</f>
        <v>William Cortez</v>
      </c>
      <c r="O481" s="8" t="str">
        <f t="array" ref="O481">XLOOKUP(C481,Customer_Dim!A:A,Customer_Dim!E:E,"Not Found")</f>
        <v>Port Hannahport</v>
      </c>
      <c r="P481" s="8" t="str">
        <f t="array" ref="P481">XLOOKUP(D481,Product_Dim!A:A,Product_Dim!B:B,"Not Found")</f>
        <v>4K Home Projector</v>
      </c>
      <c r="Q481" s="8" t="str">
        <f t="array" ref="Q481">XLOOKUP(D481,Product_Dim!A:A,Product_Dim!C:C,"Not Found")</f>
        <v>Electronics</v>
      </c>
      <c r="R481" s="8" t="str">
        <f t="array" ref="R481">XLOOKUP(E481,Store_Dim!A:A,Store_Dim!B:B,"Not Found")</f>
        <v>South</v>
      </c>
      <c r="S481" s="8" t="str">
        <f t="array" ref="S481">XLOOKUP(E481,Store_Dim!A:A,Store_Dim!D:D,"Not Found")</f>
        <v>Flagship</v>
      </c>
    </row>
    <row r="482" ht="14.25" customHeight="1">
      <c r="A482" s="8" t="s">
        <v>2435</v>
      </c>
      <c r="B482" s="12">
        <v>45960.0</v>
      </c>
      <c r="C482" s="8" t="s">
        <v>864</v>
      </c>
      <c r="D482" s="8" t="s">
        <v>1869</v>
      </c>
      <c r="E482" s="8" t="s">
        <v>1932</v>
      </c>
      <c r="F482" s="8">
        <v>1.0</v>
      </c>
      <c r="G482" s="8">
        <v>744.88</v>
      </c>
      <c r="H482" s="8">
        <v>0.15</v>
      </c>
      <c r="I482" s="8">
        <f t="shared" si="1"/>
        <v>744.88</v>
      </c>
      <c r="J482" s="8">
        <f t="shared" si="2"/>
        <v>-111.582</v>
      </c>
      <c r="K482" s="8" t="str">
        <f t="shared" si="3"/>
        <v>Oct</v>
      </c>
      <c r="L482" s="8">
        <f t="shared" si="4"/>
        <v>2025</v>
      </c>
      <c r="N482" s="8" t="str">
        <f t="array" ref="N482">XLOOKUP(C482,Customer_Dim!A:A,Customer_Dim!B:B,"Not Found")</f>
        <v>Cynthia Payne</v>
      </c>
      <c r="O482" s="8" t="str">
        <f t="array" ref="O482">XLOOKUP(C482,Customer_Dim!A:A,Customer_Dim!E:E,"Not Found")</f>
        <v>South Gina</v>
      </c>
      <c r="P482" s="8" t="str">
        <f t="array" ref="P482">XLOOKUP(D482,Product_Dim!A:A,Product_Dim!B:B,"Not Found")</f>
        <v>USB-C Laptop Charger</v>
      </c>
      <c r="Q482" s="8" t="str">
        <f t="array" ref="Q482">XLOOKUP(D482,Product_Dim!A:A,Product_Dim!C:C,"Not Found")</f>
        <v>Electronics</v>
      </c>
      <c r="R482" s="8" t="str">
        <f t="array" ref="R482">XLOOKUP(E482,Store_Dim!A:A,Store_Dim!B:B,"Not Found")</f>
        <v>South</v>
      </c>
      <c r="S482" s="8" t="str">
        <f t="array" ref="S482">XLOOKUP(E482,Store_Dim!A:A,Store_Dim!D:D,"Not Found")</f>
        <v>Outlet</v>
      </c>
    </row>
    <row r="483" ht="14.25" customHeight="1">
      <c r="A483" s="8" t="s">
        <v>2436</v>
      </c>
      <c r="B483" s="12">
        <v>45961.0</v>
      </c>
      <c r="C483" s="8" t="s">
        <v>616</v>
      </c>
      <c r="D483" s="8" t="s">
        <v>1668</v>
      </c>
      <c r="E483" s="8" t="s">
        <v>1903</v>
      </c>
      <c r="F483" s="8">
        <v>3.0</v>
      </c>
      <c r="G483" s="8">
        <v>205.34</v>
      </c>
      <c r="H483" s="8">
        <v>0.25</v>
      </c>
      <c r="I483" s="8">
        <f t="shared" si="1"/>
        <v>616.02</v>
      </c>
      <c r="J483" s="8">
        <f t="shared" si="2"/>
        <v>-153.755</v>
      </c>
      <c r="K483" s="8" t="str">
        <f t="shared" si="3"/>
        <v>Oct</v>
      </c>
      <c r="L483" s="8">
        <f t="shared" si="4"/>
        <v>2025</v>
      </c>
      <c r="N483" s="8" t="str">
        <f t="array" ref="N483">XLOOKUP(C483,Customer_Dim!A:A,Customer_Dim!B:B,"Not Found")</f>
        <v>Mario Jacobs</v>
      </c>
      <c r="O483" s="8" t="str">
        <f t="array" ref="O483">XLOOKUP(C483,Customer_Dim!A:A,Customer_Dim!E:E,"Not Found")</f>
        <v>Port James</v>
      </c>
      <c r="P483" s="8" t="str">
        <f t="array" ref="P483">XLOOKUP(D483,Product_Dim!A:A,Product_Dim!B:B,"Not Found")</f>
        <v>Sports Stopwatch Timer</v>
      </c>
      <c r="Q483" s="8" t="str">
        <f t="array" ref="Q483">XLOOKUP(D483,Product_Dim!A:A,Product_Dim!C:C,"Not Found")</f>
        <v>Sports</v>
      </c>
      <c r="R483" s="8" t="str">
        <f t="array" ref="R483">XLOOKUP(E483,Store_Dim!A:A,Store_Dim!B:B,"Not Found")</f>
        <v>North</v>
      </c>
      <c r="S483" s="8" t="str">
        <f t="array" ref="S483">XLOOKUP(E483,Store_Dim!A:A,Store_Dim!D:D,"Not Found")</f>
        <v>Flagship</v>
      </c>
    </row>
    <row r="484" ht="14.25" customHeight="1">
      <c r="A484" s="8" t="s">
        <v>2437</v>
      </c>
      <c r="B484" s="12">
        <v>45962.0</v>
      </c>
      <c r="C484" s="8" t="s">
        <v>1317</v>
      </c>
      <c r="D484" s="8" t="s">
        <v>1671</v>
      </c>
      <c r="E484" s="8" t="s">
        <v>1921</v>
      </c>
      <c r="F484" s="8">
        <v>2.0</v>
      </c>
      <c r="G484" s="8">
        <v>756.8</v>
      </c>
      <c r="H484" s="8">
        <v>0.15</v>
      </c>
      <c r="I484" s="8">
        <f t="shared" si="1"/>
        <v>1513.6</v>
      </c>
      <c r="J484" s="8">
        <f t="shared" si="2"/>
        <v>-226.89</v>
      </c>
      <c r="K484" s="8" t="str">
        <f t="shared" si="3"/>
        <v>Nov</v>
      </c>
      <c r="L484" s="8">
        <f t="shared" si="4"/>
        <v>2025</v>
      </c>
      <c r="N484" s="8" t="str">
        <f t="array" ref="N484">XLOOKUP(C484,Customer_Dim!A:A,Customer_Dim!B:B,"Not Found")</f>
        <v>Monica Miller</v>
      </c>
      <c r="O484" s="8" t="str">
        <f t="array" ref="O484">XLOOKUP(C484,Customer_Dim!A:A,Customer_Dim!E:E,"Not Found")</f>
        <v>Lake David</v>
      </c>
      <c r="P484" s="8" t="str">
        <f t="array" ref="P484">XLOOKUP(D484,Product_Dim!A:A,Product_Dim!B:B,"Not Found")</f>
        <v>Fabric Sofa Throw Blanket</v>
      </c>
      <c r="Q484" s="8" t="str">
        <f t="array" ref="Q484">XLOOKUP(D484,Product_Dim!A:A,Product_Dim!C:C,"Not Found")</f>
        <v>Home</v>
      </c>
      <c r="R484" s="8" t="str">
        <f t="array" ref="R484">XLOOKUP(E484,Store_Dim!A:A,Store_Dim!B:B,"Not Found")</f>
        <v>West</v>
      </c>
      <c r="S484" s="8" t="str">
        <f t="array" ref="S484">XLOOKUP(E484,Store_Dim!A:A,Store_Dim!D:D,"Not Found")</f>
        <v>Online</v>
      </c>
    </row>
    <row r="485" ht="14.25" customHeight="1">
      <c r="A485" s="8" t="s">
        <v>2438</v>
      </c>
      <c r="B485" s="12">
        <v>45963.0</v>
      </c>
      <c r="C485" s="8" t="s">
        <v>182</v>
      </c>
      <c r="D485" s="8" t="s">
        <v>1645</v>
      </c>
      <c r="E485" s="8" t="s">
        <v>1926</v>
      </c>
      <c r="F485" s="8">
        <v>1.0</v>
      </c>
      <c r="G485" s="8">
        <v>771.73</v>
      </c>
      <c r="H485" s="8">
        <v>0.2</v>
      </c>
      <c r="I485" s="8">
        <f t="shared" si="1"/>
        <v>771.73</v>
      </c>
      <c r="J485" s="8">
        <f t="shared" si="2"/>
        <v>-154.146</v>
      </c>
      <c r="K485" s="8" t="str">
        <f t="shared" si="3"/>
        <v>Nov</v>
      </c>
      <c r="L485" s="8">
        <f t="shared" si="4"/>
        <v>2025</v>
      </c>
      <c r="N485" s="8" t="str">
        <f t="array" ref="N485">XLOOKUP(C485,Customer_Dim!A:A,Customer_Dim!B:B,"Not Found")</f>
        <v>Denise Williams</v>
      </c>
      <c r="O485" s="8" t="str">
        <f t="array" ref="O485">XLOOKUP(C485,Customer_Dim!A:A,Customer_Dim!E:E,"Not Found")</f>
        <v>Christianstad</v>
      </c>
      <c r="P485" s="8" t="str">
        <f t="array" ref="P485">XLOOKUP(D485,Product_Dim!A:A,Product_Dim!B:B,"Not Found")</f>
        <v>Multi-Purpose Storage Box</v>
      </c>
      <c r="Q485" s="8" t="str">
        <f t="array" ref="Q485">XLOOKUP(D485,Product_Dim!A:A,Product_Dim!C:C,"Not Found")</f>
        <v>Home</v>
      </c>
      <c r="R485" s="8" t="str">
        <f t="array" ref="R485">XLOOKUP(E485,Store_Dim!A:A,Store_Dim!B:B,"Not Found")</f>
        <v>East</v>
      </c>
      <c r="S485" s="8" t="str">
        <f t="array" ref="S485">XLOOKUP(E485,Store_Dim!A:A,Store_Dim!D:D,"Not Found")</f>
        <v>Online</v>
      </c>
    </row>
    <row r="486" ht="14.25" customHeight="1">
      <c r="A486" s="8" t="s">
        <v>2439</v>
      </c>
      <c r="B486" s="12">
        <v>45964.0</v>
      </c>
      <c r="C486" s="8" t="s">
        <v>1491</v>
      </c>
      <c r="D486" s="8" t="s">
        <v>1787</v>
      </c>
      <c r="E486" s="8" t="s">
        <v>1937</v>
      </c>
      <c r="F486" s="8">
        <v>1.0</v>
      </c>
      <c r="G486" s="8">
        <v>440.19</v>
      </c>
      <c r="H486" s="8">
        <v>0.03</v>
      </c>
      <c r="I486" s="8">
        <f t="shared" si="1"/>
        <v>440.19</v>
      </c>
      <c r="J486" s="8">
        <f t="shared" si="2"/>
        <v>-13.1757</v>
      </c>
      <c r="K486" s="8" t="str">
        <f t="shared" si="3"/>
        <v>Nov</v>
      </c>
      <c r="L486" s="8">
        <f t="shared" si="4"/>
        <v>2025</v>
      </c>
      <c r="N486" s="8" t="str">
        <f t="array" ref="N486">XLOOKUP(C486,Customer_Dim!A:A,Customer_Dim!B:B,"Not Found")</f>
        <v>Dylan Gutierrez</v>
      </c>
      <c r="O486" s="8" t="str">
        <f t="array" ref="O486">XLOOKUP(C486,Customer_Dim!A:A,Customer_Dim!E:E,"Not Found")</f>
        <v>New Jamesview</v>
      </c>
      <c r="P486" s="8" t="str">
        <f t="array" ref="P486">XLOOKUP(D486,Product_Dim!A:A,Product_Dim!B:B,"Not Found")</f>
        <v>Women's Hair Dryer Brush</v>
      </c>
      <c r="Q486" s="8" t="str">
        <f t="array" ref="Q486">XLOOKUP(D486,Product_Dim!A:A,Product_Dim!C:C,"Not Found")</f>
        <v>Beauty</v>
      </c>
      <c r="R486" s="8" t="str">
        <f t="array" ref="R486">XLOOKUP(E486,Store_Dim!A:A,Store_Dim!B:B,"Not Found")</f>
        <v>North</v>
      </c>
      <c r="S486" s="8" t="str">
        <f t="array" ref="S486">XLOOKUP(E486,Store_Dim!A:A,Store_Dim!D:D,"Not Found")</f>
        <v>Flagship</v>
      </c>
    </row>
    <row r="487" ht="14.25" customHeight="1">
      <c r="A487" s="8" t="s">
        <v>2440</v>
      </c>
      <c r="B487" s="12">
        <v>45965.0</v>
      </c>
      <c r="C487" s="8" t="s">
        <v>191</v>
      </c>
      <c r="D487" s="8" t="s">
        <v>1579</v>
      </c>
      <c r="E487" s="8" t="s">
        <v>1906</v>
      </c>
      <c r="F487" s="8">
        <v>2.0</v>
      </c>
      <c r="G487" s="8">
        <v>409.0</v>
      </c>
      <c r="H487" s="8">
        <v>0.17</v>
      </c>
      <c r="I487" s="8">
        <f t="shared" si="1"/>
        <v>818</v>
      </c>
      <c r="J487" s="8">
        <f t="shared" si="2"/>
        <v>-138.89</v>
      </c>
      <c r="K487" s="8" t="str">
        <f t="shared" si="3"/>
        <v>Nov</v>
      </c>
      <c r="L487" s="8">
        <f t="shared" si="4"/>
        <v>2025</v>
      </c>
      <c r="N487" s="8" t="str">
        <f t="array" ref="N487">XLOOKUP(C487,Customer_Dim!A:A,Customer_Dim!B:B,"Not Found")</f>
        <v>Gina Knight</v>
      </c>
      <c r="O487" s="8" t="str">
        <f t="array" ref="O487">XLOOKUP(C487,Customer_Dim!A:A,Customer_Dim!E:E,"Not Found")</f>
        <v>Lake Roberthaven</v>
      </c>
      <c r="P487" s="8" t="str">
        <f t="array" ref="P487">XLOOKUP(D487,Product_Dim!A:A,Product_Dim!B:B,"Not Found")</f>
        <v>Women's Yoga Pants</v>
      </c>
      <c r="Q487" s="8" t="str">
        <f t="array" ref="Q487">XLOOKUP(D487,Product_Dim!A:A,Product_Dim!C:C,"Not Found")</f>
        <v>Clothing</v>
      </c>
      <c r="R487" s="8" t="str">
        <f t="array" ref="R487">XLOOKUP(E487,Store_Dim!A:A,Store_Dim!B:B,"Not Found")</f>
        <v>South</v>
      </c>
      <c r="S487" s="8" t="str">
        <f t="array" ref="S487">XLOOKUP(E487,Store_Dim!A:A,Store_Dim!D:D,"Not Found")</f>
        <v>Outlet</v>
      </c>
    </row>
    <row r="488" ht="14.25" customHeight="1">
      <c r="A488" s="8" t="s">
        <v>2441</v>
      </c>
      <c r="B488" s="12">
        <v>45966.0</v>
      </c>
      <c r="C488" s="8" t="s">
        <v>1092</v>
      </c>
      <c r="D488" s="8" t="s">
        <v>1700</v>
      </c>
      <c r="E488" s="8" t="s">
        <v>1941</v>
      </c>
      <c r="F488" s="8">
        <v>3.0</v>
      </c>
      <c r="G488" s="8">
        <v>134.58</v>
      </c>
      <c r="H488" s="8">
        <v>0.04</v>
      </c>
      <c r="I488" s="8">
        <f t="shared" si="1"/>
        <v>403.74</v>
      </c>
      <c r="J488" s="8">
        <f t="shared" si="2"/>
        <v>-16.1096</v>
      </c>
      <c r="K488" s="8" t="str">
        <f t="shared" si="3"/>
        <v>Nov</v>
      </c>
      <c r="L488" s="8">
        <f t="shared" si="4"/>
        <v>2025</v>
      </c>
      <c r="N488" s="8" t="str">
        <f t="array" ref="N488">XLOOKUP(C488,Customer_Dim!A:A,Customer_Dim!B:B,"Not Found")</f>
        <v>Ryan Moore</v>
      </c>
      <c r="O488" s="8" t="str">
        <f t="array" ref="O488">XLOOKUP(C488,Customer_Dim!A:A,Customer_Dim!E:E,"Not Found")</f>
        <v>Cartershire</v>
      </c>
      <c r="P488" s="8" t="str">
        <f t="array" ref="P488">XLOOKUP(D488,Product_Dim!A:A,Product_Dim!B:B,"Not Found")</f>
        <v>Sports Water Hydration Pack</v>
      </c>
      <c r="Q488" s="8" t="str">
        <f t="array" ref="Q488">XLOOKUP(D488,Product_Dim!A:A,Product_Dim!C:C,"Not Found")</f>
        <v>Sports</v>
      </c>
      <c r="R488" s="8" t="str">
        <f t="array" ref="R488">XLOOKUP(E488,Store_Dim!A:A,Store_Dim!B:B,"Not Found")</f>
        <v>East</v>
      </c>
      <c r="S488" s="8" t="str">
        <f t="array" ref="S488">XLOOKUP(E488,Store_Dim!A:A,Store_Dim!D:D,"Not Found")</f>
        <v>Online</v>
      </c>
    </row>
    <row r="489" ht="14.25" customHeight="1">
      <c r="A489" s="8" t="s">
        <v>2442</v>
      </c>
      <c r="B489" s="12">
        <v>45967.0</v>
      </c>
      <c r="C489" s="8" t="s">
        <v>1107</v>
      </c>
      <c r="D489" s="8" t="s">
        <v>1703</v>
      </c>
      <c r="E489" s="8" t="s">
        <v>1919</v>
      </c>
      <c r="F489" s="8">
        <v>4.0</v>
      </c>
      <c r="G489" s="8">
        <v>284.44</v>
      </c>
      <c r="H489" s="8">
        <v>0.02</v>
      </c>
      <c r="I489" s="8">
        <f t="shared" si="1"/>
        <v>1137.76</v>
      </c>
      <c r="J489" s="8">
        <f t="shared" si="2"/>
        <v>-22.7352</v>
      </c>
      <c r="K489" s="8" t="str">
        <f t="shared" si="3"/>
        <v>Nov</v>
      </c>
      <c r="L489" s="8">
        <f t="shared" si="4"/>
        <v>2025</v>
      </c>
      <c r="N489" s="8" t="str">
        <f t="array" ref="N489">XLOOKUP(C489,Customer_Dim!A:A,Customer_Dim!B:B,"Not Found")</f>
        <v>Sherry Cabrera</v>
      </c>
      <c r="O489" s="8" t="str">
        <f t="array" ref="O489">XLOOKUP(C489,Customer_Dim!A:A,Customer_Dim!E:E,"Not Found")</f>
        <v>Shannonview</v>
      </c>
      <c r="P489" s="8" t="str">
        <f t="array" ref="P489">XLOOKUP(D489,Product_Dim!A:A,Product_Dim!B:B,"Not Found")</f>
        <v>Portable Power Bank</v>
      </c>
      <c r="Q489" s="8" t="str">
        <f t="array" ref="Q489">XLOOKUP(D489,Product_Dim!A:A,Product_Dim!C:C,"Not Found")</f>
        <v>Electronics</v>
      </c>
      <c r="R489" s="8" t="str">
        <f t="array" ref="R489">XLOOKUP(E489,Store_Dim!A:A,Store_Dim!B:B,"Not Found")</f>
        <v>South</v>
      </c>
      <c r="S489" s="8" t="str">
        <f t="array" ref="S489">XLOOKUP(E489,Store_Dim!A:A,Store_Dim!D:D,"Not Found")</f>
        <v>Online</v>
      </c>
    </row>
    <row r="490" ht="14.25" customHeight="1">
      <c r="A490" s="8" t="s">
        <v>2443</v>
      </c>
      <c r="B490" s="12">
        <v>45968.0</v>
      </c>
      <c r="C490" s="8" t="s">
        <v>1276</v>
      </c>
      <c r="D490" s="8" t="s">
        <v>1809</v>
      </c>
      <c r="E490" s="8" t="s">
        <v>1931</v>
      </c>
      <c r="F490" s="8">
        <v>4.0</v>
      </c>
      <c r="G490" s="8">
        <v>922.69</v>
      </c>
      <c r="H490" s="8">
        <v>0.16</v>
      </c>
      <c r="I490" s="8">
        <f t="shared" si="1"/>
        <v>3690.76</v>
      </c>
      <c r="J490" s="8">
        <f t="shared" si="2"/>
        <v>-590.3616</v>
      </c>
      <c r="K490" s="8" t="str">
        <f t="shared" si="3"/>
        <v>Nov</v>
      </c>
      <c r="L490" s="8">
        <f t="shared" si="4"/>
        <v>2025</v>
      </c>
      <c r="N490" s="8" t="str">
        <f t="array" ref="N490">XLOOKUP(C490,Customer_Dim!A:A,Customer_Dim!B:B,"Not Found")</f>
        <v>Eric Wolfe</v>
      </c>
      <c r="O490" s="8" t="str">
        <f t="array" ref="O490">XLOOKUP(C490,Customer_Dim!A:A,Customer_Dim!E:E,"Not Found")</f>
        <v>Garciaview</v>
      </c>
      <c r="P490" s="8" t="str">
        <f t="array" ref="P490">XLOOKUP(D490,Product_Dim!A:A,Product_Dim!B:B,"Not Found")</f>
        <v>Shin Guards – Adult</v>
      </c>
      <c r="Q490" s="8" t="str">
        <f t="array" ref="Q490">XLOOKUP(D490,Product_Dim!A:A,Product_Dim!C:C,"Not Found")</f>
        <v>Sports</v>
      </c>
      <c r="R490" s="8" t="str">
        <f t="array" ref="R490">XLOOKUP(E490,Store_Dim!A:A,Store_Dim!B:B,"Not Found")</f>
        <v>East</v>
      </c>
      <c r="S490" s="8" t="str">
        <f t="array" ref="S490">XLOOKUP(E490,Store_Dim!A:A,Store_Dim!D:D,"Not Found")</f>
        <v>Flagship</v>
      </c>
    </row>
    <row r="491" ht="14.25" customHeight="1">
      <c r="A491" s="8" t="s">
        <v>2444</v>
      </c>
      <c r="B491" s="12">
        <v>45969.0</v>
      </c>
      <c r="C491" s="8" t="s">
        <v>890</v>
      </c>
      <c r="D491" s="8" t="s">
        <v>1693</v>
      </c>
      <c r="E491" s="8" t="s">
        <v>1917</v>
      </c>
      <c r="F491" s="8">
        <v>2.0</v>
      </c>
      <c r="G491" s="8">
        <v>992.55</v>
      </c>
      <c r="H491" s="8">
        <v>0.28</v>
      </c>
      <c r="I491" s="8">
        <f t="shared" si="1"/>
        <v>1985.1</v>
      </c>
      <c r="J491" s="8">
        <f t="shared" si="2"/>
        <v>-555.548</v>
      </c>
      <c r="K491" s="8" t="str">
        <f t="shared" si="3"/>
        <v>Nov</v>
      </c>
      <c r="L491" s="8">
        <f t="shared" si="4"/>
        <v>2025</v>
      </c>
      <c r="N491" s="8" t="str">
        <f t="array" ref="N491">XLOOKUP(C491,Customer_Dim!A:A,Customer_Dim!B:B,"Not Found")</f>
        <v>Shannon Miller</v>
      </c>
      <c r="O491" s="8" t="str">
        <f t="array" ref="O491">XLOOKUP(C491,Customer_Dim!A:A,Customer_Dim!E:E,"Not Found")</f>
        <v>North Austinport</v>
      </c>
      <c r="P491" s="8" t="str">
        <f t="array" ref="P491">XLOOKUP(D491,Product_Dim!A:A,Product_Dim!B:B,"Not Found")</f>
        <v>Women's Summer Dress</v>
      </c>
      <c r="Q491" s="8" t="str">
        <f t="array" ref="Q491">XLOOKUP(D491,Product_Dim!A:A,Product_Dim!C:C,"Not Found")</f>
        <v>Clothing</v>
      </c>
      <c r="R491" s="8" t="str">
        <f t="array" ref="R491">XLOOKUP(E491,Store_Dim!A:A,Store_Dim!B:B,"Not Found")</f>
        <v>East</v>
      </c>
      <c r="S491" s="8" t="str">
        <f t="array" ref="S491">XLOOKUP(E491,Store_Dim!A:A,Store_Dim!D:D,"Not Found")</f>
        <v>Online</v>
      </c>
    </row>
    <row r="492" ht="14.25" customHeight="1">
      <c r="A492" s="8" t="s">
        <v>2445</v>
      </c>
      <c r="B492" s="12">
        <v>45970.0</v>
      </c>
      <c r="C492" s="8" t="s">
        <v>1314</v>
      </c>
      <c r="D492" s="8" t="s">
        <v>1857</v>
      </c>
      <c r="E492" s="8" t="s">
        <v>1939</v>
      </c>
      <c r="F492" s="8">
        <v>1.0</v>
      </c>
      <c r="G492" s="8">
        <v>170.43</v>
      </c>
      <c r="H492" s="8">
        <v>0.03</v>
      </c>
      <c r="I492" s="8">
        <f t="shared" si="1"/>
        <v>170.43</v>
      </c>
      <c r="J492" s="8">
        <f t="shared" si="2"/>
        <v>-5.0829</v>
      </c>
      <c r="K492" s="8" t="str">
        <f t="shared" si="3"/>
        <v>Nov</v>
      </c>
      <c r="L492" s="8">
        <f t="shared" si="4"/>
        <v>2025</v>
      </c>
      <c r="N492" s="8" t="str">
        <f t="array" ref="N492">XLOOKUP(C492,Customer_Dim!A:A,Customer_Dim!B:B,"Not Found")</f>
        <v>Luke Parks</v>
      </c>
      <c r="O492" s="8" t="str">
        <f t="array" ref="O492">XLOOKUP(C492,Customer_Dim!A:A,Customer_Dim!E:E,"Not Found")</f>
        <v>West Mario</v>
      </c>
      <c r="P492" s="8" t="str">
        <f t="array" ref="P492">XLOOKUP(D492,Product_Dim!A:A,Product_Dim!B:B,"Not Found")</f>
        <v>Face Foundation Kit</v>
      </c>
      <c r="Q492" s="8" t="str">
        <f t="array" ref="Q492">XLOOKUP(D492,Product_Dim!A:A,Product_Dim!C:C,"Not Found")</f>
        <v>Beauty</v>
      </c>
      <c r="R492" s="8" t="str">
        <f t="array" ref="R492">XLOOKUP(E492,Store_Dim!A:A,Store_Dim!B:B,"Not Found")</f>
        <v>East</v>
      </c>
      <c r="S492" s="8" t="str">
        <f t="array" ref="S492">XLOOKUP(E492,Store_Dim!A:A,Store_Dim!D:D,"Not Found")</f>
        <v>Flagship</v>
      </c>
    </row>
    <row r="493" ht="14.25" customHeight="1">
      <c r="A493" s="8" t="s">
        <v>2446</v>
      </c>
      <c r="B493" s="12">
        <v>45971.0</v>
      </c>
      <c r="C493" s="8" t="s">
        <v>736</v>
      </c>
      <c r="D493" s="8" t="s">
        <v>1806</v>
      </c>
      <c r="E493" s="8" t="s">
        <v>1906</v>
      </c>
      <c r="F493" s="8">
        <v>3.0</v>
      </c>
      <c r="G493" s="8">
        <v>480.51</v>
      </c>
      <c r="H493" s="8">
        <v>0.03</v>
      </c>
      <c r="I493" s="8">
        <f t="shared" si="1"/>
        <v>1441.53</v>
      </c>
      <c r="J493" s="8">
        <f t="shared" si="2"/>
        <v>-43.2159</v>
      </c>
      <c r="K493" s="8" t="str">
        <f t="shared" si="3"/>
        <v>Nov</v>
      </c>
      <c r="L493" s="8">
        <f t="shared" si="4"/>
        <v>2025</v>
      </c>
      <c r="N493" s="8" t="str">
        <f t="array" ref="N493">XLOOKUP(C493,Customer_Dim!A:A,Customer_Dim!B:B,"Not Found")</f>
        <v>Robert Harris</v>
      </c>
      <c r="O493" s="8" t="str">
        <f t="array" ref="O493">XLOOKUP(C493,Customer_Dim!A:A,Customer_Dim!E:E,"Not Found")</f>
        <v>East jeremy</v>
      </c>
      <c r="P493" s="8" t="str">
        <f t="array" ref="P493">XLOOKUP(D493,Product_Dim!A:A,Product_Dim!B:B,"Not Found")</f>
        <v>Professional Jump Rope</v>
      </c>
      <c r="Q493" s="8" t="str">
        <f t="array" ref="Q493">XLOOKUP(D493,Product_Dim!A:A,Product_Dim!C:C,"Not Found")</f>
        <v>Sports</v>
      </c>
      <c r="R493" s="8" t="str">
        <f t="array" ref="R493">XLOOKUP(E493,Store_Dim!A:A,Store_Dim!B:B,"Not Found")</f>
        <v>South</v>
      </c>
      <c r="S493" s="8" t="str">
        <f t="array" ref="S493">XLOOKUP(E493,Store_Dim!A:A,Store_Dim!D:D,"Not Found")</f>
        <v>Outlet</v>
      </c>
    </row>
    <row r="494" ht="14.25" customHeight="1">
      <c r="A494" s="8" t="s">
        <v>2447</v>
      </c>
      <c r="B494" s="12">
        <v>45972.0</v>
      </c>
      <c r="C494" s="8" t="s">
        <v>535</v>
      </c>
      <c r="D494" s="8" t="s">
        <v>1735</v>
      </c>
      <c r="E494" s="8" t="s">
        <v>1919</v>
      </c>
      <c r="F494" s="8">
        <v>2.0</v>
      </c>
      <c r="G494" s="8">
        <v>955.66</v>
      </c>
      <c r="H494" s="8">
        <v>0.29</v>
      </c>
      <c r="I494" s="8">
        <f t="shared" si="1"/>
        <v>1911.32</v>
      </c>
      <c r="J494" s="8">
        <f t="shared" si="2"/>
        <v>-553.9928</v>
      </c>
      <c r="K494" s="8" t="str">
        <f t="shared" si="3"/>
        <v>Nov</v>
      </c>
      <c r="L494" s="8">
        <f t="shared" si="4"/>
        <v>2025</v>
      </c>
      <c r="N494" s="8" t="str">
        <f t="array" ref="N494">XLOOKUP(C494,Customer_Dim!A:A,Customer_Dim!B:B,"Not Found")</f>
        <v>Maria Sanchez</v>
      </c>
      <c r="O494" s="8" t="str">
        <f t="array" ref="O494">XLOOKUP(C494,Customer_Dim!A:A,Customer_Dim!E:E,"Not Found")</f>
        <v>East Peterbury</v>
      </c>
      <c r="P494" s="8" t="str">
        <f t="array" ref="P494">XLOOKUP(D494,Product_Dim!A:A,Product_Dim!B:B,"Not Found")</f>
        <v>Men's Roll-On Perfume</v>
      </c>
      <c r="Q494" s="8" t="str">
        <f t="array" ref="Q494">XLOOKUP(D494,Product_Dim!A:A,Product_Dim!C:C,"Not Found")</f>
        <v>Beauty</v>
      </c>
      <c r="R494" s="8" t="str">
        <f t="array" ref="R494">XLOOKUP(E494,Store_Dim!A:A,Store_Dim!B:B,"Not Found")</f>
        <v>South</v>
      </c>
      <c r="S494" s="8" t="str">
        <f t="array" ref="S494">XLOOKUP(E494,Store_Dim!A:A,Store_Dim!D:D,"Not Found")</f>
        <v>Online</v>
      </c>
    </row>
    <row r="495" ht="14.25" customHeight="1">
      <c r="A495" s="8" t="s">
        <v>2448</v>
      </c>
      <c r="B495" s="12">
        <v>45973.0</v>
      </c>
      <c r="C495" s="8" t="s">
        <v>1411</v>
      </c>
      <c r="D495" s="8" t="s">
        <v>1806</v>
      </c>
      <c r="E495" s="8" t="s">
        <v>1899</v>
      </c>
      <c r="F495" s="8">
        <v>2.0</v>
      </c>
      <c r="G495" s="8">
        <v>488.02</v>
      </c>
      <c r="H495" s="8">
        <v>0.27</v>
      </c>
      <c r="I495" s="8">
        <f t="shared" si="1"/>
        <v>976.04</v>
      </c>
      <c r="J495" s="8">
        <f t="shared" si="2"/>
        <v>-263.2608</v>
      </c>
      <c r="K495" s="8" t="str">
        <f t="shared" si="3"/>
        <v>Nov</v>
      </c>
      <c r="L495" s="8">
        <f t="shared" si="4"/>
        <v>2025</v>
      </c>
      <c r="N495" s="8" t="str">
        <f t="array" ref="N495">XLOOKUP(C495,Customer_Dim!A:A,Customer_Dim!B:B,"Not Found")</f>
        <v>Ashley Roberts</v>
      </c>
      <c r="O495" s="8" t="str">
        <f t="array" ref="O495">XLOOKUP(C495,Customer_Dim!A:A,Customer_Dim!E:E,"Not Found")</f>
        <v>Josephmouth</v>
      </c>
      <c r="P495" s="8" t="str">
        <f t="array" ref="P495">XLOOKUP(D495,Product_Dim!A:A,Product_Dim!B:B,"Not Found")</f>
        <v>Professional Jump Rope</v>
      </c>
      <c r="Q495" s="8" t="str">
        <f t="array" ref="Q495">XLOOKUP(D495,Product_Dim!A:A,Product_Dim!C:C,"Not Found")</f>
        <v>Sports</v>
      </c>
      <c r="R495" s="8" t="str">
        <f t="array" ref="R495">XLOOKUP(E495,Store_Dim!A:A,Store_Dim!B:B,"Not Found")</f>
        <v>East</v>
      </c>
      <c r="S495" s="8" t="str">
        <f t="array" ref="S495">XLOOKUP(E495,Store_Dim!A:A,Store_Dim!D:D,"Not Found")</f>
        <v>Flagship</v>
      </c>
    </row>
    <row r="496" ht="14.25" customHeight="1">
      <c r="A496" s="8" t="s">
        <v>2449</v>
      </c>
      <c r="B496" s="12">
        <v>45974.0</v>
      </c>
      <c r="C496" s="8" t="s">
        <v>785</v>
      </c>
      <c r="D496" s="8" t="s">
        <v>1635</v>
      </c>
      <c r="E496" s="8" t="s">
        <v>1899</v>
      </c>
      <c r="F496" s="8">
        <v>1.0</v>
      </c>
      <c r="G496" s="8">
        <v>917.17</v>
      </c>
      <c r="H496" s="8">
        <v>0.13</v>
      </c>
      <c r="I496" s="8">
        <f t="shared" si="1"/>
        <v>917.17</v>
      </c>
      <c r="J496" s="8">
        <f t="shared" si="2"/>
        <v>-119.1021</v>
      </c>
      <c r="K496" s="8" t="str">
        <f t="shared" si="3"/>
        <v>Nov</v>
      </c>
      <c r="L496" s="8">
        <f t="shared" si="4"/>
        <v>2025</v>
      </c>
      <c r="N496" s="8" t="str">
        <f t="array" ref="N496">XLOOKUP(C496,Customer_Dim!A:A,Customer_Dim!B:B,"Not Found")</f>
        <v>William Hull</v>
      </c>
      <c r="O496" s="8" t="str">
        <f t="array" ref="O496">XLOOKUP(C496,Customer_Dim!A:A,Customer_Dim!E:E,"Not Found")</f>
        <v>Heathfort</v>
      </c>
      <c r="P496" s="8" t="str">
        <f t="array" ref="P496">XLOOKUP(D496,Product_Dim!A:A,Product_Dim!B:B,"Not Found")</f>
        <v>Women's Denim Jeans</v>
      </c>
      <c r="Q496" s="8" t="str">
        <f t="array" ref="Q496">XLOOKUP(D496,Product_Dim!A:A,Product_Dim!C:C,"Not Found")</f>
        <v>Clothing</v>
      </c>
      <c r="R496" s="8" t="str">
        <f t="array" ref="R496">XLOOKUP(E496,Store_Dim!A:A,Store_Dim!B:B,"Not Found")</f>
        <v>East</v>
      </c>
      <c r="S496" s="8" t="str">
        <f t="array" ref="S496">XLOOKUP(E496,Store_Dim!A:A,Store_Dim!D:D,"Not Found")</f>
        <v>Flagship</v>
      </c>
    </row>
    <row r="497" ht="14.25" customHeight="1">
      <c r="A497" s="8" t="s">
        <v>2450</v>
      </c>
      <c r="B497" s="12">
        <v>45975.0</v>
      </c>
      <c r="C497" s="8" t="s">
        <v>1035</v>
      </c>
      <c r="D497" s="8" t="s">
        <v>1597</v>
      </c>
      <c r="E497" s="8" t="s">
        <v>1915</v>
      </c>
      <c r="F497" s="8">
        <v>2.0</v>
      </c>
      <c r="G497" s="8">
        <v>406.46</v>
      </c>
      <c r="H497" s="8">
        <v>0.3</v>
      </c>
      <c r="I497" s="8">
        <f t="shared" si="1"/>
        <v>812.92</v>
      </c>
      <c r="J497" s="8">
        <f t="shared" si="2"/>
        <v>-243.576</v>
      </c>
      <c r="K497" s="8" t="str">
        <f t="shared" si="3"/>
        <v>Nov</v>
      </c>
      <c r="L497" s="8">
        <f t="shared" si="4"/>
        <v>2025</v>
      </c>
      <c r="N497" s="8" t="str">
        <f t="array" ref="N497">XLOOKUP(C497,Customer_Dim!A:A,Customer_Dim!B:B,"Not Found")</f>
        <v>Alex Mann II</v>
      </c>
      <c r="O497" s="8" t="str">
        <f t="array" ref="O497">XLOOKUP(C497,Customer_Dim!A:A,Customer_Dim!E:E,"Not Found")</f>
        <v>South Zacharychester</v>
      </c>
      <c r="P497" s="8" t="str">
        <f t="array" ref="P497">XLOOKUP(D497,Product_Dim!A:A,Product_Dim!B:B,"Not Found")</f>
        <v>Wireless Bluetooth Earbuds</v>
      </c>
      <c r="Q497" s="8" t="str">
        <f t="array" ref="Q497">XLOOKUP(D497,Product_Dim!A:A,Product_Dim!C:C,"Not Found")</f>
        <v>Electronics</v>
      </c>
      <c r="R497" s="8" t="str">
        <f t="array" ref="R497">XLOOKUP(E497,Store_Dim!A:A,Store_Dim!B:B,"Not Found")</f>
        <v>North</v>
      </c>
      <c r="S497" s="8" t="str">
        <f t="array" ref="S497">XLOOKUP(E497,Store_Dim!A:A,Store_Dim!D:D,"Not Found")</f>
        <v>Outlet</v>
      </c>
    </row>
    <row r="498" ht="14.25" customHeight="1">
      <c r="A498" s="8" t="s">
        <v>2451</v>
      </c>
      <c r="B498" s="12">
        <v>45976.0</v>
      </c>
      <c r="C498" s="8" t="s">
        <v>761</v>
      </c>
      <c r="D498" s="8" t="s">
        <v>1875</v>
      </c>
      <c r="E498" s="8" t="s">
        <v>1899</v>
      </c>
      <c r="F498" s="8">
        <v>2.0</v>
      </c>
      <c r="G498" s="8">
        <v>264.39</v>
      </c>
      <c r="H498" s="8">
        <v>0.11</v>
      </c>
      <c r="I498" s="8">
        <f t="shared" si="1"/>
        <v>528.78</v>
      </c>
      <c r="J498" s="8">
        <f t="shared" si="2"/>
        <v>-58.0558</v>
      </c>
      <c r="K498" s="8" t="str">
        <f t="shared" si="3"/>
        <v>Nov</v>
      </c>
      <c r="L498" s="8">
        <f t="shared" si="4"/>
        <v>2025</v>
      </c>
      <c r="N498" s="8" t="str">
        <f t="array" ref="N498">XLOOKUP(C498,Customer_Dim!A:A,Customer_Dim!B:B,"Not Found")</f>
        <v>Christy Hill</v>
      </c>
      <c r="O498" s="8" t="str">
        <f t="array" ref="O498">XLOOKUP(C498,Customer_Dim!A:A,Customer_Dim!E:E,"Not Found")</f>
        <v>Tammyton</v>
      </c>
      <c r="P498" s="8" t="str">
        <f t="array" ref="P498">XLOOKUP(D498,Product_Dim!A:A,Product_Dim!B:B,"Not Found")</f>
        <v>Sports Stopwatch Basic</v>
      </c>
      <c r="Q498" s="8" t="str">
        <f t="array" ref="Q498">XLOOKUP(D498,Product_Dim!A:A,Product_Dim!C:C,"Not Found")</f>
        <v>Sports</v>
      </c>
      <c r="R498" s="8" t="str">
        <f t="array" ref="R498">XLOOKUP(E498,Store_Dim!A:A,Store_Dim!B:B,"Not Found")</f>
        <v>East</v>
      </c>
      <c r="S498" s="8" t="str">
        <f t="array" ref="S498">XLOOKUP(E498,Store_Dim!A:A,Store_Dim!D:D,"Not Found")</f>
        <v>Flagship</v>
      </c>
    </row>
    <row r="499" ht="14.25" customHeight="1">
      <c r="A499" s="8" t="s">
        <v>2452</v>
      </c>
      <c r="B499" s="12">
        <v>45977.0</v>
      </c>
      <c r="C499" s="8" t="s">
        <v>640</v>
      </c>
      <c r="D499" s="8" t="s">
        <v>1793</v>
      </c>
      <c r="E499" s="8" t="s">
        <v>1935</v>
      </c>
      <c r="F499" s="8">
        <v>1.0</v>
      </c>
      <c r="G499" s="8">
        <v>414.97</v>
      </c>
      <c r="H499" s="8">
        <v>0.22</v>
      </c>
      <c r="I499" s="8">
        <f t="shared" si="1"/>
        <v>414.97</v>
      </c>
      <c r="J499" s="8">
        <f t="shared" si="2"/>
        <v>-91.0734</v>
      </c>
      <c r="K499" s="8" t="str">
        <f t="shared" si="3"/>
        <v>Nov</v>
      </c>
      <c r="L499" s="8">
        <f t="shared" si="4"/>
        <v>2025</v>
      </c>
      <c r="N499" s="8" t="str">
        <f t="array" ref="N499">XLOOKUP(C499,Customer_Dim!A:A,Customer_Dim!B:B,"Not Found")</f>
        <v>Todd Poole</v>
      </c>
      <c r="O499" s="8" t="str">
        <f t="array" ref="O499">XLOOKUP(C499,Customer_Dim!A:A,Customer_Dim!E:E,"Not Found")</f>
        <v>Johnsonshire</v>
      </c>
      <c r="P499" s="8" t="str">
        <f t="array" ref="P499">XLOOKUP(D499,Product_Dim!A:A,Product_Dim!B:B,"Not Found")</f>
        <v>Wooden Nightstand</v>
      </c>
      <c r="Q499" s="8" t="str">
        <f t="array" ref="Q499">XLOOKUP(D499,Product_Dim!A:A,Product_Dim!C:C,"Not Found")</f>
        <v>Home</v>
      </c>
      <c r="R499" s="8" t="str">
        <f t="array" ref="R499">XLOOKUP(E499,Store_Dim!A:A,Store_Dim!B:B,"Not Found")</f>
        <v>West</v>
      </c>
      <c r="S499" s="8" t="str">
        <f t="array" ref="S499">XLOOKUP(E499,Store_Dim!A:A,Store_Dim!D:D,"Not Found")</f>
        <v>Flagship</v>
      </c>
    </row>
    <row r="500" ht="14.25" customHeight="1">
      <c r="A500" s="8" t="s">
        <v>2453</v>
      </c>
      <c r="B500" s="12">
        <v>45978.0</v>
      </c>
      <c r="C500" s="8" t="s">
        <v>505</v>
      </c>
      <c r="D500" s="8" t="s">
        <v>1659</v>
      </c>
      <c r="E500" s="8" t="s">
        <v>1929</v>
      </c>
      <c r="F500" s="8">
        <v>2.0</v>
      </c>
      <c r="G500" s="8">
        <v>583.51</v>
      </c>
      <c r="H500" s="8">
        <v>0.2</v>
      </c>
      <c r="I500" s="8">
        <f t="shared" si="1"/>
        <v>1167.02</v>
      </c>
      <c r="J500" s="8">
        <f t="shared" si="2"/>
        <v>-233.204</v>
      </c>
      <c r="K500" s="8" t="str">
        <f t="shared" si="3"/>
        <v>Nov</v>
      </c>
      <c r="L500" s="8">
        <f t="shared" si="4"/>
        <v>2025</v>
      </c>
      <c r="N500" s="8" t="str">
        <f t="array" ref="N500">XLOOKUP(C500,Customer_Dim!A:A,Customer_Dim!B:B,"Not Found")</f>
        <v>Edward Rivera</v>
      </c>
      <c r="O500" s="8" t="str">
        <f t="array" ref="O500">XLOOKUP(C500,Customer_Dim!A:A,Customer_Dim!E:E,"Not Found")</f>
        <v>Chungmouth</v>
      </c>
      <c r="P500" s="8" t="str">
        <f t="array" ref="P500">XLOOKUP(D500,Product_Dim!A:A,Product_Dim!B:B,"Not Found")</f>
        <v>Women's Scarf Set</v>
      </c>
      <c r="Q500" s="8" t="str">
        <f t="array" ref="Q500">XLOOKUP(D500,Product_Dim!A:A,Product_Dim!C:C,"Not Found")</f>
        <v>Clothing</v>
      </c>
      <c r="R500" s="8" t="str">
        <f t="array" ref="R500">XLOOKUP(E500,Store_Dim!A:A,Store_Dim!B:B,"Not Found")</f>
        <v>North</v>
      </c>
      <c r="S500" s="8" t="str">
        <f t="array" ref="S500">XLOOKUP(E500,Store_Dim!A:A,Store_Dim!D:D,"Not Found")</f>
        <v>Online</v>
      </c>
    </row>
    <row r="501" ht="14.25" customHeight="1">
      <c r="A501" s="8" t="s">
        <v>2454</v>
      </c>
      <c r="B501" s="12">
        <v>45979.0</v>
      </c>
      <c r="C501" s="8" t="s">
        <v>64</v>
      </c>
      <c r="D501" s="8" t="s">
        <v>1677</v>
      </c>
      <c r="E501" s="8" t="s">
        <v>1937</v>
      </c>
      <c r="F501" s="8">
        <v>1.0</v>
      </c>
      <c r="G501" s="8">
        <v>659.27</v>
      </c>
      <c r="H501" s="8">
        <v>0.15</v>
      </c>
      <c r="I501" s="8">
        <f t="shared" si="1"/>
        <v>659.27</v>
      </c>
      <c r="J501" s="8">
        <f t="shared" si="2"/>
        <v>-98.7405</v>
      </c>
      <c r="K501" s="8" t="str">
        <f t="shared" si="3"/>
        <v>Nov</v>
      </c>
      <c r="L501" s="8">
        <f t="shared" si="4"/>
        <v>2025</v>
      </c>
      <c r="N501" s="8" t="str">
        <f t="array" ref="N501">XLOOKUP(C501,Customer_Dim!A:A,Customer_Dim!B:B,"Not Found")</f>
        <v>Brian Lopez</v>
      </c>
      <c r="O501" s="8" t="str">
        <f t="array" ref="O501">XLOOKUP(C501,Customer_Dim!A:A,Customer_Dim!E:E,"Not Found")</f>
        <v>East Krista</v>
      </c>
      <c r="P501" s="8" t="str">
        <f t="array" ref="P501">XLOOKUP(D501,Product_Dim!A:A,Product_Dim!B:B,"Not Found")</f>
        <v>Basketball</v>
      </c>
      <c r="Q501" s="8" t="str">
        <f t="array" ref="Q501">XLOOKUP(D501,Product_Dim!A:A,Product_Dim!C:C,"Not Found")</f>
        <v>Sports</v>
      </c>
      <c r="R501" s="8" t="str">
        <f t="array" ref="R501">XLOOKUP(E501,Store_Dim!A:A,Store_Dim!B:B,"Not Found")</f>
        <v>North</v>
      </c>
      <c r="S501" s="8" t="str">
        <f t="array" ref="S501">XLOOKUP(E501,Store_Dim!A:A,Store_Dim!D:D,"Not Found")</f>
        <v>Flagship</v>
      </c>
    </row>
    <row r="502" ht="14.25" customHeight="1">
      <c r="A502" s="8" t="s">
        <v>2455</v>
      </c>
      <c r="B502" s="12">
        <v>45980.0</v>
      </c>
      <c r="C502" s="8" t="s">
        <v>1393</v>
      </c>
      <c r="D502" s="8" t="s">
        <v>1572</v>
      </c>
      <c r="E502" s="8" t="s">
        <v>1912</v>
      </c>
      <c r="F502" s="8">
        <v>4.0</v>
      </c>
      <c r="G502" s="8">
        <v>106.66</v>
      </c>
      <c r="H502" s="8">
        <v>0.2</v>
      </c>
      <c r="I502" s="8">
        <f t="shared" si="1"/>
        <v>426.64</v>
      </c>
      <c r="J502" s="8">
        <f t="shared" si="2"/>
        <v>-85.128</v>
      </c>
      <c r="K502" s="8" t="str">
        <f t="shared" si="3"/>
        <v>Nov</v>
      </c>
      <c r="L502" s="8">
        <f t="shared" si="4"/>
        <v>2025</v>
      </c>
      <c r="N502" s="8" t="str">
        <f t="array" ref="N502">XLOOKUP(C502,Customer_Dim!A:A,Customer_Dim!B:B,"Not Found")</f>
        <v>Gene Lee</v>
      </c>
      <c r="O502" s="8" t="str">
        <f t="array" ref="O502">XLOOKUP(C502,Customer_Dim!A:A,Customer_Dim!E:E,"Not Found")</f>
        <v>Mcfarlandmouth</v>
      </c>
      <c r="P502" s="8" t="str">
        <f t="array" ref="P502">XLOOKUP(D502,Product_Dim!A:A,Product_Dim!B:B,"Not Found")</f>
        <v>Women's Casual Hoodie</v>
      </c>
      <c r="Q502" s="8" t="str">
        <f t="array" ref="Q502">XLOOKUP(D502,Product_Dim!A:A,Product_Dim!C:C,"Not Found")</f>
        <v>Clothing</v>
      </c>
      <c r="R502" s="8" t="str">
        <f t="array" ref="R502">XLOOKUP(E502,Store_Dim!A:A,Store_Dim!B:B,"Not Found")</f>
        <v>South</v>
      </c>
      <c r="S502" s="8" t="str">
        <f t="array" ref="S502">XLOOKUP(E502,Store_Dim!A:A,Store_Dim!D:D,"Not Found")</f>
        <v>Online</v>
      </c>
    </row>
    <row r="503" ht="14.25" customHeight="1">
      <c r="A503" s="8" t="s">
        <v>2456</v>
      </c>
      <c r="B503" s="12">
        <v>45981.0</v>
      </c>
      <c r="C503" s="8" t="s">
        <v>556</v>
      </c>
      <c r="D503" s="8" t="s">
        <v>1606</v>
      </c>
      <c r="E503" s="8" t="s">
        <v>1915</v>
      </c>
      <c r="F503" s="8">
        <v>4.0</v>
      </c>
      <c r="G503" s="8">
        <v>168.55</v>
      </c>
      <c r="H503" s="8">
        <v>0.15</v>
      </c>
      <c r="I503" s="8">
        <f t="shared" si="1"/>
        <v>674.2</v>
      </c>
      <c r="J503" s="8">
        <f t="shared" si="2"/>
        <v>-100.98</v>
      </c>
      <c r="K503" s="8" t="str">
        <f t="shared" si="3"/>
        <v>Nov</v>
      </c>
      <c r="L503" s="8">
        <f t="shared" si="4"/>
        <v>2025</v>
      </c>
      <c r="N503" s="8" t="str">
        <f t="array" ref="N503">XLOOKUP(C503,Customer_Dim!A:A,Customer_Dim!B:B,"Not Found")</f>
        <v>Joseph Jones</v>
      </c>
      <c r="O503" s="8" t="str">
        <f t="array" ref="O503">XLOOKUP(C503,Customer_Dim!A:A,Customer_Dim!E:E,"Not Found")</f>
        <v>North Matthew</v>
      </c>
      <c r="P503" s="8" t="str">
        <f t="array" ref="P503">XLOOKUP(D503,Product_Dim!A:A,Product_Dim!B:B,"Not Found")</f>
        <v>Ceramic Kitchen Bowl Set</v>
      </c>
      <c r="Q503" s="8" t="str">
        <f t="array" ref="Q503">XLOOKUP(D503,Product_Dim!A:A,Product_Dim!C:C,"Not Found")</f>
        <v>Home</v>
      </c>
      <c r="R503" s="8" t="str">
        <f t="array" ref="R503">XLOOKUP(E503,Store_Dim!A:A,Store_Dim!B:B,"Not Found")</f>
        <v>North</v>
      </c>
      <c r="S503" s="8" t="str">
        <f t="array" ref="S503">XLOOKUP(E503,Store_Dim!A:A,Store_Dim!D:D,"Not Found")</f>
        <v>Outlet</v>
      </c>
    </row>
    <row r="504" ht="14.25" customHeight="1">
      <c r="A504" s="8" t="s">
        <v>2457</v>
      </c>
      <c r="B504" s="12">
        <v>45982.0</v>
      </c>
      <c r="C504" s="8" t="s">
        <v>1517</v>
      </c>
      <c r="D504" s="8" t="s">
        <v>1719</v>
      </c>
      <c r="E504" s="8" t="s">
        <v>1906</v>
      </c>
      <c r="F504" s="8">
        <v>1.0</v>
      </c>
      <c r="G504" s="8">
        <v>230.53</v>
      </c>
      <c r="H504" s="8">
        <v>0.06</v>
      </c>
      <c r="I504" s="8">
        <f t="shared" si="1"/>
        <v>230.53</v>
      </c>
      <c r="J504" s="8">
        <f t="shared" si="2"/>
        <v>-13.7718</v>
      </c>
      <c r="K504" s="8" t="str">
        <f t="shared" si="3"/>
        <v>Nov</v>
      </c>
      <c r="L504" s="8">
        <f t="shared" si="4"/>
        <v>2025</v>
      </c>
      <c r="N504" s="8" t="str">
        <f t="array" ref="N504">XLOOKUP(C504,Customer_Dim!A:A,Customer_Dim!B:B,"Not Found")</f>
        <v>Zachary Andrade</v>
      </c>
      <c r="O504" s="8" t="str">
        <f t="array" ref="O504">XLOOKUP(C504,Customer_Dim!A:A,Customer_Dim!E:E,"Not Found")</f>
        <v>South Davidport</v>
      </c>
      <c r="P504" s="8" t="str">
        <f t="array" ref="P504">XLOOKUP(D504,Product_Dim!A:A,Product_Dim!B:B,"Not Found")</f>
        <v>Adjustable Jump Rope</v>
      </c>
      <c r="Q504" s="8" t="str">
        <f t="array" ref="Q504">XLOOKUP(D504,Product_Dim!A:A,Product_Dim!C:C,"Not Found")</f>
        <v>Sports</v>
      </c>
      <c r="R504" s="8" t="str">
        <f t="array" ref="R504">XLOOKUP(E504,Store_Dim!A:A,Store_Dim!B:B,"Not Found")</f>
        <v>South</v>
      </c>
      <c r="S504" s="8" t="str">
        <f t="array" ref="S504">XLOOKUP(E504,Store_Dim!A:A,Store_Dim!D:D,"Not Found")</f>
        <v>Outlet</v>
      </c>
    </row>
    <row r="505" ht="14.25" customHeight="1">
      <c r="A505" s="8" t="s">
        <v>2458</v>
      </c>
      <c r="B505" s="12">
        <v>45983.0</v>
      </c>
      <c r="C505" s="8" t="s">
        <v>48</v>
      </c>
      <c r="D505" s="8" t="s">
        <v>1751</v>
      </c>
      <c r="E505" s="8" t="s">
        <v>1903</v>
      </c>
      <c r="F505" s="8">
        <v>2.0</v>
      </c>
      <c r="G505" s="8">
        <v>355.41</v>
      </c>
      <c r="H505" s="8">
        <v>0.13</v>
      </c>
      <c r="I505" s="8">
        <f t="shared" si="1"/>
        <v>710.82</v>
      </c>
      <c r="J505" s="8">
        <f t="shared" si="2"/>
        <v>-92.2766</v>
      </c>
      <c r="K505" s="8" t="str">
        <f t="shared" si="3"/>
        <v>Nov</v>
      </c>
      <c r="L505" s="8">
        <f t="shared" si="4"/>
        <v>2025</v>
      </c>
      <c r="N505" s="8" t="str">
        <f t="array" ref="N505">XLOOKUP(C505,Customer_Dim!A:A,Customer_Dim!B:B,"Not Found")</f>
        <v>Daniel Boyd</v>
      </c>
      <c r="O505" s="8" t="str">
        <f t="array" ref="O505">XLOOKUP(C505,Customer_Dim!A:A,Customer_Dim!E:E,"Not Found")</f>
        <v>West Pamelafurt</v>
      </c>
      <c r="P505" s="8" t="str">
        <f t="array" ref="P505">XLOOKUP(D505,Product_Dim!A:A,Product_Dim!B:B,"Not Found")</f>
        <v>Sports Stopwatch Pro</v>
      </c>
      <c r="Q505" s="8" t="str">
        <f t="array" ref="Q505">XLOOKUP(D505,Product_Dim!A:A,Product_Dim!C:C,"Not Found")</f>
        <v>Sports</v>
      </c>
      <c r="R505" s="8" t="str">
        <f t="array" ref="R505">XLOOKUP(E505,Store_Dim!A:A,Store_Dim!B:B,"Not Found")</f>
        <v>North</v>
      </c>
      <c r="S505" s="8" t="str">
        <f t="array" ref="S505">XLOOKUP(E505,Store_Dim!A:A,Store_Dim!D:D,"Not Found")</f>
        <v>Flagship</v>
      </c>
    </row>
    <row r="506" ht="14.25" customHeight="1">
      <c r="A506" s="8" t="s">
        <v>2459</v>
      </c>
      <c r="B506" s="12">
        <v>45984.0</v>
      </c>
      <c r="C506" s="8" t="s">
        <v>568</v>
      </c>
      <c r="D506" s="8" t="s">
        <v>1728</v>
      </c>
      <c r="E506" s="8" t="s">
        <v>1906</v>
      </c>
      <c r="F506" s="8">
        <v>3.0</v>
      </c>
      <c r="G506" s="8">
        <v>843.44</v>
      </c>
      <c r="H506" s="8">
        <v>0.22</v>
      </c>
      <c r="I506" s="8">
        <f t="shared" si="1"/>
        <v>2530.32</v>
      </c>
      <c r="J506" s="8">
        <f t="shared" si="2"/>
        <v>-556.4504</v>
      </c>
      <c r="K506" s="8" t="str">
        <f t="shared" si="3"/>
        <v>Nov</v>
      </c>
      <c r="L506" s="8">
        <f t="shared" si="4"/>
        <v>2025</v>
      </c>
      <c r="N506" s="8" t="str">
        <f t="array" ref="N506">XLOOKUP(C506,Customer_Dim!A:A,Customer_Dim!B:B,"Not Found")</f>
        <v>Antonio Wade</v>
      </c>
      <c r="O506" s="8" t="str">
        <f t="array" ref="O506">XLOOKUP(C506,Customer_Dim!A:A,Customer_Dim!E:E,"Not Found")</f>
        <v>New Jasonmouth</v>
      </c>
      <c r="P506" s="8" t="str">
        <f t="array" ref="P506">XLOOKUP(D506,Product_Dim!A:A,Product_Dim!B:B,"Not Found")</f>
        <v>Makeup Brush Set</v>
      </c>
      <c r="Q506" s="8" t="str">
        <f t="array" ref="Q506">XLOOKUP(D506,Product_Dim!A:A,Product_Dim!C:C,"Not Found")</f>
        <v>Beauty</v>
      </c>
      <c r="R506" s="8" t="str">
        <f t="array" ref="R506">XLOOKUP(E506,Store_Dim!A:A,Store_Dim!B:B,"Not Found")</f>
        <v>South</v>
      </c>
      <c r="S506" s="8" t="str">
        <f t="array" ref="S506">XLOOKUP(E506,Store_Dim!A:A,Store_Dim!D:D,"Not Found")</f>
        <v>Outlet</v>
      </c>
    </row>
    <row r="507" ht="14.25" customHeight="1">
      <c r="A507" s="8" t="s">
        <v>2460</v>
      </c>
      <c r="B507" s="12">
        <v>45985.0</v>
      </c>
      <c r="C507" s="8" t="s">
        <v>556</v>
      </c>
      <c r="D507" s="8" t="s">
        <v>1875</v>
      </c>
      <c r="E507" s="8" t="s">
        <v>1903</v>
      </c>
      <c r="F507" s="8">
        <v>1.0</v>
      </c>
      <c r="G507" s="8">
        <v>301.6</v>
      </c>
      <c r="H507" s="8">
        <v>0.27</v>
      </c>
      <c r="I507" s="8">
        <f t="shared" si="1"/>
        <v>301.6</v>
      </c>
      <c r="J507" s="8">
        <f t="shared" si="2"/>
        <v>-81.162</v>
      </c>
      <c r="K507" s="8" t="str">
        <f t="shared" si="3"/>
        <v>Nov</v>
      </c>
      <c r="L507" s="8">
        <f t="shared" si="4"/>
        <v>2025</v>
      </c>
      <c r="N507" s="8" t="str">
        <f t="array" ref="N507">XLOOKUP(C507,Customer_Dim!A:A,Customer_Dim!B:B,"Not Found")</f>
        <v>Joseph Jones</v>
      </c>
      <c r="O507" s="8" t="str">
        <f t="array" ref="O507">XLOOKUP(C507,Customer_Dim!A:A,Customer_Dim!E:E,"Not Found")</f>
        <v>North Matthew</v>
      </c>
      <c r="P507" s="8" t="str">
        <f t="array" ref="P507">XLOOKUP(D507,Product_Dim!A:A,Product_Dim!B:B,"Not Found")</f>
        <v>Sports Stopwatch Basic</v>
      </c>
      <c r="Q507" s="8" t="str">
        <f t="array" ref="Q507">XLOOKUP(D507,Product_Dim!A:A,Product_Dim!C:C,"Not Found")</f>
        <v>Sports</v>
      </c>
      <c r="R507" s="8" t="str">
        <f t="array" ref="R507">XLOOKUP(E507,Store_Dim!A:A,Store_Dim!B:B,"Not Found")</f>
        <v>North</v>
      </c>
      <c r="S507" s="8" t="str">
        <f t="array" ref="S507">XLOOKUP(E507,Store_Dim!A:A,Store_Dim!D:D,"Not Found")</f>
        <v>Flagship</v>
      </c>
    </row>
    <row r="508" ht="14.25" customHeight="1">
      <c r="A508" s="8" t="s">
        <v>2461</v>
      </c>
      <c r="B508" s="12">
        <v>45986.0</v>
      </c>
      <c r="C508" s="8" t="s">
        <v>174</v>
      </c>
      <c r="D508" s="8" t="s">
        <v>1857</v>
      </c>
      <c r="E508" s="8" t="s">
        <v>1906</v>
      </c>
      <c r="F508" s="8">
        <v>3.0</v>
      </c>
      <c r="G508" s="8">
        <v>21.59</v>
      </c>
      <c r="H508" s="8">
        <v>0.16</v>
      </c>
      <c r="I508" s="8">
        <f t="shared" si="1"/>
        <v>64.77</v>
      </c>
      <c r="J508" s="8">
        <f t="shared" si="2"/>
        <v>-10.2032</v>
      </c>
      <c r="K508" s="8" t="str">
        <f t="shared" si="3"/>
        <v>Nov</v>
      </c>
      <c r="L508" s="8">
        <f t="shared" si="4"/>
        <v>2025</v>
      </c>
      <c r="N508" s="8" t="str">
        <f t="array" ref="N508">XLOOKUP(C508,Customer_Dim!A:A,Customer_Dim!B:B,"Not Found")</f>
        <v>William Martin</v>
      </c>
      <c r="O508" s="8" t="str">
        <f t="array" ref="O508">XLOOKUP(C508,Customer_Dim!A:A,Customer_Dim!E:E,"Not Found")</f>
        <v>Ryanburgh</v>
      </c>
      <c r="P508" s="8" t="str">
        <f t="array" ref="P508">XLOOKUP(D508,Product_Dim!A:A,Product_Dim!B:B,"Not Found")</f>
        <v>Face Foundation Kit</v>
      </c>
      <c r="Q508" s="8" t="str">
        <f t="array" ref="Q508">XLOOKUP(D508,Product_Dim!A:A,Product_Dim!C:C,"Not Found")</f>
        <v>Beauty</v>
      </c>
      <c r="R508" s="8" t="str">
        <f t="array" ref="R508">XLOOKUP(E508,Store_Dim!A:A,Store_Dim!B:B,"Not Found")</f>
        <v>South</v>
      </c>
      <c r="S508" s="8" t="str">
        <f t="array" ref="S508">XLOOKUP(E508,Store_Dim!A:A,Store_Dim!D:D,"Not Found")</f>
        <v>Outlet</v>
      </c>
    </row>
    <row r="509" ht="14.25" customHeight="1">
      <c r="A509" s="8" t="s">
        <v>2462</v>
      </c>
      <c r="B509" s="12">
        <v>45987.0</v>
      </c>
      <c r="C509" s="8" t="s">
        <v>702</v>
      </c>
      <c r="D509" s="8" t="s">
        <v>1617</v>
      </c>
      <c r="E509" s="8" t="s">
        <v>1906</v>
      </c>
      <c r="F509" s="8">
        <v>4.0</v>
      </c>
      <c r="G509" s="8">
        <v>284.24</v>
      </c>
      <c r="H509" s="8">
        <v>0.09</v>
      </c>
      <c r="I509" s="8">
        <f t="shared" si="1"/>
        <v>1136.96</v>
      </c>
      <c r="J509" s="8">
        <f t="shared" si="2"/>
        <v>-102.2364</v>
      </c>
      <c r="K509" s="8" t="str">
        <f t="shared" si="3"/>
        <v>Nov</v>
      </c>
      <c r="L509" s="8">
        <f t="shared" si="4"/>
        <v>2025</v>
      </c>
      <c r="N509" s="8" t="str">
        <f t="array" ref="N509">XLOOKUP(C509,Customer_Dim!A:A,Customer_Dim!B:B,"Not Found")</f>
        <v>Blake Harrison</v>
      </c>
      <c r="O509" s="8" t="str">
        <f t="array" ref="O509">XLOOKUP(C509,Customer_Dim!A:A,Customer_Dim!E:E,"Not Found")</f>
        <v>Lyonsfort</v>
      </c>
      <c r="P509" s="8" t="str">
        <f t="array" ref="P509">XLOOKUP(D509,Product_Dim!A:A,Product_Dim!B:B,"Not Found")</f>
        <v>USB-C Fast Charger</v>
      </c>
      <c r="Q509" s="8" t="str">
        <f t="array" ref="Q509">XLOOKUP(D509,Product_Dim!A:A,Product_Dim!C:C,"Not Found")</f>
        <v>Electronics</v>
      </c>
      <c r="R509" s="8" t="str">
        <f t="array" ref="R509">XLOOKUP(E509,Store_Dim!A:A,Store_Dim!B:B,"Not Found")</f>
        <v>South</v>
      </c>
      <c r="S509" s="8" t="str">
        <f t="array" ref="S509">XLOOKUP(E509,Store_Dim!A:A,Store_Dim!D:D,"Not Found")</f>
        <v>Outlet</v>
      </c>
    </row>
    <row r="510" ht="14.25" customHeight="1">
      <c r="A510" s="8" t="s">
        <v>2463</v>
      </c>
      <c r="B510" s="12">
        <v>45988.0</v>
      </c>
      <c r="C510" s="8" t="s">
        <v>1167</v>
      </c>
      <c r="D510" s="8" t="s">
        <v>1583</v>
      </c>
      <c r="E510" s="8" t="s">
        <v>1924</v>
      </c>
      <c r="F510" s="8">
        <v>1.0</v>
      </c>
      <c r="G510" s="8">
        <v>191.6</v>
      </c>
      <c r="H510" s="8">
        <v>0.27</v>
      </c>
      <c r="I510" s="8">
        <f t="shared" si="1"/>
        <v>191.6</v>
      </c>
      <c r="J510" s="8">
        <f t="shared" si="2"/>
        <v>-51.462</v>
      </c>
      <c r="K510" s="8" t="str">
        <f t="shared" si="3"/>
        <v>Nov</v>
      </c>
      <c r="L510" s="8">
        <f t="shared" si="4"/>
        <v>2025</v>
      </c>
      <c r="N510" s="8" t="str">
        <f t="array" ref="N510">XLOOKUP(C510,Customer_Dim!A:A,Customer_Dim!B:B,"Not Found")</f>
        <v>Miranda King</v>
      </c>
      <c r="O510" s="8" t="str">
        <f t="array" ref="O510">XLOOKUP(C510,Customer_Dim!A:A,Customer_Dim!E:E,"Not Found")</f>
        <v>West Mathew</v>
      </c>
      <c r="P510" s="8" t="str">
        <f t="array" ref="P510">XLOOKUP(D510,Product_Dim!A:A,Product_Dim!B:B,"Not Found")</f>
        <v>Men's Leather Belt</v>
      </c>
      <c r="Q510" s="8" t="str">
        <f t="array" ref="Q510">XLOOKUP(D510,Product_Dim!A:A,Product_Dim!C:C,"Not Found")</f>
        <v>Clothing</v>
      </c>
      <c r="R510" s="8" t="str">
        <f t="array" ref="R510">XLOOKUP(E510,Store_Dim!A:A,Store_Dim!B:B,"Not Found")</f>
        <v>South</v>
      </c>
      <c r="S510" s="8" t="str">
        <f t="array" ref="S510">XLOOKUP(E510,Store_Dim!A:A,Store_Dim!D:D,"Not Found")</f>
        <v>Flagship</v>
      </c>
    </row>
    <row r="511" ht="14.25" customHeight="1">
      <c r="A511" s="8" t="s">
        <v>2464</v>
      </c>
      <c r="B511" s="12">
        <v>45989.0</v>
      </c>
      <c r="C511" s="8" t="s">
        <v>996</v>
      </c>
      <c r="D511" s="8" t="s">
        <v>1824</v>
      </c>
      <c r="E511" s="8" t="s">
        <v>1929</v>
      </c>
      <c r="F511" s="8">
        <v>2.0</v>
      </c>
      <c r="G511" s="8">
        <v>616.97</v>
      </c>
      <c r="H511" s="8">
        <v>0.22</v>
      </c>
      <c r="I511" s="8">
        <f t="shared" si="1"/>
        <v>1233.94</v>
      </c>
      <c r="J511" s="8">
        <f t="shared" si="2"/>
        <v>-271.2468</v>
      </c>
      <c r="K511" s="8" t="str">
        <f t="shared" si="3"/>
        <v>Nov</v>
      </c>
      <c r="L511" s="8">
        <f t="shared" si="4"/>
        <v>2025</v>
      </c>
      <c r="N511" s="8" t="str">
        <f t="array" ref="N511">XLOOKUP(C511,Customer_Dim!A:A,Customer_Dim!B:B,"Not Found")</f>
        <v>Kevin Larson</v>
      </c>
      <c r="O511" s="8" t="str">
        <f t="array" ref="O511">XLOOKUP(C511,Customer_Dim!A:A,Customer_Dim!E:E,"Not Found")</f>
        <v>Port Edwardmouth</v>
      </c>
      <c r="P511" s="8" t="str">
        <f t="array" ref="P511">XLOOKUP(D511,Product_Dim!A:A,Product_Dim!B:B,"Not Found")</f>
        <v>Essential Oil Diffuser</v>
      </c>
      <c r="Q511" s="8" t="str">
        <f t="array" ref="Q511">XLOOKUP(D511,Product_Dim!A:A,Product_Dim!C:C,"Not Found")</f>
        <v>Home</v>
      </c>
      <c r="R511" s="8" t="str">
        <f t="array" ref="R511">XLOOKUP(E511,Store_Dim!A:A,Store_Dim!B:B,"Not Found")</f>
        <v>North</v>
      </c>
      <c r="S511" s="8" t="str">
        <f t="array" ref="S511">XLOOKUP(E511,Store_Dim!A:A,Store_Dim!D:D,"Not Found")</f>
        <v>Online</v>
      </c>
    </row>
    <row r="512" ht="14.25" customHeight="1">
      <c r="A512" s="8" t="s">
        <v>2465</v>
      </c>
      <c r="B512" s="12">
        <v>45990.0</v>
      </c>
      <c r="C512" s="8" t="s">
        <v>571</v>
      </c>
      <c r="D512" s="8" t="s">
        <v>1668</v>
      </c>
      <c r="E512" s="8" t="s">
        <v>1926</v>
      </c>
      <c r="F512" s="8">
        <v>3.0</v>
      </c>
      <c r="G512" s="8">
        <v>125.68</v>
      </c>
      <c r="H512" s="8">
        <v>0.26</v>
      </c>
      <c r="I512" s="8">
        <f t="shared" si="1"/>
        <v>377.04</v>
      </c>
      <c r="J512" s="8">
        <f t="shared" si="2"/>
        <v>-97.7704</v>
      </c>
      <c r="K512" s="8" t="str">
        <f t="shared" si="3"/>
        <v>Nov</v>
      </c>
      <c r="L512" s="8">
        <f t="shared" si="4"/>
        <v>2025</v>
      </c>
      <c r="N512" s="8" t="str">
        <f t="array" ref="N512">XLOOKUP(C512,Customer_Dim!A:A,Customer_Dim!B:B,"Not Found")</f>
        <v>Daniel Contreras</v>
      </c>
      <c r="O512" s="8" t="str">
        <f t="array" ref="O512">XLOOKUP(C512,Customer_Dim!A:A,Customer_Dim!E:E,"Not Found")</f>
        <v>Robertview</v>
      </c>
      <c r="P512" s="8" t="str">
        <f t="array" ref="P512">XLOOKUP(D512,Product_Dim!A:A,Product_Dim!B:B,"Not Found")</f>
        <v>Sports Stopwatch Timer</v>
      </c>
      <c r="Q512" s="8" t="str">
        <f t="array" ref="Q512">XLOOKUP(D512,Product_Dim!A:A,Product_Dim!C:C,"Not Found")</f>
        <v>Sports</v>
      </c>
      <c r="R512" s="8" t="str">
        <f t="array" ref="R512">XLOOKUP(E512,Store_Dim!A:A,Store_Dim!B:B,"Not Found")</f>
        <v>East</v>
      </c>
      <c r="S512" s="8" t="str">
        <f t="array" ref="S512">XLOOKUP(E512,Store_Dim!A:A,Store_Dim!D:D,"Not Found")</f>
        <v>Online</v>
      </c>
    </row>
    <row r="513" ht="14.25" customHeight="1">
      <c r="A513" s="8" t="s">
        <v>2466</v>
      </c>
      <c r="B513" s="12">
        <v>45991.0</v>
      </c>
      <c r="C513" s="8" t="s">
        <v>1119</v>
      </c>
      <c r="D513" s="8" t="s">
        <v>1716</v>
      </c>
      <c r="E513" s="8" t="s">
        <v>1912</v>
      </c>
      <c r="F513" s="8">
        <v>3.0</v>
      </c>
      <c r="G513" s="8">
        <v>307.48</v>
      </c>
      <c r="H513" s="8">
        <v>0.24</v>
      </c>
      <c r="I513" s="8">
        <f t="shared" si="1"/>
        <v>922.44</v>
      </c>
      <c r="J513" s="8">
        <f t="shared" si="2"/>
        <v>-221.1456</v>
      </c>
      <c r="K513" s="8" t="str">
        <f t="shared" si="3"/>
        <v>Nov</v>
      </c>
      <c r="L513" s="8">
        <f t="shared" si="4"/>
        <v>2025</v>
      </c>
      <c r="N513" s="8" t="str">
        <f t="array" ref="N513">XLOOKUP(C513,Customer_Dim!A:A,Customer_Dim!B:B,"Not Found")</f>
        <v>Michael Greene</v>
      </c>
      <c r="O513" s="8" t="str">
        <f t="array" ref="O513">XLOOKUP(C513,Customer_Dim!A:A,Customer_Dim!E:E,"Not Found")</f>
        <v>Port Saramouth</v>
      </c>
      <c r="P513" s="8" t="str">
        <f t="array" ref="P513">XLOOKUP(D513,Product_Dim!A:A,Product_Dim!B:B,"Not Found")</f>
        <v>USB External Hard Drive</v>
      </c>
      <c r="Q513" s="8" t="str">
        <f t="array" ref="Q513">XLOOKUP(D513,Product_Dim!A:A,Product_Dim!C:C,"Not Found")</f>
        <v>Electronics</v>
      </c>
      <c r="R513" s="8" t="str">
        <f t="array" ref="R513">XLOOKUP(E513,Store_Dim!A:A,Store_Dim!B:B,"Not Found")</f>
        <v>South</v>
      </c>
      <c r="S513" s="8" t="str">
        <f t="array" ref="S513">XLOOKUP(E513,Store_Dim!A:A,Store_Dim!D:D,"Not Found")</f>
        <v>Online</v>
      </c>
    </row>
    <row r="514" ht="14.25" customHeight="1">
      <c r="A514" s="8" t="s">
        <v>2467</v>
      </c>
      <c r="B514" s="12">
        <v>45992.0</v>
      </c>
      <c r="C514" s="8" t="s">
        <v>957</v>
      </c>
      <c r="D514" s="8" t="s">
        <v>1572</v>
      </c>
      <c r="E514" s="8" t="s">
        <v>1941</v>
      </c>
      <c r="F514" s="8">
        <v>1.0</v>
      </c>
      <c r="G514" s="8">
        <v>505.23</v>
      </c>
      <c r="H514" s="8">
        <v>0.11</v>
      </c>
      <c r="I514" s="8">
        <f t="shared" si="1"/>
        <v>505.23</v>
      </c>
      <c r="J514" s="8">
        <f t="shared" si="2"/>
        <v>-55.4653</v>
      </c>
      <c r="K514" s="8" t="str">
        <f t="shared" si="3"/>
        <v>Dec</v>
      </c>
      <c r="L514" s="8">
        <f t="shared" si="4"/>
        <v>2025</v>
      </c>
      <c r="N514" s="8" t="str">
        <f t="array" ref="N514">XLOOKUP(C514,Customer_Dim!A:A,Customer_Dim!B:B,"Not Found")</f>
        <v>Tracy Stephens</v>
      </c>
      <c r="O514" s="8" t="str">
        <f t="array" ref="O514">XLOOKUP(C514,Customer_Dim!A:A,Customer_Dim!E:E,"Not Found")</f>
        <v>New Joshuatown</v>
      </c>
      <c r="P514" s="8" t="str">
        <f t="array" ref="P514">XLOOKUP(D514,Product_Dim!A:A,Product_Dim!B:B,"Not Found")</f>
        <v>Women's Casual Hoodie</v>
      </c>
      <c r="Q514" s="8" t="str">
        <f t="array" ref="Q514">XLOOKUP(D514,Product_Dim!A:A,Product_Dim!C:C,"Not Found")</f>
        <v>Clothing</v>
      </c>
      <c r="R514" s="8" t="str">
        <f t="array" ref="R514">XLOOKUP(E514,Store_Dim!A:A,Store_Dim!B:B,"Not Found")</f>
        <v>East</v>
      </c>
      <c r="S514" s="8" t="str">
        <f t="array" ref="S514">XLOOKUP(E514,Store_Dim!A:A,Store_Dim!D:D,"Not Found")</f>
        <v>Online</v>
      </c>
    </row>
    <row r="515" ht="14.25" customHeight="1">
      <c r="A515" s="8" t="s">
        <v>2468</v>
      </c>
      <c r="B515" s="12">
        <v>45993.0</v>
      </c>
      <c r="C515" s="8" t="s">
        <v>1158</v>
      </c>
      <c r="D515" s="8" t="s">
        <v>1722</v>
      </c>
      <c r="E515" s="8" t="s">
        <v>1935</v>
      </c>
      <c r="F515" s="8">
        <v>1.0</v>
      </c>
      <c r="G515" s="8">
        <v>853.12</v>
      </c>
      <c r="H515" s="8">
        <v>0.19</v>
      </c>
      <c r="I515" s="8">
        <f t="shared" si="1"/>
        <v>853.12</v>
      </c>
      <c r="J515" s="8">
        <f t="shared" si="2"/>
        <v>-161.9028</v>
      </c>
      <c r="K515" s="8" t="str">
        <f t="shared" si="3"/>
        <v>Dec</v>
      </c>
      <c r="L515" s="8">
        <f t="shared" si="4"/>
        <v>2025</v>
      </c>
      <c r="N515" s="8" t="str">
        <f t="array" ref="N515">XLOOKUP(C515,Customer_Dim!A:A,Customer_Dim!B:B,"Not Found")</f>
        <v>Brandon Mcbride</v>
      </c>
      <c r="O515" s="8" t="str">
        <f t="array" ref="O515">XLOOKUP(C515,Customer_Dim!A:A,Customer_Dim!E:E,"Not Found")</f>
        <v>Kellyside</v>
      </c>
      <c r="P515" s="8" t="str">
        <f t="array" ref="P515">XLOOKUP(D515,Product_Dim!A:A,Product_Dim!B:B,"Not Found")</f>
        <v>High-Grip Football</v>
      </c>
      <c r="Q515" s="8" t="str">
        <f t="array" ref="Q515">XLOOKUP(D515,Product_Dim!A:A,Product_Dim!C:C,"Not Found")</f>
        <v>Sports</v>
      </c>
      <c r="R515" s="8" t="str">
        <f t="array" ref="R515">XLOOKUP(E515,Store_Dim!A:A,Store_Dim!B:B,"Not Found")</f>
        <v>West</v>
      </c>
      <c r="S515" s="8" t="str">
        <f t="array" ref="S515">XLOOKUP(E515,Store_Dim!A:A,Store_Dim!D:D,"Not Found")</f>
        <v>Flagship</v>
      </c>
    </row>
    <row r="516" ht="14.25" customHeight="1">
      <c r="A516" s="8" t="s">
        <v>2469</v>
      </c>
      <c r="B516" s="12">
        <v>45994.0</v>
      </c>
      <c r="C516" s="8" t="s">
        <v>455</v>
      </c>
      <c r="D516" s="8" t="s">
        <v>1562</v>
      </c>
      <c r="E516" s="8" t="s">
        <v>1919</v>
      </c>
      <c r="F516" s="8">
        <v>4.0</v>
      </c>
      <c r="G516" s="8">
        <v>191.65</v>
      </c>
      <c r="H516" s="8">
        <v>0.19</v>
      </c>
      <c r="I516" s="8">
        <f t="shared" si="1"/>
        <v>766.6</v>
      </c>
      <c r="J516" s="8">
        <f t="shared" si="2"/>
        <v>-145.464</v>
      </c>
      <c r="K516" s="8" t="str">
        <f t="shared" si="3"/>
        <v>Dec</v>
      </c>
      <c r="L516" s="8">
        <f t="shared" si="4"/>
        <v>2025</v>
      </c>
      <c r="N516" s="8" t="str">
        <f t="array" ref="N516">XLOOKUP(C516,Customer_Dim!A:A,Customer_Dim!B:B,"Not Found")</f>
        <v>Jessica Mitchell</v>
      </c>
      <c r="O516" s="8" t="str">
        <f t="array" ref="O516">XLOOKUP(C516,Customer_Dim!A:A,Customer_Dim!E:E,"Not Found")</f>
        <v>Matthewbury</v>
      </c>
      <c r="P516" s="8" t="str">
        <f t="array" ref="P516">XLOOKUP(D516,Product_Dim!A:A,Product_Dim!B:B,"Not Found")</f>
        <v>Brother Laser Printer</v>
      </c>
      <c r="Q516" s="8" t="str">
        <f t="array" ref="Q516">XLOOKUP(D516,Product_Dim!A:A,Product_Dim!C:C,"Not Found")</f>
        <v>Electronics</v>
      </c>
      <c r="R516" s="8" t="str">
        <f t="array" ref="R516">XLOOKUP(E516,Store_Dim!A:A,Store_Dim!B:B,"Not Found")</f>
        <v>South</v>
      </c>
      <c r="S516" s="8" t="str">
        <f t="array" ref="S516">XLOOKUP(E516,Store_Dim!A:A,Store_Dim!D:D,"Not Found")</f>
        <v>Online</v>
      </c>
    </row>
    <row r="517" ht="14.25" customHeight="1">
      <c r="A517" s="8" t="s">
        <v>2470</v>
      </c>
      <c r="B517" s="12">
        <v>45995.0</v>
      </c>
      <c r="C517" s="8" t="s">
        <v>547</v>
      </c>
      <c r="D517" s="8" t="s">
        <v>1728</v>
      </c>
      <c r="E517" s="8" t="s">
        <v>1910</v>
      </c>
      <c r="F517" s="8">
        <v>1.0</v>
      </c>
      <c r="G517" s="8">
        <v>169.69</v>
      </c>
      <c r="H517" s="8">
        <v>0.22</v>
      </c>
      <c r="I517" s="8">
        <f t="shared" si="1"/>
        <v>169.69</v>
      </c>
      <c r="J517" s="8">
        <f t="shared" si="2"/>
        <v>-37.1118</v>
      </c>
      <c r="K517" s="8" t="str">
        <f t="shared" si="3"/>
        <v>Dec</v>
      </c>
      <c r="L517" s="8">
        <f t="shared" si="4"/>
        <v>2025</v>
      </c>
      <c r="N517" s="8" t="str">
        <f t="array" ref="N517">XLOOKUP(C517,Customer_Dim!A:A,Customer_Dim!B:B,"Not Found")</f>
        <v>John Lawson</v>
      </c>
      <c r="O517" s="8" t="str">
        <f t="array" ref="O517">XLOOKUP(C517,Customer_Dim!A:A,Customer_Dim!E:E,"Not Found")</f>
        <v>New Juliemouth</v>
      </c>
      <c r="P517" s="8" t="str">
        <f t="array" ref="P517">XLOOKUP(D517,Product_Dim!A:A,Product_Dim!B:B,"Not Found")</f>
        <v>Makeup Brush Set</v>
      </c>
      <c r="Q517" s="8" t="str">
        <f t="array" ref="Q517">XLOOKUP(D517,Product_Dim!A:A,Product_Dim!C:C,"Not Found")</f>
        <v>Beauty</v>
      </c>
      <c r="R517" s="8" t="str">
        <f t="array" ref="R517">XLOOKUP(E517,Store_Dim!A:A,Store_Dim!B:B,"Not Found")</f>
        <v>North</v>
      </c>
      <c r="S517" s="8" t="str">
        <f t="array" ref="S517">XLOOKUP(E517,Store_Dim!A:A,Store_Dim!D:D,"Not Found")</f>
        <v>Outlet</v>
      </c>
    </row>
    <row r="518" ht="14.25" customHeight="1">
      <c r="A518" s="8" t="s">
        <v>2471</v>
      </c>
      <c r="B518" s="12">
        <v>45996.0</v>
      </c>
      <c r="C518" s="8" t="s">
        <v>591</v>
      </c>
      <c r="D518" s="8" t="s">
        <v>1775</v>
      </c>
      <c r="E518" s="8" t="s">
        <v>1932</v>
      </c>
      <c r="F518" s="8">
        <v>1.0</v>
      </c>
      <c r="G518" s="8">
        <v>145.43</v>
      </c>
      <c r="H518" s="8">
        <v>0.08</v>
      </c>
      <c r="I518" s="8">
        <f t="shared" si="1"/>
        <v>145.43</v>
      </c>
      <c r="J518" s="8">
        <f t="shared" si="2"/>
        <v>-11.5544</v>
      </c>
      <c r="K518" s="8" t="str">
        <f t="shared" si="3"/>
        <v>Dec</v>
      </c>
      <c r="L518" s="8">
        <f t="shared" si="4"/>
        <v>2025</v>
      </c>
      <c r="N518" s="8" t="str">
        <f t="array" ref="N518">XLOOKUP(C518,Customer_Dim!A:A,Customer_Dim!B:B,"Not Found")</f>
        <v>Michelle Rogers</v>
      </c>
      <c r="O518" s="8" t="str">
        <f t="array" ref="O518">XLOOKUP(C518,Customer_Dim!A:A,Customer_Dim!E:E,"Not Found")</f>
        <v>East Jessicaborough</v>
      </c>
      <c r="P518" s="8" t="str">
        <f t="array" ref="P518">XLOOKUP(D518,Product_Dim!A:A,Product_Dim!B:B,"Not Found")</f>
        <v>Laptop Cooling Pad</v>
      </c>
      <c r="Q518" s="8" t="str">
        <f t="array" ref="Q518">XLOOKUP(D518,Product_Dim!A:A,Product_Dim!C:C,"Not Found")</f>
        <v>Electronics</v>
      </c>
      <c r="R518" s="8" t="str">
        <f t="array" ref="R518">XLOOKUP(E518,Store_Dim!A:A,Store_Dim!B:B,"Not Found")</f>
        <v>South</v>
      </c>
      <c r="S518" s="8" t="str">
        <f t="array" ref="S518">XLOOKUP(E518,Store_Dim!A:A,Store_Dim!D:D,"Not Found")</f>
        <v>Outlet</v>
      </c>
    </row>
    <row r="519" ht="14.25" customHeight="1">
      <c r="A519" s="8" t="s">
        <v>2472</v>
      </c>
      <c r="B519" s="12">
        <v>45997.0</v>
      </c>
      <c r="C519" s="8" t="s">
        <v>314</v>
      </c>
      <c r="D519" s="8" t="s">
        <v>1869</v>
      </c>
      <c r="E519" s="8" t="s">
        <v>1929</v>
      </c>
      <c r="F519" s="8">
        <v>4.0</v>
      </c>
      <c r="G519" s="8">
        <v>828.35</v>
      </c>
      <c r="H519" s="8">
        <v>0.17</v>
      </c>
      <c r="I519" s="8">
        <f t="shared" si="1"/>
        <v>3313.4</v>
      </c>
      <c r="J519" s="8">
        <f t="shared" si="2"/>
        <v>-563.108</v>
      </c>
      <c r="K519" s="8" t="str">
        <f t="shared" si="3"/>
        <v>Dec</v>
      </c>
      <c r="L519" s="8">
        <f t="shared" si="4"/>
        <v>2025</v>
      </c>
      <c r="N519" s="8" t="str">
        <f t="array" ref="N519">XLOOKUP(C519,Customer_Dim!A:A,Customer_Dim!B:B,"Not Found")</f>
        <v>Christy Hoffman</v>
      </c>
      <c r="O519" s="8" t="str">
        <f t="array" ref="O519">XLOOKUP(C519,Customer_Dim!A:A,Customer_Dim!E:E,"Not Found")</f>
        <v>Garyberg</v>
      </c>
      <c r="P519" s="8" t="str">
        <f t="array" ref="P519">XLOOKUP(D519,Product_Dim!A:A,Product_Dim!B:B,"Not Found")</f>
        <v>USB-C Laptop Charger</v>
      </c>
      <c r="Q519" s="8" t="str">
        <f t="array" ref="Q519">XLOOKUP(D519,Product_Dim!A:A,Product_Dim!C:C,"Not Found")</f>
        <v>Electronics</v>
      </c>
      <c r="R519" s="8" t="str">
        <f t="array" ref="R519">XLOOKUP(E519,Store_Dim!A:A,Store_Dim!B:B,"Not Found")</f>
        <v>North</v>
      </c>
      <c r="S519" s="8" t="str">
        <f t="array" ref="S519">XLOOKUP(E519,Store_Dim!A:A,Store_Dim!D:D,"Not Found")</f>
        <v>Online</v>
      </c>
    </row>
    <row r="520" ht="14.25" customHeight="1">
      <c r="A520" s="8" t="s">
        <v>2473</v>
      </c>
      <c r="B520" s="12">
        <v>45998.0</v>
      </c>
      <c r="C520" s="8" t="s">
        <v>1149</v>
      </c>
      <c r="D520" s="8" t="s">
        <v>1875</v>
      </c>
      <c r="E520" s="8" t="s">
        <v>1919</v>
      </c>
      <c r="F520" s="8">
        <v>3.0</v>
      </c>
      <c r="G520" s="8">
        <v>268.76</v>
      </c>
      <c r="H520" s="8">
        <v>0.01</v>
      </c>
      <c r="I520" s="8">
        <f t="shared" si="1"/>
        <v>806.28</v>
      </c>
      <c r="J520" s="8">
        <f t="shared" si="2"/>
        <v>-8.0528</v>
      </c>
      <c r="K520" s="8" t="str">
        <f t="shared" si="3"/>
        <v>Dec</v>
      </c>
      <c r="L520" s="8">
        <f t="shared" si="4"/>
        <v>2025</v>
      </c>
      <c r="N520" s="8" t="str">
        <f t="array" ref="N520">XLOOKUP(C520,Customer_Dim!A:A,Customer_Dim!B:B,"Not Found")</f>
        <v>Joshua Smith DVM</v>
      </c>
      <c r="O520" s="8" t="str">
        <f t="array" ref="O520">XLOOKUP(C520,Customer_Dim!A:A,Customer_Dim!E:E,"Not Found")</f>
        <v>Melvinton</v>
      </c>
      <c r="P520" s="8" t="str">
        <f t="array" ref="P520">XLOOKUP(D520,Product_Dim!A:A,Product_Dim!B:B,"Not Found")</f>
        <v>Sports Stopwatch Basic</v>
      </c>
      <c r="Q520" s="8" t="str">
        <f t="array" ref="Q520">XLOOKUP(D520,Product_Dim!A:A,Product_Dim!C:C,"Not Found")</f>
        <v>Sports</v>
      </c>
      <c r="R520" s="8" t="str">
        <f t="array" ref="R520">XLOOKUP(E520,Store_Dim!A:A,Store_Dim!B:B,"Not Found")</f>
        <v>South</v>
      </c>
      <c r="S520" s="8" t="str">
        <f t="array" ref="S520">XLOOKUP(E520,Store_Dim!A:A,Store_Dim!D:D,"Not Found")</f>
        <v>Online</v>
      </c>
    </row>
    <row r="521" ht="14.25" customHeight="1">
      <c r="A521" s="8" t="s">
        <v>2474</v>
      </c>
      <c r="B521" s="12">
        <v>45999.0</v>
      </c>
      <c r="C521" s="8" t="s">
        <v>764</v>
      </c>
      <c r="D521" s="8" t="s">
        <v>1854</v>
      </c>
      <c r="E521" s="8" t="s">
        <v>1899</v>
      </c>
      <c r="F521" s="8">
        <v>4.0</v>
      </c>
      <c r="G521" s="8">
        <v>370.09</v>
      </c>
      <c r="H521" s="8">
        <v>0.22</v>
      </c>
      <c r="I521" s="8">
        <f t="shared" si="1"/>
        <v>1480.36</v>
      </c>
      <c r="J521" s="8">
        <f t="shared" si="2"/>
        <v>-325.4592</v>
      </c>
      <c r="K521" s="8" t="str">
        <f t="shared" si="3"/>
        <v>Dec</v>
      </c>
      <c r="L521" s="8">
        <f t="shared" si="4"/>
        <v>2025</v>
      </c>
      <c r="N521" s="8" t="str">
        <f t="array" ref="N521">XLOOKUP(C521,Customer_Dim!A:A,Customer_Dim!B:B,"Not Found")</f>
        <v>Michelle Gonzalez</v>
      </c>
      <c r="O521" s="8" t="str">
        <f t="array" ref="O521">XLOOKUP(C521,Customer_Dim!A:A,Customer_Dim!E:E,"Not Found")</f>
        <v>Clarkport</v>
      </c>
      <c r="P521" s="8" t="str">
        <f t="array" ref="P521">XLOOKUP(D521,Product_Dim!A:A,Product_Dim!B:B,"Not Found")</f>
        <v>Sports Wrist Sweatbands</v>
      </c>
      <c r="Q521" s="8" t="str">
        <f t="array" ref="Q521">XLOOKUP(D521,Product_Dim!A:A,Product_Dim!C:C,"Not Found")</f>
        <v>Sports</v>
      </c>
      <c r="R521" s="8" t="str">
        <f t="array" ref="R521">XLOOKUP(E521,Store_Dim!A:A,Store_Dim!B:B,"Not Found")</f>
        <v>East</v>
      </c>
      <c r="S521" s="8" t="str">
        <f t="array" ref="S521">XLOOKUP(E521,Store_Dim!A:A,Store_Dim!D:D,"Not Found")</f>
        <v>Flagship</v>
      </c>
    </row>
    <row r="522" ht="14.25" customHeight="1">
      <c r="A522" s="8" t="s">
        <v>2475</v>
      </c>
      <c r="B522" s="12">
        <v>46000.0</v>
      </c>
      <c r="C522" s="8" t="s">
        <v>824</v>
      </c>
      <c r="D522" s="8" t="s">
        <v>1824</v>
      </c>
      <c r="E522" s="8" t="s">
        <v>1917</v>
      </c>
      <c r="F522" s="8">
        <v>3.0</v>
      </c>
      <c r="G522" s="8">
        <v>679.22</v>
      </c>
      <c r="H522" s="8">
        <v>0.11</v>
      </c>
      <c r="I522" s="8">
        <f t="shared" si="1"/>
        <v>2037.66</v>
      </c>
      <c r="J522" s="8">
        <f t="shared" si="2"/>
        <v>-224.0326</v>
      </c>
      <c r="K522" s="8" t="str">
        <f t="shared" si="3"/>
        <v>Dec</v>
      </c>
      <c r="L522" s="8">
        <f t="shared" si="4"/>
        <v>2025</v>
      </c>
      <c r="N522" s="8" t="str">
        <f t="array" ref="N522">XLOOKUP(C522,Customer_Dim!A:A,Customer_Dim!B:B,"Not Found")</f>
        <v>Dr. Ashley Yates MD</v>
      </c>
      <c r="O522" s="8" t="str">
        <f t="array" ref="O522">XLOOKUP(C522,Customer_Dim!A:A,Customer_Dim!E:E,"Not Found")</f>
        <v>New Maria</v>
      </c>
      <c r="P522" s="8" t="str">
        <f t="array" ref="P522">XLOOKUP(D522,Product_Dim!A:A,Product_Dim!B:B,"Not Found")</f>
        <v>Essential Oil Diffuser</v>
      </c>
      <c r="Q522" s="8" t="str">
        <f t="array" ref="Q522">XLOOKUP(D522,Product_Dim!A:A,Product_Dim!C:C,"Not Found")</f>
        <v>Home</v>
      </c>
      <c r="R522" s="8" t="str">
        <f t="array" ref="R522">XLOOKUP(E522,Store_Dim!A:A,Store_Dim!B:B,"Not Found")</f>
        <v>East</v>
      </c>
      <c r="S522" s="8" t="str">
        <f t="array" ref="S522">XLOOKUP(E522,Store_Dim!A:A,Store_Dim!D:D,"Not Found")</f>
        <v>Online</v>
      </c>
    </row>
    <row r="523" ht="14.25" customHeight="1">
      <c r="A523" s="8" t="s">
        <v>2476</v>
      </c>
      <c r="B523" s="12">
        <v>46001.0</v>
      </c>
      <c r="C523" s="8" t="s">
        <v>1182</v>
      </c>
      <c r="D523" s="8" t="s">
        <v>1809</v>
      </c>
      <c r="E523" s="8" t="s">
        <v>1899</v>
      </c>
      <c r="F523" s="8">
        <v>3.0</v>
      </c>
      <c r="G523" s="8">
        <v>780.69</v>
      </c>
      <c r="H523" s="8">
        <v>0.1</v>
      </c>
      <c r="I523" s="8">
        <f t="shared" si="1"/>
        <v>2342.07</v>
      </c>
      <c r="J523" s="8">
        <f t="shared" si="2"/>
        <v>-234.107</v>
      </c>
      <c r="K523" s="8" t="str">
        <f t="shared" si="3"/>
        <v>Dec</v>
      </c>
      <c r="L523" s="8">
        <f t="shared" si="4"/>
        <v>2025</v>
      </c>
      <c r="N523" s="8" t="str">
        <f t="array" ref="N523">XLOOKUP(C523,Customer_Dim!A:A,Customer_Dim!B:B,"Not Found")</f>
        <v>James Orozco</v>
      </c>
      <c r="O523" s="8" t="str">
        <f t="array" ref="O523">XLOOKUP(C523,Customer_Dim!A:A,Customer_Dim!E:E,"Not Found")</f>
        <v>Simpsonfort</v>
      </c>
      <c r="P523" s="8" t="str">
        <f t="array" ref="P523">XLOOKUP(D523,Product_Dim!A:A,Product_Dim!B:B,"Not Found")</f>
        <v>Shin Guards – Adult</v>
      </c>
      <c r="Q523" s="8" t="str">
        <f t="array" ref="Q523">XLOOKUP(D523,Product_Dim!A:A,Product_Dim!C:C,"Not Found")</f>
        <v>Sports</v>
      </c>
      <c r="R523" s="8" t="str">
        <f t="array" ref="R523">XLOOKUP(E523,Store_Dim!A:A,Store_Dim!B:B,"Not Found")</f>
        <v>East</v>
      </c>
      <c r="S523" s="8" t="str">
        <f t="array" ref="S523">XLOOKUP(E523,Store_Dim!A:A,Store_Dim!D:D,"Not Found")</f>
        <v>Flagship</v>
      </c>
    </row>
    <row r="524" ht="14.25" customHeight="1">
      <c r="A524" s="8" t="s">
        <v>2477</v>
      </c>
      <c r="B524" s="12">
        <v>46002.0</v>
      </c>
      <c r="C524" s="8" t="s">
        <v>848</v>
      </c>
      <c r="D524" s="8" t="s">
        <v>1713</v>
      </c>
      <c r="E524" s="8" t="s">
        <v>1906</v>
      </c>
      <c r="F524" s="8">
        <v>2.0</v>
      </c>
      <c r="G524" s="8">
        <v>42.97</v>
      </c>
      <c r="H524" s="8">
        <v>0.18</v>
      </c>
      <c r="I524" s="8">
        <f t="shared" si="1"/>
        <v>85.94</v>
      </c>
      <c r="J524" s="8">
        <f t="shared" si="2"/>
        <v>-15.2892</v>
      </c>
      <c r="K524" s="8" t="str">
        <f t="shared" si="3"/>
        <v>Dec</v>
      </c>
      <c r="L524" s="8">
        <f t="shared" si="4"/>
        <v>2025</v>
      </c>
      <c r="N524" s="8" t="str">
        <f t="array" ref="N524">XLOOKUP(C524,Customer_Dim!A:A,Customer_Dim!B:B,"Not Found")</f>
        <v>Carol Bishop</v>
      </c>
      <c r="O524" s="8" t="str">
        <f t="array" ref="O524">XLOOKUP(C524,Customer_Dim!A:A,Customer_Dim!E:E,"Not Found")</f>
        <v>Lake Saramouth</v>
      </c>
      <c r="P524" s="8" t="str">
        <f t="array" ref="P524">XLOOKUP(D524,Product_Dim!A:A,Product_Dim!B:B,"Not Found")</f>
        <v>Smart Home WiFi Camera</v>
      </c>
      <c r="Q524" s="8" t="str">
        <f t="array" ref="Q524">XLOOKUP(D524,Product_Dim!A:A,Product_Dim!C:C,"Not Found")</f>
        <v>Electronics</v>
      </c>
      <c r="R524" s="8" t="str">
        <f t="array" ref="R524">XLOOKUP(E524,Store_Dim!A:A,Store_Dim!B:B,"Not Found")</f>
        <v>South</v>
      </c>
      <c r="S524" s="8" t="str">
        <f t="array" ref="S524">XLOOKUP(E524,Store_Dim!A:A,Store_Dim!D:D,"Not Found")</f>
        <v>Outlet</v>
      </c>
    </row>
    <row r="525" ht="14.25" customHeight="1">
      <c r="A525" s="8" t="s">
        <v>2478</v>
      </c>
      <c r="B525" s="12">
        <v>46003.0</v>
      </c>
      <c r="C525" s="8" t="s">
        <v>923</v>
      </c>
      <c r="D525" s="8" t="s">
        <v>1836</v>
      </c>
      <c r="E525" s="8" t="s">
        <v>1899</v>
      </c>
      <c r="F525" s="8">
        <v>4.0</v>
      </c>
      <c r="G525" s="8">
        <v>854.37</v>
      </c>
      <c r="H525" s="8">
        <v>0.07</v>
      </c>
      <c r="I525" s="8">
        <f t="shared" si="1"/>
        <v>3417.48</v>
      </c>
      <c r="J525" s="8">
        <f t="shared" si="2"/>
        <v>-239.1536</v>
      </c>
      <c r="K525" s="8" t="str">
        <f t="shared" si="3"/>
        <v>Dec</v>
      </c>
      <c r="L525" s="8">
        <f t="shared" si="4"/>
        <v>2025</v>
      </c>
      <c r="N525" s="8" t="str">
        <f t="array" ref="N525">XLOOKUP(C525,Customer_Dim!A:A,Customer_Dim!B:B,"Not Found")</f>
        <v>Tommy Roberts</v>
      </c>
      <c r="O525" s="8" t="str">
        <f t="array" ref="O525">XLOOKUP(C525,Customer_Dim!A:A,Customer_Dim!E:E,"Not Found")</f>
        <v>Port Tonyfort</v>
      </c>
      <c r="P525" s="8" t="str">
        <f t="array" ref="P525">XLOOKUP(D525,Product_Dim!A:A,Product_Dim!B:B,"Not Found")</f>
        <v>Fitness Resistance Bands</v>
      </c>
      <c r="Q525" s="8" t="str">
        <f t="array" ref="Q525">XLOOKUP(D525,Product_Dim!A:A,Product_Dim!C:C,"Not Found")</f>
        <v>Sports</v>
      </c>
      <c r="R525" s="8" t="str">
        <f t="array" ref="R525">XLOOKUP(E525,Store_Dim!A:A,Store_Dim!B:B,"Not Found")</f>
        <v>East</v>
      </c>
      <c r="S525" s="8" t="str">
        <f t="array" ref="S525">XLOOKUP(E525,Store_Dim!A:A,Store_Dim!D:D,"Not Found")</f>
        <v>Flagship</v>
      </c>
    </row>
    <row r="526" ht="14.25" customHeight="1">
      <c r="A526" s="8" t="s">
        <v>2479</v>
      </c>
      <c r="B526" s="12">
        <v>46004.0</v>
      </c>
      <c r="C526" s="8" t="s">
        <v>366</v>
      </c>
      <c r="D526" s="8" t="s">
        <v>1655</v>
      </c>
      <c r="E526" s="8" t="s">
        <v>1935</v>
      </c>
      <c r="F526" s="8">
        <v>2.0</v>
      </c>
      <c r="G526" s="8">
        <v>409.52</v>
      </c>
      <c r="H526" s="8">
        <v>0.06</v>
      </c>
      <c r="I526" s="8">
        <f t="shared" si="1"/>
        <v>819.04</v>
      </c>
      <c r="J526" s="8">
        <f t="shared" si="2"/>
        <v>-49.0824</v>
      </c>
      <c r="K526" s="8" t="str">
        <f t="shared" si="3"/>
        <v>Dec</v>
      </c>
      <c r="L526" s="8">
        <f t="shared" si="4"/>
        <v>2025</v>
      </c>
      <c r="N526" s="8" t="str">
        <f t="array" ref="N526">XLOOKUP(C526,Customer_Dim!A:A,Customer_Dim!B:B,"Not Found")</f>
        <v>Diane Watson</v>
      </c>
      <c r="O526" s="8" t="str">
        <f t="array" ref="O526">XLOOKUP(C526,Customer_Dim!A:A,Customer_Dim!E:E,"Not Found")</f>
        <v>North Codyport</v>
      </c>
      <c r="P526" s="8" t="str">
        <f t="array" ref="P526">XLOOKUP(D526,Product_Dim!A:A,Product_Dim!B:B,"Not Found")</f>
        <v>Foldable Camping Chair</v>
      </c>
      <c r="Q526" s="8" t="str">
        <f t="array" ref="Q526">XLOOKUP(D526,Product_Dim!A:A,Product_Dim!C:C,"Not Found")</f>
        <v>Sports</v>
      </c>
      <c r="R526" s="8" t="str">
        <f t="array" ref="R526">XLOOKUP(E526,Store_Dim!A:A,Store_Dim!B:B,"Not Found")</f>
        <v>West</v>
      </c>
      <c r="S526" s="8" t="str">
        <f t="array" ref="S526">XLOOKUP(E526,Store_Dim!A:A,Store_Dim!D:D,"Not Found")</f>
        <v>Flagship</v>
      </c>
    </row>
    <row r="527" ht="14.25" customHeight="1">
      <c r="A527" s="8" t="s">
        <v>2480</v>
      </c>
      <c r="B527" s="12">
        <v>46005.0</v>
      </c>
      <c r="C527" s="8" t="s">
        <v>559</v>
      </c>
      <c r="D527" s="8" t="s">
        <v>1812</v>
      </c>
      <c r="E527" s="8" t="s">
        <v>1926</v>
      </c>
      <c r="F527" s="8">
        <v>2.0</v>
      </c>
      <c r="G527" s="8">
        <v>407.46</v>
      </c>
      <c r="H527" s="8">
        <v>0.21</v>
      </c>
      <c r="I527" s="8">
        <f t="shared" si="1"/>
        <v>814.92</v>
      </c>
      <c r="J527" s="8">
        <f t="shared" si="2"/>
        <v>-170.9232</v>
      </c>
      <c r="K527" s="8" t="str">
        <f t="shared" si="3"/>
        <v>Dec</v>
      </c>
      <c r="L527" s="8">
        <f t="shared" si="4"/>
        <v>2025</v>
      </c>
      <c r="N527" s="8" t="str">
        <f t="array" ref="N527">XLOOKUP(C527,Customer_Dim!A:A,Customer_Dim!B:B,"Not Found")</f>
        <v>Daniel Rivas</v>
      </c>
      <c r="O527" s="8" t="str">
        <f t="array" ref="O527">XLOOKUP(C527,Customer_Dim!A:A,Customer_Dim!E:E,"Not Found")</f>
        <v>Dominiquefort</v>
      </c>
      <c r="P527" s="8" t="str">
        <f t="array" ref="P527">XLOOKUP(D527,Product_Dim!A:A,Product_Dim!B:B,"Not Found")</f>
        <v>Bluetooth Car Audio System</v>
      </c>
      <c r="Q527" s="8" t="str">
        <f t="array" ref="Q527">XLOOKUP(D527,Product_Dim!A:A,Product_Dim!C:C,"Not Found")</f>
        <v>Electronics</v>
      </c>
      <c r="R527" s="8" t="str">
        <f t="array" ref="R527">XLOOKUP(E527,Store_Dim!A:A,Store_Dim!B:B,"Not Found")</f>
        <v>East</v>
      </c>
      <c r="S527" s="8" t="str">
        <f t="array" ref="S527">XLOOKUP(E527,Store_Dim!A:A,Store_Dim!D:D,"Not Found")</f>
        <v>Online</v>
      </c>
    </row>
    <row r="528" ht="14.25" customHeight="1">
      <c r="A528" s="8" t="s">
        <v>2481</v>
      </c>
      <c r="B528" s="12">
        <v>46006.0</v>
      </c>
      <c r="C528" s="8" t="s">
        <v>750</v>
      </c>
      <c r="D528" s="8" t="s">
        <v>1579</v>
      </c>
      <c r="E528" s="8" t="s">
        <v>1921</v>
      </c>
      <c r="F528" s="8">
        <v>1.0</v>
      </c>
      <c r="G528" s="8">
        <v>728.84</v>
      </c>
      <c r="H528" s="8">
        <v>0.28</v>
      </c>
      <c r="I528" s="8">
        <f t="shared" si="1"/>
        <v>728.84</v>
      </c>
      <c r="J528" s="8">
        <f t="shared" si="2"/>
        <v>-203.7952</v>
      </c>
      <c r="K528" s="8" t="str">
        <f t="shared" si="3"/>
        <v>Dec</v>
      </c>
      <c r="L528" s="8">
        <f t="shared" si="4"/>
        <v>2025</v>
      </c>
      <c r="N528" s="8" t="str">
        <f t="array" ref="N528">XLOOKUP(C528,Customer_Dim!A:A,Customer_Dim!B:B,"Not Found")</f>
        <v>Casey Flores</v>
      </c>
      <c r="O528" s="8" t="str">
        <f t="array" ref="O528">XLOOKUP(C528,Customer_Dim!A:A,Customer_Dim!E:E,"Not Found")</f>
        <v>Lake Michael</v>
      </c>
      <c r="P528" s="8" t="str">
        <f t="array" ref="P528">XLOOKUP(D528,Product_Dim!A:A,Product_Dim!B:B,"Not Found")</f>
        <v>Women's Yoga Pants</v>
      </c>
      <c r="Q528" s="8" t="str">
        <f t="array" ref="Q528">XLOOKUP(D528,Product_Dim!A:A,Product_Dim!C:C,"Not Found")</f>
        <v>Clothing</v>
      </c>
      <c r="R528" s="8" t="str">
        <f t="array" ref="R528">XLOOKUP(E528,Store_Dim!A:A,Store_Dim!B:B,"Not Found")</f>
        <v>West</v>
      </c>
      <c r="S528" s="8" t="str">
        <f t="array" ref="S528">XLOOKUP(E528,Store_Dim!A:A,Store_Dim!D:D,"Not Found")</f>
        <v>Online</v>
      </c>
    </row>
    <row r="529" ht="14.25" customHeight="1">
      <c r="A529" s="8" t="s">
        <v>2482</v>
      </c>
      <c r="B529" s="12">
        <v>46007.0</v>
      </c>
      <c r="C529" s="8" t="s">
        <v>1416</v>
      </c>
      <c r="D529" s="8" t="s">
        <v>1824</v>
      </c>
      <c r="E529" s="8" t="s">
        <v>1917</v>
      </c>
      <c r="F529" s="8">
        <v>4.0</v>
      </c>
      <c r="G529" s="8">
        <v>467.24</v>
      </c>
      <c r="H529" s="8">
        <v>0.08</v>
      </c>
      <c r="I529" s="8">
        <f t="shared" si="1"/>
        <v>1868.96</v>
      </c>
      <c r="J529" s="8">
        <f t="shared" si="2"/>
        <v>-149.4368</v>
      </c>
      <c r="K529" s="8" t="str">
        <f t="shared" si="3"/>
        <v>Dec</v>
      </c>
      <c r="L529" s="8">
        <f t="shared" si="4"/>
        <v>2025</v>
      </c>
      <c r="N529" s="8" t="str">
        <f t="array" ref="N529">XLOOKUP(C529,Customer_Dim!A:A,Customer_Dim!B:B,"Not Found")</f>
        <v>April Phillips</v>
      </c>
      <c r="O529" s="8" t="str">
        <f t="array" ref="O529">XLOOKUP(C529,Customer_Dim!A:A,Customer_Dim!E:E,"Not Found")</f>
        <v>Lake Carolyn</v>
      </c>
      <c r="P529" s="8" t="str">
        <f t="array" ref="P529">XLOOKUP(D529,Product_Dim!A:A,Product_Dim!B:B,"Not Found")</f>
        <v>Essential Oil Diffuser</v>
      </c>
      <c r="Q529" s="8" t="str">
        <f t="array" ref="Q529">XLOOKUP(D529,Product_Dim!A:A,Product_Dim!C:C,"Not Found")</f>
        <v>Home</v>
      </c>
      <c r="R529" s="8" t="str">
        <f t="array" ref="R529">XLOOKUP(E529,Store_Dim!A:A,Store_Dim!B:B,"Not Found")</f>
        <v>East</v>
      </c>
      <c r="S529" s="8" t="str">
        <f t="array" ref="S529">XLOOKUP(E529,Store_Dim!A:A,Store_Dim!D:D,"Not Found")</f>
        <v>Online</v>
      </c>
    </row>
    <row r="530" ht="14.25" customHeight="1">
      <c r="A530" s="8" t="s">
        <v>2483</v>
      </c>
      <c r="B530" s="12">
        <v>46008.0</v>
      </c>
      <c r="C530" s="8" t="s">
        <v>342</v>
      </c>
      <c r="D530" s="8" t="s">
        <v>1606</v>
      </c>
      <c r="E530" s="8" t="s">
        <v>1928</v>
      </c>
      <c r="F530" s="8">
        <v>1.0</v>
      </c>
      <c r="G530" s="8">
        <v>57.94</v>
      </c>
      <c r="H530" s="8">
        <v>0.13</v>
      </c>
      <c r="I530" s="8">
        <f t="shared" si="1"/>
        <v>57.94</v>
      </c>
      <c r="J530" s="8">
        <f t="shared" si="2"/>
        <v>-7.4022</v>
      </c>
      <c r="K530" s="8" t="str">
        <f t="shared" si="3"/>
        <v>Dec</v>
      </c>
      <c r="L530" s="8">
        <f t="shared" si="4"/>
        <v>2025</v>
      </c>
      <c r="N530" s="8" t="str">
        <f t="array" ref="N530">XLOOKUP(C530,Customer_Dim!A:A,Customer_Dim!B:B,"Not Found")</f>
        <v>Robert Jackson</v>
      </c>
      <c r="O530" s="8" t="str">
        <f t="array" ref="O530">XLOOKUP(C530,Customer_Dim!A:A,Customer_Dim!E:E,"Not Found")</f>
        <v>Lake Brandy</v>
      </c>
      <c r="P530" s="8" t="str">
        <f t="array" ref="P530">XLOOKUP(D530,Product_Dim!A:A,Product_Dim!B:B,"Not Found")</f>
        <v>Ceramic Kitchen Bowl Set</v>
      </c>
      <c r="Q530" s="8" t="str">
        <f t="array" ref="Q530">XLOOKUP(D530,Product_Dim!A:A,Product_Dim!C:C,"Not Found")</f>
        <v>Home</v>
      </c>
      <c r="R530" s="8" t="str">
        <f t="array" ref="R530">XLOOKUP(E530,Store_Dim!A:A,Store_Dim!B:B,"Not Found")</f>
        <v>South</v>
      </c>
      <c r="S530" s="8" t="str">
        <f t="array" ref="S530">XLOOKUP(E530,Store_Dim!A:A,Store_Dim!D:D,"Not Found")</f>
        <v>Online</v>
      </c>
    </row>
    <row r="531" ht="14.25" customHeight="1">
      <c r="A531" s="8" t="s">
        <v>2484</v>
      </c>
      <c r="B531" s="12">
        <v>46009.0</v>
      </c>
      <c r="C531" s="8" t="s">
        <v>1095</v>
      </c>
      <c r="D531" s="8" t="s">
        <v>1735</v>
      </c>
      <c r="E531" s="8" t="s">
        <v>1937</v>
      </c>
      <c r="F531" s="8">
        <v>1.0</v>
      </c>
      <c r="G531" s="8">
        <v>540.1</v>
      </c>
      <c r="H531" s="8">
        <v>0.22</v>
      </c>
      <c r="I531" s="8">
        <f t="shared" si="1"/>
        <v>540.1</v>
      </c>
      <c r="J531" s="8">
        <f t="shared" si="2"/>
        <v>-118.602</v>
      </c>
      <c r="K531" s="8" t="str">
        <f t="shared" si="3"/>
        <v>Dec</v>
      </c>
      <c r="L531" s="8">
        <f t="shared" si="4"/>
        <v>2025</v>
      </c>
      <c r="N531" s="8" t="str">
        <f t="array" ref="N531">XLOOKUP(C531,Customer_Dim!A:A,Customer_Dim!B:B,"Not Found")</f>
        <v>Evelyn Brown</v>
      </c>
      <c r="O531" s="8" t="str">
        <f t="array" ref="O531">XLOOKUP(C531,Customer_Dim!A:A,Customer_Dim!E:E,"Not Found")</f>
        <v>West Victoriaborough</v>
      </c>
      <c r="P531" s="8" t="str">
        <f t="array" ref="P531">XLOOKUP(D531,Product_Dim!A:A,Product_Dim!B:B,"Not Found")</f>
        <v>Men's Roll-On Perfume</v>
      </c>
      <c r="Q531" s="8" t="str">
        <f t="array" ref="Q531">XLOOKUP(D531,Product_Dim!A:A,Product_Dim!C:C,"Not Found")</f>
        <v>Beauty</v>
      </c>
      <c r="R531" s="8" t="str">
        <f t="array" ref="R531">XLOOKUP(E531,Store_Dim!A:A,Store_Dim!B:B,"Not Found")</f>
        <v>North</v>
      </c>
      <c r="S531" s="8" t="str">
        <f t="array" ref="S531">XLOOKUP(E531,Store_Dim!A:A,Store_Dim!D:D,"Not Found")</f>
        <v>Flagship</v>
      </c>
    </row>
    <row r="532" ht="14.25" customHeight="1">
      <c r="A532" s="8" t="s">
        <v>2485</v>
      </c>
      <c r="B532" s="12">
        <v>46010.0</v>
      </c>
      <c r="C532" s="8" t="s">
        <v>291</v>
      </c>
      <c r="D532" s="8" t="s">
        <v>1597</v>
      </c>
      <c r="E532" s="8" t="s">
        <v>1941</v>
      </c>
      <c r="F532" s="8">
        <v>4.0</v>
      </c>
      <c r="G532" s="8">
        <v>816.28</v>
      </c>
      <c r="H532" s="8">
        <v>0.15</v>
      </c>
      <c r="I532" s="8">
        <f t="shared" si="1"/>
        <v>3265.12</v>
      </c>
      <c r="J532" s="8">
        <f t="shared" si="2"/>
        <v>-489.618</v>
      </c>
      <c r="K532" s="8" t="str">
        <f t="shared" si="3"/>
        <v>Dec</v>
      </c>
      <c r="L532" s="8">
        <f t="shared" si="4"/>
        <v>2025</v>
      </c>
      <c r="N532" s="8" t="str">
        <f t="array" ref="N532">XLOOKUP(C532,Customer_Dim!A:A,Customer_Dim!B:B,"Not Found")</f>
        <v>Katherine Young</v>
      </c>
      <c r="O532" s="8" t="str">
        <f t="array" ref="O532">XLOOKUP(C532,Customer_Dim!A:A,Customer_Dim!E:E,"Not Found")</f>
        <v>North Valeriemouth</v>
      </c>
      <c r="P532" s="8" t="str">
        <f t="array" ref="P532">XLOOKUP(D532,Product_Dim!A:A,Product_Dim!B:B,"Not Found")</f>
        <v>Wireless Bluetooth Earbuds</v>
      </c>
      <c r="Q532" s="8" t="str">
        <f t="array" ref="Q532">XLOOKUP(D532,Product_Dim!A:A,Product_Dim!C:C,"Not Found")</f>
        <v>Electronics</v>
      </c>
      <c r="R532" s="8" t="str">
        <f t="array" ref="R532">XLOOKUP(E532,Store_Dim!A:A,Store_Dim!B:B,"Not Found")</f>
        <v>East</v>
      </c>
      <c r="S532" s="8" t="str">
        <f t="array" ref="S532">XLOOKUP(E532,Store_Dim!A:A,Store_Dim!D:D,"Not Found")</f>
        <v>Online</v>
      </c>
    </row>
    <row r="533" ht="14.25" customHeight="1">
      <c r="A533" s="8" t="s">
        <v>2486</v>
      </c>
      <c r="B533" s="12">
        <v>46011.0</v>
      </c>
      <c r="C533" s="8" t="s">
        <v>601</v>
      </c>
      <c r="D533" s="8" t="s">
        <v>1713</v>
      </c>
      <c r="E533" s="8" t="s">
        <v>1921</v>
      </c>
      <c r="F533" s="8">
        <v>4.0</v>
      </c>
      <c r="G533" s="8">
        <v>727.49</v>
      </c>
      <c r="H533" s="8">
        <v>0.11</v>
      </c>
      <c r="I533" s="8">
        <f t="shared" si="1"/>
        <v>2909.96</v>
      </c>
      <c r="J533" s="8">
        <f t="shared" si="2"/>
        <v>-319.9856</v>
      </c>
      <c r="K533" s="8" t="str">
        <f t="shared" si="3"/>
        <v>Dec</v>
      </c>
      <c r="L533" s="8">
        <f t="shared" si="4"/>
        <v>2025</v>
      </c>
      <c r="N533" s="8" t="str">
        <f t="array" ref="N533">XLOOKUP(C533,Customer_Dim!A:A,Customer_Dim!B:B,"Not Found")</f>
        <v>Michelle Myers</v>
      </c>
      <c r="O533" s="8" t="str">
        <f t="array" ref="O533">XLOOKUP(C533,Customer_Dim!A:A,Customer_Dim!E:E,"Not Found")</f>
        <v>West Daniel</v>
      </c>
      <c r="P533" s="8" t="str">
        <f t="array" ref="P533">XLOOKUP(D533,Product_Dim!A:A,Product_Dim!B:B,"Not Found")</f>
        <v>Smart Home WiFi Camera</v>
      </c>
      <c r="Q533" s="8" t="str">
        <f t="array" ref="Q533">XLOOKUP(D533,Product_Dim!A:A,Product_Dim!C:C,"Not Found")</f>
        <v>Electronics</v>
      </c>
      <c r="R533" s="8" t="str">
        <f t="array" ref="R533">XLOOKUP(E533,Store_Dim!A:A,Store_Dim!B:B,"Not Found")</f>
        <v>West</v>
      </c>
      <c r="S533" s="8" t="str">
        <f t="array" ref="S533">XLOOKUP(E533,Store_Dim!A:A,Store_Dim!D:D,"Not Found")</f>
        <v>Online</v>
      </c>
    </row>
    <row r="534" ht="14.25" customHeight="1">
      <c r="A534" s="8" t="s">
        <v>2487</v>
      </c>
      <c r="B534" s="12">
        <v>46012.0</v>
      </c>
      <c r="C534" s="8" t="s">
        <v>580</v>
      </c>
      <c r="D534" s="8" t="s">
        <v>1848</v>
      </c>
      <c r="E534" s="8" t="s">
        <v>1931</v>
      </c>
      <c r="F534" s="8">
        <v>4.0</v>
      </c>
      <c r="G534" s="8">
        <v>817.92</v>
      </c>
      <c r="H534" s="8">
        <v>0.21</v>
      </c>
      <c r="I534" s="8">
        <f t="shared" si="1"/>
        <v>3271.68</v>
      </c>
      <c r="J534" s="8">
        <f t="shared" si="2"/>
        <v>-686.8428</v>
      </c>
      <c r="K534" s="8" t="str">
        <f t="shared" si="3"/>
        <v>Dec</v>
      </c>
      <c r="L534" s="8">
        <f t="shared" si="4"/>
        <v>2025</v>
      </c>
      <c r="N534" s="8" t="str">
        <f t="array" ref="N534">XLOOKUP(C534,Customer_Dim!A:A,Customer_Dim!B:B,"Not Found")</f>
        <v>Amy Wilson</v>
      </c>
      <c r="O534" s="8" t="str">
        <f t="array" ref="O534">XLOOKUP(C534,Customer_Dim!A:A,Customer_Dim!E:E,"Not Found")</f>
        <v>Morrisburgh</v>
      </c>
      <c r="P534" s="8" t="str">
        <f t="array" ref="P534">XLOOKUP(D534,Product_Dim!A:A,Product_Dim!B:B,"Not Found")</f>
        <v>Kitchen Cutting Board</v>
      </c>
      <c r="Q534" s="8" t="str">
        <f t="array" ref="Q534">XLOOKUP(D534,Product_Dim!A:A,Product_Dim!C:C,"Not Found")</f>
        <v>Home</v>
      </c>
      <c r="R534" s="8" t="str">
        <f t="array" ref="R534">XLOOKUP(E534,Store_Dim!A:A,Store_Dim!B:B,"Not Found")</f>
        <v>East</v>
      </c>
      <c r="S534" s="8" t="str">
        <f t="array" ref="S534">XLOOKUP(E534,Store_Dim!A:A,Store_Dim!D:D,"Not Found")</f>
        <v>Flagship</v>
      </c>
    </row>
    <row r="535" ht="14.25" customHeight="1">
      <c r="A535" s="8" t="s">
        <v>2488</v>
      </c>
      <c r="B535" s="12">
        <v>46013.0</v>
      </c>
      <c r="C535" s="8" t="s">
        <v>1038</v>
      </c>
      <c r="D535" s="8" t="s">
        <v>1700</v>
      </c>
      <c r="E535" s="8" t="s">
        <v>1919</v>
      </c>
      <c r="F535" s="8">
        <v>2.0</v>
      </c>
      <c r="G535" s="8">
        <v>358.45</v>
      </c>
      <c r="H535" s="8">
        <v>0.07</v>
      </c>
      <c r="I535" s="8">
        <f t="shared" si="1"/>
        <v>716.9</v>
      </c>
      <c r="J535" s="8">
        <f t="shared" si="2"/>
        <v>-50.113</v>
      </c>
      <c r="K535" s="8" t="str">
        <f t="shared" si="3"/>
        <v>Dec</v>
      </c>
      <c r="L535" s="8">
        <f t="shared" si="4"/>
        <v>2025</v>
      </c>
      <c r="N535" s="8" t="str">
        <f t="array" ref="N535">XLOOKUP(C535,Customer_Dim!A:A,Customer_Dim!B:B,"Not Found")</f>
        <v>Andrew Smith</v>
      </c>
      <c r="O535" s="8" t="str">
        <f t="array" ref="O535">XLOOKUP(C535,Customer_Dim!A:A,Customer_Dim!E:E,"Not Found")</f>
        <v>East Matthew</v>
      </c>
      <c r="P535" s="8" t="str">
        <f t="array" ref="P535">XLOOKUP(D535,Product_Dim!A:A,Product_Dim!B:B,"Not Found")</f>
        <v>Sports Water Hydration Pack</v>
      </c>
      <c r="Q535" s="8" t="str">
        <f t="array" ref="Q535">XLOOKUP(D535,Product_Dim!A:A,Product_Dim!C:C,"Not Found")</f>
        <v>Sports</v>
      </c>
      <c r="R535" s="8" t="str">
        <f t="array" ref="R535">XLOOKUP(E535,Store_Dim!A:A,Store_Dim!B:B,"Not Found")</f>
        <v>South</v>
      </c>
      <c r="S535" s="8" t="str">
        <f t="array" ref="S535">XLOOKUP(E535,Store_Dim!A:A,Store_Dim!D:D,"Not Found")</f>
        <v>Online</v>
      </c>
    </row>
    <row r="536" ht="14.25" customHeight="1">
      <c r="A536" s="8" t="s">
        <v>2489</v>
      </c>
      <c r="B536" s="12">
        <v>46014.0</v>
      </c>
      <c r="C536" s="8" t="s">
        <v>669</v>
      </c>
      <c r="D536" s="8" t="s">
        <v>1851</v>
      </c>
      <c r="E536" s="8" t="s">
        <v>1924</v>
      </c>
      <c r="F536" s="8">
        <v>1.0</v>
      </c>
      <c r="G536" s="8">
        <v>972.06</v>
      </c>
      <c r="H536" s="8">
        <v>0.3</v>
      </c>
      <c r="I536" s="8">
        <f t="shared" si="1"/>
        <v>972.06</v>
      </c>
      <c r="J536" s="8">
        <f t="shared" si="2"/>
        <v>-291.318</v>
      </c>
      <c r="K536" s="8" t="str">
        <f t="shared" si="3"/>
        <v>Dec</v>
      </c>
      <c r="L536" s="8">
        <f t="shared" si="4"/>
        <v>2025</v>
      </c>
      <c r="N536" s="8" t="str">
        <f t="array" ref="N536">XLOOKUP(C536,Customer_Dim!A:A,Customer_Dim!B:B,"Not Found")</f>
        <v>Mary Boyd</v>
      </c>
      <c r="O536" s="8" t="str">
        <f t="array" ref="O536">XLOOKUP(C536,Customer_Dim!A:A,Customer_Dim!E:E,"Not Found")</f>
        <v>New Logan</v>
      </c>
      <c r="P536" s="8" t="str">
        <f t="array" ref="P536">XLOOKUP(D536,Product_Dim!A:A,Product_Dim!B:B,"Not Found")</f>
        <v>LED Bedside Lamp</v>
      </c>
      <c r="Q536" s="8" t="str">
        <f t="array" ref="Q536">XLOOKUP(D536,Product_Dim!A:A,Product_Dim!C:C,"Not Found")</f>
        <v>Home</v>
      </c>
      <c r="R536" s="8" t="str">
        <f t="array" ref="R536">XLOOKUP(E536,Store_Dim!A:A,Store_Dim!B:B,"Not Found")</f>
        <v>South</v>
      </c>
      <c r="S536" s="8" t="str">
        <f t="array" ref="S536">XLOOKUP(E536,Store_Dim!A:A,Store_Dim!D:D,"Not Found")</f>
        <v>Flagship</v>
      </c>
    </row>
    <row r="537" ht="14.25" customHeight="1">
      <c r="A537" s="8" t="s">
        <v>2490</v>
      </c>
      <c r="B537" s="12">
        <v>46015.0</v>
      </c>
      <c r="C537" s="8" t="s">
        <v>140</v>
      </c>
      <c r="D537" s="8" t="s">
        <v>1989</v>
      </c>
      <c r="E537" s="8" t="s">
        <v>1899</v>
      </c>
      <c r="F537" s="8">
        <v>1.0</v>
      </c>
      <c r="G537" s="8">
        <v>791.36</v>
      </c>
      <c r="H537" s="8">
        <v>0.06</v>
      </c>
      <c r="I537" s="8">
        <f t="shared" si="1"/>
        <v>791.36</v>
      </c>
      <c r="J537" s="8">
        <f t="shared" si="2"/>
        <v>-47.4216</v>
      </c>
      <c r="K537" s="8" t="str">
        <f t="shared" si="3"/>
        <v>Dec</v>
      </c>
      <c r="L537" s="8">
        <f t="shared" si="4"/>
        <v>2025</v>
      </c>
      <c r="N537" s="8" t="str">
        <f t="array" ref="N537">XLOOKUP(C537,Customer_Dim!A:A,Customer_Dim!B:B,"Not Found")</f>
        <v>Mike Jennings</v>
      </c>
      <c r="O537" s="8" t="str">
        <f t="array" ref="O537">XLOOKUP(C537,Customer_Dim!A:A,Customer_Dim!E:E,"Not Found")</f>
        <v>Fostermouth</v>
      </c>
      <c r="P537" s="8" t="str">
        <f t="array" ref="P537">XLOOKUP(D537,Product_Dim!A:A,Product_Dim!B:B,"Not Found")</f>
        <v>Not Found</v>
      </c>
      <c r="Q537" s="8" t="str">
        <f t="array" ref="Q537">XLOOKUP(D537,Product_Dim!A:A,Product_Dim!C:C,"Not Found")</f>
        <v>Not Found</v>
      </c>
      <c r="R537" s="8" t="str">
        <f t="array" ref="R537">XLOOKUP(E537,Store_Dim!A:A,Store_Dim!B:B,"Not Found")</f>
        <v>East</v>
      </c>
      <c r="S537" s="8" t="str">
        <f t="array" ref="S537">XLOOKUP(E537,Store_Dim!A:A,Store_Dim!D:D,"Not Found")</f>
        <v>Flagship</v>
      </c>
    </row>
    <row r="538" ht="14.25" customHeight="1">
      <c r="A538" s="8" t="s">
        <v>2491</v>
      </c>
      <c r="B538" s="12">
        <v>46016.0</v>
      </c>
      <c r="C538" s="8" t="s">
        <v>1005</v>
      </c>
      <c r="D538" s="8" t="s">
        <v>1781</v>
      </c>
      <c r="E538" s="8" t="s">
        <v>1915</v>
      </c>
      <c r="F538" s="8">
        <v>4.0</v>
      </c>
      <c r="G538" s="8">
        <v>839.65</v>
      </c>
      <c r="H538" s="8">
        <v>0.26</v>
      </c>
      <c r="I538" s="8">
        <f t="shared" si="1"/>
        <v>3358.6</v>
      </c>
      <c r="J538" s="8">
        <f t="shared" si="2"/>
        <v>-872.976</v>
      </c>
      <c r="K538" s="8" t="str">
        <f t="shared" si="3"/>
        <v>Dec</v>
      </c>
      <c r="L538" s="8">
        <f t="shared" si="4"/>
        <v>2025</v>
      </c>
      <c r="N538" s="8" t="str">
        <f t="array" ref="N538">XLOOKUP(C538,Customer_Dim!A:A,Customer_Dim!B:B,"Not Found")</f>
        <v>Elizabeth Johnson</v>
      </c>
      <c r="O538" s="8" t="str">
        <f t="array" ref="O538">XLOOKUP(C538,Customer_Dim!A:A,Customer_Dim!E:E,"Not Found")</f>
        <v>Anitaland</v>
      </c>
      <c r="P538" s="8" t="str">
        <f t="array" ref="P538">XLOOKUP(D538,Product_Dim!A:A,Product_Dim!B:B,"Not Found")</f>
        <v>Matte Lipstick Set</v>
      </c>
      <c r="Q538" s="8" t="str">
        <f t="array" ref="Q538">XLOOKUP(D538,Product_Dim!A:A,Product_Dim!C:C,"Not Found")</f>
        <v>Beauty</v>
      </c>
      <c r="R538" s="8" t="str">
        <f t="array" ref="R538">XLOOKUP(E538,Store_Dim!A:A,Store_Dim!B:B,"Not Found")</f>
        <v>North</v>
      </c>
      <c r="S538" s="8" t="str">
        <f t="array" ref="S538">XLOOKUP(E538,Store_Dim!A:A,Store_Dim!D:D,"Not Found")</f>
        <v>Outlet</v>
      </c>
    </row>
    <row r="539" ht="14.25" customHeight="1">
      <c r="A539" s="8" t="s">
        <v>2492</v>
      </c>
      <c r="B539" s="12">
        <v>46017.0</v>
      </c>
      <c r="C539" s="8" t="s">
        <v>830</v>
      </c>
      <c r="D539" s="8" t="s">
        <v>1806</v>
      </c>
      <c r="E539" s="8" t="s">
        <v>1906</v>
      </c>
      <c r="F539" s="8">
        <v>2.0</v>
      </c>
      <c r="G539" s="8">
        <v>245.52</v>
      </c>
      <c r="H539" s="8">
        <v>0.11</v>
      </c>
      <c r="I539" s="8">
        <f t="shared" si="1"/>
        <v>491.04</v>
      </c>
      <c r="J539" s="8">
        <f t="shared" si="2"/>
        <v>-53.9044</v>
      </c>
      <c r="K539" s="8" t="str">
        <f t="shared" si="3"/>
        <v>Dec</v>
      </c>
      <c r="L539" s="8">
        <f t="shared" si="4"/>
        <v>2025</v>
      </c>
      <c r="N539" s="8" t="str">
        <f t="array" ref="N539">XLOOKUP(C539,Customer_Dim!A:A,Customer_Dim!B:B,"Not Found")</f>
        <v>Damon Perez</v>
      </c>
      <c r="O539" s="8" t="str">
        <f t="array" ref="O539">XLOOKUP(C539,Customer_Dim!A:A,Customer_Dim!E:E,"Not Found")</f>
        <v>Jasonton</v>
      </c>
      <c r="P539" s="8" t="str">
        <f t="array" ref="P539">XLOOKUP(D539,Product_Dim!A:A,Product_Dim!B:B,"Not Found")</f>
        <v>Professional Jump Rope</v>
      </c>
      <c r="Q539" s="8" t="str">
        <f t="array" ref="Q539">XLOOKUP(D539,Product_Dim!A:A,Product_Dim!C:C,"Not Found")</f>
        <v>Sports</v>
      </c>
      <c r="R539" s="8" t="str">
        <f t="array" ref="R539">XLOOKUP(E539,Store_Dim!A:A,Store_Dim!B:B,"Not Found")</f>
        <v>South</v>
      </c>
      <c r="S539" s="8" t="str">
        <f t="array" ref="S539">XLOOKUP(E539,Store_Dim!A:A,Store_Dim!D:D,"Not Found")</f>
        <v>Outlet</v>
      </c>
    </row>
    <row r="540" ht="14.25" customHeight="1">
      <c r="A540" s="8" t="s">
        <v>2493</v>
      </c>
      <c r="B540" s="12">
        <v>46018.0</v>
      </c>
      <c r="C540" s="8" t="s">
        <v>1227</v>
      </c>
      <c r="D540" s="8" t="s">
        <v>1836</v>
      </c>
      <c r="E540" s="8" t="s">
        <v>1921</v>
      </c>
      <c r="F540" s="8">
        <v>3.0</v>
      </c>
      <c r="G540" s="8">
        <v>787.91</v>
      </c>
      <c r="H540" s="8">
        <v>0.06</v>
      </c>
      <c r="I540" s="8">
        <f t="shared" si="1"/>
        <v>2363.73</v>
      </c>
      <c r="J540" s="8">
        <f t="shared" si="2"/>
        <v>-141.7638</v>
      </c>
      <c r="K540" s="8" t="str">
        <f t="shared" si="3"/>
        <v>Dec</v>
      </c>
      <c r="L540" s="8">
        <f t="shared" si="4"/>
        <v>2025</v>
      </c>
      <c r="N540" s="8" t="str">
        <f t="array" ref="N540">XLOOKUP(C540,Customer_Dim!A:A,Customer_Dim!B:B,"Not Found")</f>
        <v>Timothy Valenzuela</v>
      </c>
      <c r="O540" s="8" t="str">
        <f t="array" ref="O540">XLOOKUP(C540,Customer_Dim!A:A,Customer_Dim!E:E,"Not Found")</f>
        <v>Stevensshire</v>
      </c>
      <c r="P540" s="8" t="str">
        <f t="array" ref="P540">XLOOKUP(D540,Product_Dim!A:A,Product_Dim!B:B,"Not Found")</f>
        <v>Fitness Resistance Bands</v>
      </c>
      <c r="Q540" s="8" t="str">
        <f t="array" ref="Q540">XLOOKUP(D540,Product_Dim!A:A,Product_Dim!C:C,"Not Found")</f>
        <v>Sports</v>
      </c>
      <c r="R540" s="8" t="str">
        <f t="array" ref="R540">XLOOKUP(E540,Store_Dim!A:A,Store_Dim!B:B,"Not Found")</f>
        <v>West</v>
      </c>
      <c r="S540" s="8" t="str">
        <f t="array" ref="S540">XLOOKUP(E540,Store_Dim!A:A,Store_Dim!D:D,"Not Found")</f>
        <v>Online</v>
      </c>
    </row>
    <row r="541" ht="14.25" customHeight="1">
      <c r="A541" s="8" t="s">
        <v>2494</v>
      </c>
      <c r="B541" s="12">
        <v>46019.0</v>
      </c>
      <c r="C541" s="8" t="s">
        <v>212</v>
      </c>
      <c r="D541" s="8" t="s">
        <v>1815</v>
      </c>
      <c r="E541" s="8" t="s">
        <v>1912</v>
      </c>
      <c r="F541" s="8">
        <v>2.0</v>
      </c>
      <c r="G541" s="8">
        <v>709.17</v>
      </c>
      <c r="H541" s="8">
        <v>0.22</v>
      </c>
      <c r="I541" s="8">
        <f t="shared" si="1"/>
        <v>1418.34</v>
      </c>
      <c r="J541" s="8">
        <f t="shared" si="2"/>
        <v>-311.8148</v>
      </c>
      <c r="K541" s="8" t="str">
        <f t="shared" si="3"/>
        <v>Dec</v>
      </c>
      <c r="L541" s="8">
        <f t="shared" si="4"/>
        <v>2025</v>
      </c>
      <c r="N541" s="8" t="str">
        <f t="array" ref="N541">XLOOKUP(C541,Customer_Dim!A:A,Customer_Dim!B:B,"Not Found")</f>
        <v>Sharon Brown</v>
      </c>
      <c r="O541" s="8" t="str">
        <f t="array" ref="O541">XLOOKUP(C541,Customer_Dim!A:A,Customer_Dim!E:E,"Not Found")</f>
        <v>East Andrea</v>
      </c>
      <c r="P541" s="8" t="str">
        <f t="array" ref="P541">XLOOKUP(D541,Product_Dim!A:A,Product_Dim!B:B,"Not Found")</f>
        <v>Women's Ankle Boots</v>
      </c>
      <c r="Q541" s="8" t="str">
        <f t="array" ref="Q541">XLOOKUP(D541,Product_Dim!A:A,Product_Dim!C:C,"Not Found")</f>
        <v>Clothing</v>
      </c>
      <c r="R541" s="8" t="str">
        <f t="array" ref="R541">XLOOKUP(E541,Store_Dim!A:A,Store_Dim!B:B,"Not Found")</f>
        <v>South</v>
      </c>
      <c r="S541" s="8" t="str">
        <f t="array" ref="S541">XLOOKUP(E541,Store_Dim!A:A,Store_Dim!D:D,"Not Found")</f>
        <v>Online</v>
      </c>
    </row>
    <row r="542" ht="14.25" customHeight="1">
      <c r="A542" s="8" t="s">
        <v>2495</v>
      </c>
      <c r="B542" s="12">
        <v>46020.0</v>
      </c>
      <c r="C542" s="8" t="s">
        <v>770</v>
      </c>
      <c r="D542" s="8" t="s">
        <v>1863</v>
      </c>
      <c r="E542" s="8" t="s">
        <v>1919</v>
      </c>
      <c r="F542" s="8">
        <v>2.0</v>
      </c>
      <c r="G542" s="8">
        <v>533.92</v>
      </c>
      <c r="H542" s="8">
        <v>0.13</v>
      </c>
      <c r="I542" s="8">
        <f t="shared" si="1"/>
        <v>1067.84</v>
      </c>
      <c r="J542" s="8">
        <f t="shared" si="2"/>
        <v>-138.6892</v>
      </c>
      <c r="K542" s="8" t="str">
        <f t="shared" si="3"/>
        <v>Dec</v>
      </c>
      <c r="L542" s="8">
        <f t="shared" si="4"/>
        <v>2025</v>
      </c>
      <c r="N542" s="8" t="str">
        <f t="array" ref="N542">XLOOKUP(C542,Customer_Dim!A:A,Customer_Dim!B:B,"Not Found")</f>
        <v>Jon Ortiz</v>
      </c>
      <c r="O542" s="8" t="str">
        <f t="array" ref="O542">XLOOKUP(C542,Customer_Dim!A:A,Customer_Dim!E:E,"Not Found")</f>
        <v>South Angelaport</v>
      </c>
      <c r="P542" s="8" t="str">
        <f t="array" ref="P542">XLOOKUP(D542,Product_Dim!A:A,Product_Dim!B:B,"Not Found")</f>
        <v>Women's High Heels</v>
      </c>
      <c r="Q542" s="8" t="str">
        <f t="array" ref="Q542">XLOOKUP(D542,Product_Dim!A:A,Product_Dim!C:C,"Not Found")</f>
        <v>Clothing</v>
      </c>
      <c r="R542" s="8" t="str">
        <f t="array" ref="R542">XLOOKUP(E542,Store_Dim!A:A,Store_Dim!B:B,"Not Found")</f>
        <v>South</v>
      </c>
      <c r="S542" s="8" t="str">
        <f t="array" ref="S542">XLOOKUP(E542,Store_Dim!A:A,Store_Dim!D:D,"Not Found")</f>
        <v>Online</v>
      </c>
    </row>
    <row r="543" ht="14.25" customHeight="1">
      <c r="A543" s="8" t="s">
        <v>2496</v>
      </c>
      <c r="B543" s="12">
        <v>46021.0</v>
      </c>
      <c r="C543" s="8" t="s">
        <v>1529</v>
      </c>
      <c r="D543" s="8" t="s">
        <v>1713</v>
      </c>
      <c r="E543" s="8" t="s">
        <v>1899</v>
      </c>
      <c r="F543" s="8">
        <v>1.0</v>
      </c>
      <c r="G543" s="8">
        <v>878.84</v>
      </c>
      <c r="H543" s="8">
        <v>0.28</v>
      </c>
      <c r="I543" s="8">
        <f t="shared" si="1"/>
        <v>878.84</v>
      </c>
      <c r="J543" s="8">
        <f t="shared" si="2"/>
        <v>-245.7952</v>
      </c>
      <c r="K543" s="8" t="str">
        <f t="shared" si="3"/>
        <v>Dec</v>
      </c>
      <c r="L543" s="8">
        <f t="shared" si="4"/>
        <v>2025</v>
      </c>
      <c r="N543" s="8" t="str">
        <f t="array" ref="N543">XLOOKUP(C543,Customer_Dim!A:A,Customer_Dim!B:B,"Not Found")</f>
        <v>Darrell Miller</v>
      </c>
      <c r="O543" s="8" t="str">
        <f t="array" ref="O543">XLOOKUP(C543,Customer_Dim!A:A,Customer_Dim!E:E,"Not Found")</f>
        <v>Port Carol</v>
      </c>
      <c r="P543" s="8" t="str">
        <f t="array" ref="P543">XLOOKUP(D543,Product_Dim!A:A,Product_Dim!B:B,"Not Found")</f>
        <v>Smart Home WiFi Camera</v>
      </c>
      <c r="Q543" s="8" t="str">
        <f t="array" ref="Q543">XLOOKUP(D543,Product_Dim!A:A,Product_Dim!C:C,"Not Found")</f>
        <v>Electronics</v>
      </c>
      <c r="R543" s="8" t="str">
        <f t="array" ref="R543">XLOOKUP(E543,Store_Dim!A:A,Store_Dim!B:B,"Not Found")</f>
        <v>East</v>
      </c>
      <c r="S543" s="8" t="str">
        <f t="array" ref="S543">XLOOKUP(E543,Store_Dim!A:A,Store_Dim!D:D,"Not Found")</f>
        <v>Flagship</v>
      </c>
    </row>
    <row r="544" ht="14.25" customHeight="1">
      <c r="A544" s="8" t="s">
        <v>2497</v>
      </c>
      <c r="B544" s="12">
        <v>46022.0</v>
      </c>
      <c r="C544" s="8" t="s">
        <v>678</v>
      </c>
      <c r="D544" s="8" t="s">
        <v>1719</v>
      </c>
      <c r="E544" s="8" t="s">
        <v>1935</v>
      </c>
      <c r="F544" s="8">
        <v>1.0</v>
      </c>
      <c r="G544" s="8">
        <v>442.36</v>
      </c>
      <c r="H544" s="8">
        <v>0.14</v>
      </c>
      <c r="I544" s="8">
        <f t="shared" si="1"/>
        <v>442.36</v>
      </c>
      <c r="J544" s="8">
        <f t="shared" si="2"/>
        <v>-61.7904</v>
      </c>
      <c r="K544" s="8" t="str">
        <f t="shared" si="3"/>
        <v>Dec</v>
      </c>
      <c r="L544" s="8">
        <f t="shared" si="4"/>
        <v>2025</v>
      </c>
      <c r="N544" s="8" t="str">
        <f t="array" ref="N544">XLOOKUP(C544,Customer_Dim!A:A,Customer_Dim!B:B,"Not Found")</f>
        <v>Tiffany Herrera</v>
      </c>
      <c r="O544" s="8" t="str">
        <f t="array" ref="O544">XLOOKUP(C544,Customer_Dim!A:A,Customer_Dim!E:E,"Not Found")</f>
        <v>New Dianebury</v>
      </c>
      <c r="P544" s="8" t="str">
        <f t="array" ref="P544">XLOOKUP(D544,Product_Dim!A:A,Product_Dim!B:B,"Not Found")</f>
        <v>Adjustable Jump Rope</v>
      </c>
      <c r="Q544" s="8" t="str">
        <f t="array" ref="Q544">XLOOKUP(D544,Product_Dim!A:A,Product_Dim!C:C,"Not Found")</f>
        <v>Sports</v>
      </c>
      <c r="R544" s="8" t="str">
        <f t="array" ref="R544">XLOOKUP(E544,Store_Dim!A:A,Store_Dim!B:B,"Not Found")</f>
        <v>West</v>
      </c>
      <c r="S544" s="8" t="str">
        <f t="array" ref="S544">XLOOKUP(E544,Store_Dim!A:A,Store_Dim!D:D,"Not Found")</f>
        <v>Flagship</v>
      </c>
    </row>
    <row r="545" ht="14.25" customHeight="1">
      <c r="A545" s="8" t="s">
        <v>2498</v>
      </c>
      <c r="B545" s="12">
        <v>46023.0</v>
      </c>
      <c r="C545" s="8" t="s">
        <v>1062</v>
      </c>
      <c r="D545" s="8" t="s">
        <v>1690</v>
      </c>
      <c r="E545" s="8" t="s">
        <v>1917</v>
      </c>
      <c r="F545" s="8">
        <v>1.0</v>
      </c>
      <c r="G545" s="8">
        <v>763.34</v>
      </c>
      <c r="H545" s="8">
        <v>0.11</v>
      </c>
      <c r="I545" s="8">
        <f t="shared" si="1"/>
        <v>763.34</v>
      </c>
      <c r="J545" s="8">
        <f t="shared" si="2"/>
        <v>-83.8574</v>
      </c>
      <c r="K545" s="8" t="str">
        <f t="shared" si="3"/>
        <v>Jan</v>
      </c>
      <c r="L545" s="8">
        <f t="shared" si="4"/>
        <v>2026</v>
      </c>
      <c r="N545" s="8" t="str">
        <f t="array" ref="N545">XLOOKUP(C545,Customer_Dim!A:A,Customer_Dim!B:B,"Not Found")</f>
        <v>Teresa Johnson</v>
      </c>
      <c r="O545" s="8" t="str">
        <f t="array" ref="O545">XLOOKUP(C545,Customer_Dim!A:A,Customer_Dim!E:E,"Not Found")</f>
        <v>Johnsonbury</v>
      </c>
      <c r="P545" s="8" t="str">
        <f t="array" ref="P545">XLOOKUP(D545,Product_Dim!A:A,Product_Dim!B:B,"Not Found")</f>
        <v>Bedroom Table Lamp</v>
      </c>
      <c r="Q545" s="8" t="str">
        <f t="array" ref="Q545">XLOOKUP(D545,Product_Dim!A:A,Product_Dim!C:C,"Not Found")</f>
        <v>Home</v>
      </c>
      <c r="R545" s="8" t="str">
        <f t="array" ref="R545">XLOOKUP(E545,Store_Dim!A:A,Store_Dim!B:B,"Not Found")</f>
        <v>East</v>
      </c>
      <c r="S545" s="8" t="str">
        <f t="array" ref="S545">XLOOKUP(E545,Store_Dim!A:A,Store_Dim!D:D,"Not Found")</f>
        <v>Online</v>
      </c>
    </row>
    <row r="546" ht="14.25" customHeight="1">
      <c r="A546" s="8" t="s">
        <v>2499</v>
      </c>
      <c r="B546" s="12">
        <v>46024.0</v>
      </c>
      <c r="C546" s="8" t="s">
        <v>565</v>
      </c>
      <c r="D546" s="8" t="s">
        <v>1766</v>
      </c>
      <c r="E546" s="8" t="s">
        <v>1939</v>
      </c>
      <c r="F546" s="8">
        <v>3.0</v>
      </c>
      <c r="G546" s="8">
        <v>178.22</v>
      </c>
      <c r="H546" s="8">
        <v>0.15</v>
      </c>
      <c r="I546" s="8">
        <f t="shared" si="1"/>
        <v>534.66</v>
      </c>
      <c r="J546" s="8">
        <f t="shared" si="2"/>
        <v>-80.049</v>
      </c>
      <c r="K546" s="8" t="str">
        <f t="shared" si="3"/>
        <v>Jan</v>
      </c>
      <c r="L546" s="8">
        <f t="shared" si="4"/>
        <v>2026</v>
      </c>
      <c r="N546" s="8" t="str">
        <f t="array" ref="N546">XLOOKUP(C546,Customer_Dim!A:A,Customer_Dim!B:B,"Not Found")</f>
        <v>Patricia Gardner</v>
      </c>
      <c r="O546" s="8" t="str">
        <f t="array" ref="O546">XLOOKUP(C546,Customer_Dim!A:A,Customer_Dim!E:E,"Not Found")</f>
        <v>South Ashleyton</v>
      </c>
      <c r="P546" s="8" t="str">
        <f t="array" ref="P546">XLOOKUP(D546,Product_Dim!A:A,Product_Dim!B:B,"Not Found")</f>
        <v>Men's Hair Styling Gel</v>
      </c>
      <c r="Q546" s="8" t="str">
        <f t="array" ref="Q546">XLOOKUP(D546,Product_Dim!A:A,Product_Dim!C:C,"Not Found")</f>
        <v>Beauty</v>
      </c>
      <c r="R546" s="8" t="str">
        <f t="array" ref="R546">XLOOKUP(E546,Store_Dim!A:A,Store_Dim!B:B,"Not Found")</f>
        <v>East</v>
      </c>
      <c r="S546" s="8" t="str">
        <f t="array" ref="S546">XLOOKUP(E546,Store_Dim!A:A,Store_Dim!D:D,"Not Found")</f>
        <v>Flagship</v>
      </c>
    </row>
    <row r="547" ht="14.25" customHeight="1">
      <c r="A547" s="8" t="s">
        <v>2500</v>
      </c>
      <c r="B547" s="12">
        <v>46025.0</v>
      </c>
      <c r="C547" s="8" t="s">
        <v>376</v>
      </c>
      <c r="D547" s="8" t="s">
        <v>1662</v>
      </c>
      <c r="E547" s="8" t="s">
        <v>1903</v>
      </c>
      <c r="F547" s="8">
        <v>4.0</v>
      </c>
      <c r="G547" s="8">
        <v>90.32</v>
      </c>
      <c r="H547" s="8">
        <v>0.08</v>
      </c>
      <c r="I547" s="8">
        <f t="shared" si="1"/>
        <v>361.28</v>
      </c>
      <c r="J547" s="8">
        <f t="shared" si="2"/>
        <v>-28.8224</v>
      </c>
      <c r="K547" s="8" t="str">
        <f t="shared" si="3"/>
        <v>Jan</v>
      </c>
      <c r="L547" s="8">
        <f t="shared" si="4"/>
        <v>2026</v>
      </c>
      <c r="N547" s="8" t="str">
        <f t="array" ref="N547">XLOOKUP(C547,Customer_Dim!A:A,Customer_Dim!B:B,"Not Found")</f>
        <v>Steven Stein</v>
      </c>
      <c r="O547" s="8" t="str">
        <f t="array" ref="O547">XLOOKUP(C547,Customer_Dim!A:A,Customer_Dim!E:E,"Not Found")</f>
        <v>West Lauren</v>
      </c>
      <c r="P547" s="8" t="str">
        <f t="array" ref="P547">XLOOKUP(D547,Product_Dim!A:A,Product_Dim!B:B,"Not Found")</f>
        <v>Wireless Bluetooth Speaker</v>
      </c>
      <c r="Q547" s="8" t="str">
        <f t="array" ref="Q547">XLOOKUP(D547,Product_Dim!A:A,Product_Dim!C:C,"Not Found")</f>
        <v>Electronics</v>
      </c>
      <c r="R547" s="8" t="str">
        <f t="array" ref="R547">XLOOKUP(E547,Store_Dim!A:A,Store_Dim!B:B,"Not Found")</f>
        <v>North</v>
      </c>
      <c r="S547" s="8" t="str">
        <f t="array" ref="S547">XLOOKUP(E547,Store_Dim!A:A,Store_Dim!D:D,"Not Found")</f>
        <v>Flagship</v>
      </c>
    </row>
    <row r="548" ht="14.25" customHeight="1">
      <c r="A548" s="8" t="s">
        <v>2501</v>
      </c>
      <c r="B548" s="12">
        <v>46026.0</v>
      </c>
      <c r="C548" s="8" t="s">
        <v>1197</v>
      </c>
      <c r="D548" s="8" t="s">
        <v>1606</v>
      </c>
      <c r="E548" s="8" t="s">
        <v>1917</v>
      </c>
      <c r="F548" s="8">
        <v>3.0</v>
      </c>
      <c r="G548" s="8">
        <v>370.93</v>
      </c>
      <c r="H548" s="8">
        <v>0.0</v>
      </c>
      <c r="I548" s="8">
        <f t="shared" si="1"/>
        <v>1112.79</v>
      </c>
      <c r="J548" s="8">
        <f t="shared" si="2"/>
        <v>0</v>
      </c>
      <c r="K548" s="8" t="str">
        <f t="shared" si="3"/>
        <v>Jan</v>
      </c>
      <c r="L548" s="8">
        <f t="shared" si="4"/>
        <v>2026</v>
      </c>
      <c r="N548" s="8" t="str">
        <f t="array" ref="N548">XLOOKUP(C548,Customer_Dim!A:A,Customer_Dim!B:B,"Not Found")</f>
        <v>Frank Stewart</v>
      </c>
      <c r="O548" s="8" t="str">
        <f t="array" ref="O548">XLOOKUP(C548,Customer_Dim!A:A,Customer_Dim!E:E,"Not Found")</f>
        <v>Fischerborough</v>
      </c>
      <c r="P548" s="8" t="str">
        <f t="array" ref="P548">XLOOKUP(D548,Product_Dim!A:A,Product_Dim!B:B,"Not Found")</f>
        <v>Ceramic Kitchen Bowl Set</v>
      </c>
      <c r="Q548" s="8" t="str">
        <f t="array" ref="Q548">XLOOKUP(D548,Product_Dim!A:A,Product_Dim!C:C,"Not Found")</f>
        <v>Home</v>
      </c>
      <c r="R548" s="8" t="str">
        <f t="array" ref="R548">XLOOKUP(E548,Store_Dim!A:A,Store_Dim!B:B,"Not Found")</f>
        <v>East</v>
      </c>
      <c r="S548" s="8" t="str">
        <f t="array" ref="S548">XLOOKUP(E548,Store_Dim!A:A,Store_Dim!D:D,"Not Found")</f>
        <v>Online</v>
      </c>
    </row>
    <row r="549" ht="14.25" customHeight="1">
      <c r="A549" s="8" t="s">
        <v>2502</v>
      </c>
      <c r="B549" s="12">
        <v>46027.0</v>
      </c>
      <c r="C549" s="8" t="s">
        <v>188</v>
      </c>
      <c r="D549" s="8" t="s">
        <v>1652</v>
      </c>
      <c r="E549" s="8" t="s">
        <v>1933</v>
      </c>
      <c r="F549" s="8">
        <v>1.0</v>
      </c>
      <c r="G549" s="8">
        <v>352.43</v>
      </c>
      <c r="H549" s="8">
        <v>0.14</v>
      </c>
      <c r="I549" s="8">
        <f t="shared" si="1"/>
        <v>352.43</v>
      </c>
      <c r="J549" s="8">
        <f t="shared" si="2"/>
        <v>-49.2002</v>
      </c>
      <c r="K549" s="8" t="str">
        <f t="shared" si="3"/>
        <v>Jan</v>
      </c>
      <c r="L549" s="8">
        <f t="shared" si="4"/>
        <v>2026</v>
      </c>
      <c r="N549" s="8" t="str">
        <f t="array" ref="N549">XLOOKUP(C549,Customer_Dim!A:A,Customer_Dim!B:B,"Not Found")</f>
        <v>Michelle Garcia DDS</v>
      </c>
      <c r="O549" s="8" t="str">
        <f t="array" ref="O549">XLOOKUP(C549,Customer_Dim!A:A,Customer_Dim!E:E,"Not Found")</f>
        <v>Perezbury</v>
      </c>
      <c r="P549" s="8" t="str">
        <f t="array" ref="P549">XLOOKUP(D549,Product_Dim!A:A,Product_Dim!B:B,"Not Found")</f>
        <v>Men's Formal Shirt</v>
      </c>
      <c r="Q549" s="8" t="str">
        <f t="array" ref="Q549">XLOOKUP(D549,Product_Dim!A:A,Product_Dim!C:C,"Not Found")</f>
        <v>Clothing</v>
      </c>
      <c r="R549" s="8" t="str">
        <f t="array" ref="R549">XLOOKUP(E549,Store_Dim!A:A,Store_Dim!B:B,"Not Found")</f>
        <v>North</v>
      </c>
      <c r="S549" s="8" t="str">
        <f t="array" ref="S549">XLOOKUP(E549,Store_Dim!A:A,Store_Dim!D:D,"Not Found")</f>
        <v>Flagship</v>
      </c>
    </row>
    <row r="550" ht="14.25" customHeight="1">
      <c r="A550" s="8" t="s">
        <v>2503</v>
      </c>
      <c r="B550" s="12">
        <v>46028.0</v>
      </c>
      <c r="C550" s="8" t="s">
        <v>436</v>
      </c>
      <c r="D550" s="8" t="s">
        <v>1613</v>
      </c>
      <c r="E550" s="8" t="s">
        <v>1933</v>
      </c>
      <c r="F550" s="8">
        <v>2.0</v>
      </c>
      <c r="G550" s="8">
        <v>562.97</v>
      </c>
      <c r="H550" s="8">
        <v>0.2</v>
      </c>
      <c r="I550" s="8">
        <f t="shared" si="1"/>
        <v>1125.94</v>
      </c>
      <c r="J550" s="8">
        <f t="shared" si="2"/>
        <v>-224.988</v>
      </c>
      <c r="K550" s="8" t="str">
        <f t="shared" si="3"/>
        <v>Jan</v>
      </c>
      <c r="L550" s="8">
        <f t="shared" si="4"/>
        <v>2026</v>
      </c>
      <c r="N550" s="8" t="str">
        <f t="array" ref="N550">XLOOKUP(C550,Customer_Dim!A:A,Customer_Dim!B:B,"Not Found")</f>
        <v>Erin Hopkins</v>
      </c>
      <c r="O550" s="8" t="str">
        <f t="array" ref="O550">XLOOKUP(C550,Customer_Dim!A:A,Customer_Dim!E:E,"Not Found")</f>
        <v>North Sabrina</v>
      </c>
      <c r="P550" s="8" t="str">
        <f t="array" ref="P550">XLOOKUP(D550,Product_Dim!A:A,Product_Dim!B:B,"Not Found")</f>
        <v>Hair Strengthening Shampoo</v>
      </c>
      <c r="Q550" s="8" t="str">
        <f t="array" ref="Q550">XLOOKUP(D550,Product_Dim!A:A,Product_Dim!C:C,"Not Found")</f>
        <v>Beauty</v>
      </c>
      <c r="R550" s="8" t="str">
        <f t="array" ref="R550">XLOOKUP(E550,Store_Dim!A:A,Store_Dim!B:B,"Not Found")</f>
        <v>North</v>
      </c>
      <c r="S550" s="8" t="str">
        <f t="array" ref="S550">XLOOKUP(E550,Store_Dim!A:A,Store_Dim!D:D,"Not Found")</f>
        <v>Flagship</v>
      </c>
    </row>
    <row r="551" ht="14.25" customHeight="1">
      <c r="A551" s="8" t="s">
        <v>2504</v>
      </c>
      <c r="B551" s="12">
        <v>46029.0</v>
      </c>
      <c r="C551" s="8" t="s">
        <v>538</v>
      </c>
      <c r="D551" s="8" t="s">
        <v>1754</v>
      </c>
      <c r="E551" s="8" t="s">
        <v>1919</v>
      </c>
      <c r="F551" s="8">
        <v>1.0</v>
      </c>
      <c r="G551" s="8">
        <v>522.85</v>
      </c>
      <c r="H551" s="8">
        <v>0.12</v>
      </c>
      <c r="I551" s="8">
        <f t="shared" si="1"/>
        <v>522.85</v>
      </c>
      <c r="J551" s="8">
        <f t="shared" si="2"/>
        <v>-62.622</v>
      </c>
      <c r="K551" s="8" t="str">
        <f t="shared" si="3"/>
        <v>Jan</v>
      </c>
      <c r="L551" s="8">
        <f t="shared" si="4"/>
        <v>2026</v>
      </c>
      <c r="N551" s="8" t="str">
        <f t="array" ref="N551">XLOOKUP(C551,Customer_Dim!A:A,Customer_Dim!B:B,"Not Found")</f>
        <v>Paul Zamora</v>
      </c>
      <c r="O551" s="8" t="str">
        <f t="array" ref="O551">XLOOKUP(C551,Customer_Dim!A:A,Customer_Dim!E:E,"Not Found")</f>
        <v>North Larryfurt</v>
      </c>
      <c r="P551" s="8" t="str">
        <f t="array" ref="P551">XLOOKUP(D551,Product_Dim!A:A,Product_Dim!B:B,"Not Found")</f>
        <v>Ceramic Plant Pot</v>
      </c>
      <c r="Q551" s="8" t="str">
        <f t="array" ref="Q551">XLOOKUP(D551,Product_Dim!A:A,Product_Dim!C:C,"Not Found")</f>
        <v>Home</v>
      </c>
      <c r="R551" s="8" t="str">
        <f t="array" ref="R551">XLOOKUP(E551,Store_Dim!A:A,Store_Dim!B:B,"Not Found")</f>
        <v>South</v>
      </c>
      <c r="S551" s="8" t="str">
        <f t="array" ref="S551">XLOOKUP(E551,Store_Dim!A:A,Store_Dim!D:D,"Not Found")</f>
        <v>Online</v>
      </c>
    </row>
    <row r="552" ht="14.25" customHeight="1">
      <c r="A552" s="8" t="s">
        <v>2505</v>
      </c>
      <c r="B552" s="12">
        <v>46030.0</v>
      </c>
      <c r="C552" s="8" t="s">
        <v>1110</v>
      </c>
      <c r="D552" s="8" t="s">
        <v>1645</v>
      </c>
      <c r="E552" s="8" t="s">
        <v>1935</v>
      </c>
      <c r="F552" s="8">
        <v>4.0</v>
      </c>
      <c r="G552" s="8">
        <v>714.89</v>
      </c>
      <c r="H552" s="8">
        <v>0.15</v>
      </c>
      <c r="I552" s="8">
        <f t="shared" si="1"/>
        <v>2859.56</v>
      </c>
      <c r="J552" s="8">
        <f t="shared" si="2"/>
        <v>-428.784</v>
      </c>
      <c r="K552" s="8" t="str">
        <f t="shared" si="3"/>
        <v>Jan</v>
      </c>
      <c r="L552" s="8">
        <f t="shared" si="4"/>
        <v>2026</v>
      </c>
      <c r="N552" s="8" t="str">
        <f t="array" ref="N552">XLOOKUP(C552,Customer_Dim!A:A,Customer_Dim!B:B,"Not Found")</f>
        <v>Heather Valenzuela</v>
      </c>
      <c r="O552" s="8" t="str">
        <f t="array" ref="O552">XLOOKUP(C552,Customer_Dim!A:A,Customer_Dim!E:E,"Not Found")</f>
        <v>New Angiefurt</v>
      </c>
      <c r="P552" s="8" t="str">
        <f t="array" ref="P552">XLOOKUP(D552,Product_Dim!A:A,Product_Dim!B:B,"Not Found")</f>
        <v>Multi-Purpose Storage Box</v>
      </c>
      <c r="Q552" s="8" t="str">
        <f t="array" ref="Q552">XLOOKUP(D552,Product_Dim!A:A,Product_Dim!C:C,"Not Found")</f>
        <v>Home</v>
      </c>
      <c r="R552" s="8" t="str">
        <f t="array" ref="R552">XLOOKUP(E552,Store_Dim!A:A,Store_Dim!B:B,"Not Found")</f>
        <v>West</v>
      </c>
      <c r="S552" s="8" t="str">
        <f t="array" ref="S552">XLOOKUP(E552,Store_Dim!A:A,Store_Dim!D:D,"Not Found")</f>
        <v>Flagship</v>
      </c>
    </row>
    <row r="553" ht="14.25" customHeight="1">
      <c r="A553" s="8" t="s">
        <v>2506</v>
      </c>
      <c r="B553" s="12">
        <v>46031.0</v>
      </c>
      <c r="C553" s="8" t="s">
        <v>628</v>
      </c>
      <c r="D553" s="8" t="s">
        <v>1716</v>
      </c>
      <c r="E553" s="8" t="s">
        <v>1906</v>
      </c>
      <c r="F553" s="8">
        <v>3.0</v>
      </c>
      <c r="G553" s="8">
        <v>137.77</v>
      </c>
      <c r="H553" s="8">
        <v>0.26</v>
      </c>
      <c r="I553" s="8">
        <f t="shared" si="1"/>
        <v>413.31</v>
      </c>
      <c r="J553" s="8">
        <f t="shared" si="2"/>
        <v>-107.2006</v>
      </c>
      <c r="K553" s="8" t="str">
        <f t="shared" si="3"/>
        <v>Jan</v>
      </c>
      <c r="L553" s="8">
        <f t="shared" si="4"/>
        <v>2026</v>
      </c>
      <c r="N553" s="8" t="str">
        <f t="array" ref="N553">XLOOKUP(C553,Customer_Dim!A:A,Customer_Dim!B:B,"Not Found")</f>
        <v>Dr. Suzanne Bullock</v>
      </c>
      <c r="O553" s="8" t="str">
        <f t="array" ref="O553">XLOOKUP(C553,Customer_Dim!A:A,Customer_Dim!E:E,"Not Found")</f>
        <v>Lake Blaketon</v>
      </c>
      <c r="P553" s="8" t="str">
        <f t="array" ref="P553">XLOOKUP(D553,Product_Dim!A:A,Product_Dim!B:B,"Not Found")</f>
        <v>USB External Hard Drive</v>
      </c>
      <c r="Q553" s="8" t="str">
        <f t="array" ref="Q553">XLOOKUP(D553,Product_Dim!A:A,Product_Dim!C:C,"Not Found")</f>
        <v>Electronics</v>
      </c>
      <c r="R553" s="8" t="str">
        <f t="array" ref="R553">XLOOKUP(E553,Store_Dim!A:A,Store_Dim!B:B,"Not Found")</f>
        <v>South</v>
      </c>
      <c r="S553" s="8" t="str">
        <f t="array" ref="S553">XLOOKUP(E553,Store_Dim!A:A,Store_Dim!D:D,"Not Found")</f>
        <v>Outlet</v>
      </c>
    </row>
    <row r="554" ht="14.25" customHeight="1">
      <c r="A554" s="8" t="s">
        <v>2507</v>
      </c>
      <c r="B554" s="12">
        <v>46032.0</v>
      </c>
      <c r="C554" s="8" t="s">
        <v>124</v>
      </c>
      <c r="D554" s="8" t="s">
        <v>1866</v>
      </c>
      <c r="E554" s="8" t="s">
        <v>1928</v>
      </c>
      <c r="F554" s="8">
        <v>3.0</v>
      </c>
      <c r="G554" s="8">
        <v>862.18</v>
      </c>
      <c r="H554" s="8">
        <v>0.22</v>
      </c>
      <c r="I554" s="8">
        <f t="shared" si="1"/>
        <v>2586.54</v>
      </c>
      <c r="J554" s="8">
        <f t="shared" si="2"/>
        <v>-568.8188</v>
      </c>
      <c r="K554" s="8" t="str">
        <f t="shared" si="3"/>
        <v>Jan</v>
      </c>
      <c r="L554" s="8">
        <f t="shared" si="4"/>
        <v>2026</v>
      </c>
      <c r="N554" s="8" t="str">
        <f t="array" ref="N554">XLOOKUP(C554,Customer_Dim!A:A,Customer_Dim!B:B,"Not Found")</f>
        <v>Leslie Johnson</v>
      </c>
      <c r="O554" s="8" t="str">
        <f t="array" ref="O554">XLOOKUP(C554,Customer_Dim!A:A,Customer_Dim!E:E,"Not Found")</f>
        <v>Mollyshire</v>
      </c>
      <c r="P554" s="8" t="str">
        <f t="array" ref="P554">XLOOKUP(D554,Product_Dim!A:A,Product_Dim!B:B,"Not Found")</f>
        <v>Microwave Oven</v>
      </c>
      <c r="Q554" s="8" t="str">
        <f t="array" ref="Q554">XLOOKUP(D554,Product_Dim!A:A,Product_Dim!C:C,"Not Found")</f>
        <v>Home</v>
      </c>
      <c r="R554" s="8" t="str">
        <f t="array" ref="R554">XLOOKUP(E554,Store_Dim!A:A,Store_Dim!B:B,"Not Found")</f>
        <v>South</v>
      </c>
      <c r="S554" s="8" t="str">
        <f t="array" ref="S554">XLOOKUP(E554,Store_Dim!A:A,Store_Dim!D:D,"Not Found")</f>
        <v>Online</v>
      </c>
    </row>
    <row r="555" ht="14.25" customHeight="1">
      <c r="A555" s="8" t="s">
        <v>2508</v>
      </c>
      <c r="B555" s="12">
        <v>46033.0</v>
      </c>
      <c r="C555" s="8" t="s">
        <v>224</v>
      </c>
      <c r="D555" s="8" t="s">
        <v>1700</v>
      </c>
      <c r="E555" s="8" t="s">
        <v>1932</v>
      </c>
      <c r="F555" s="8">
        <v>2.0</v>
      </c>
      <c r="G555" s="8">
        <v>833.64</v>
      </c>
      <c r="H555" s="8">
        <v>0.24</v>
      </c>
      <c r="I555" s="8">
        <f t="shared" si="1"/>
        <v>1667.28</v>
      </c>
      <c r="J555" s="8">
        <f t="shared" si="2"/>
        <v>-399.9072</v>
      </c>
      <c r="K555" s="8" t="str">
        <f t="shared" si="3"/>
        <v>Jan</v>
      </c>
      <c r="L555" s="8">
        <f t="shared" si="4"/>
        <v>2026</v>
      </c>
      <c r="N555" s="8" t="str">
        <f t="array" ref="N555">XLOOKUP(C555,Customer_Dim!A:A,Customer_Dim!B:B,"Not Found")</f>
        <v>Jay Patel</v>
      </c>
      <c r="O555" s="8" t="str">
        <f t="array" ref="O555">XLOOKUP(C555,Customer_Dim!A:A,Customer_Dim!E:E,"Not Found")</f>
        <v>Morrisbury</v>
      </c>
      <c r="P555" s="8" t="str">
        <f t="array" ref="P555">XLOOKUP(D555,Product_Dim!A:A,Product_Dim!B:B,"Not Found")</f>
        <v>Sports Water Hydration Pack</v>
      </c>
      <c r="Q555" s="8" t="str">
        <f t="array" ref="Q555">XLOOKUP(D555,Product_Dim!A:A,Product_Dim!C:C,"Not Found")</f>
        <v>Sports</v>
      </c>
      <c r="R555" s="8" t="str">
        <f t="array" ref="R555">XLOOKUP(E555,Store_Dim!A:A,Store_Dim!B:B,"Not Found")</f>
        <v>South</v>
      </c>
      <c r="S555" s="8" t="str">
        <f t="array" ref="S555">XLOOKUP(E555,Store_Dim!A:A,Store_Dim!D:D,"Not Found")</f>
        <v>Outlet</v>
      </c>
    </row>
    <row r="556" ht="14.25" customHeight="1">
      <c r="A556" s="8" t="s">
        <v>2509</v>
      </c>
      <c r="B556" s="12">
        <v>46034.0</v>
      </c>
      <c r="C556" s="8" t="s">
        <v>875</v>
      </c>
      <c r="D556" s="8" t="s">
        <v>1638</v>
      </c>
      <c r="E556" s="8" t="s">
        <v>1933</v>
      </c>
      <c r="F556" s="8">
        <v>3.0</v>
      </c>
      <c r="G556" s="8">
        <v>543.22</v>
      </c>
      <c r="H556" s="8">
        <v>0.05</v>
      </c>
      <c r="I556" s="8">
        <f t="shared" si="1"/>
        <v>1629.66</v>
      </c>
      <c r="J556" s="8">
        <f t="shared" si="2"/>
        <v>-81.433</v>
      </c>
      <c r="K556" s="8" t="str">
        <f t="shared" si="3"/>
        <v>Jan</v>
      </c>
      <c r="L556" s="8">
        <f t="shared" si="4"/>
        <v>2026</v>
      </c>
      <c r="N556" s="8" t="str">
        <f t="array" ref="N556">XLOOKUP(C556,Customer_Dim!A:A,Customer_Dim!B:B,"Not Found")</f>
        <v>Brian Garcia</v>
      </c>
      <c r="O556" s="8" t="str">
        <f t="array" ref="O556">XLOOKUP(C556,Customer_Dim!A:A,Customer_Dim!E:E,"Not Found")</f>
        <v>Ramosmouth</v>
      </c>
      <c r="P556" s="8" t="str">
        <f t="array" ref="P556">XLOOKUP(D556,Product_Dim!A:A,Product_Dim!B:B,"Not Found")</f>
        <v>Knee Support Brace</v>
      </c>
      <c r="Q556" s="8" t="str">
        <f t="array" ref="Q556">XLOOKUP(D556,Product_Dim!A:A,Product_Dim!C:C,"Not Found")</f>
        <v>Sports</v>
      </c>
      <c r="R556" s="8" t="str">
        <f t="array" ref="R556">XLOOKUP(E556,Store_Dim!A:A,Store_Dim!B:B,"Not Found")</f>
        <v>North</v>
      </c>
      <c r="S556" s="8" t="str">
        <f t="array" ref="S556">XLOOKUP(E556,Store_Dim!A:A,Store_Dim!D:D,"Not Found")</f>
        <v>Flagship</v>
      </c>
    </row>
    <row r="557" ht="14.25" customHeight="1">
      <c r="A557" s="8" t="s">
        <v>2510</v>
      </c>
      <c r="B557" s="12">
        <v>46035.0</v>
      </c>
      <c r="C557" s="8" t="s">
        <v>899</v>
      </c>
      <c r="D557" s="8" t="s">
        <v>1854</v>
      </c>
      <c r="E557" s="8" t="s">
        <v>1906</v>
      </c>
      <c r="F557" s="8">
        <v>3.0</v>
      </c>
      <c r="G557" s="8">
        <v>691.02</v>
      </c>
      <c r="H557" s="8">
        <v>0.12</v>
      </c>
      <c r="I557" s="8">
        <f t="shared" si="1"/>
        <v>2073.06</v>
      </c>
      <c r="J557" s="8">
        <f t="shared" si="2"/>
        <v>-248.6472</v>
      </c>
      <c r="K557" s="8" t="str">
        <f t="shared" si="3"/>
        <v>Jan</v>
      </c>
      <c r="L557" s="8">
        <f t="shared" si="4"/>
        <v>2026</v>
      </c>
      <c r="N557" s="8" t="str">
        <f t="array" ref="N557">XLOOKUP(C557,Customer_Dim!A:A,Customer_Dim!B:B,"Not Found")</f>
        <v>Stephen Fowler</v>
      </c>
      <c r="O557" s="8" t="str">
        <f t="array" ref="O557">XLOOKUP(C557,Customer_Dim!A:A,Customer_Dim!E:E,"Not Found")</f>
        <v>Port Mariastad</v>
      </c>
      <c r="P557" s="8" t="str">
        <f t="array" ref="P557">XLOOKUP(D557,Product_Dim!A:A,Product_Dim!B:B,"Not Found")</f>
        <v>Sports Wrist Sweatbands</v>
      </c>
      <c r="Q557" s="8" t="str">
        <f t="array" ref="Q557">XLOOKUP(D557,Product_Dim!A:A,Product_Dim!C:C,"Not Found")</f>
        <v>Sports</v>
      </c>
      <c r="R557" s="8" t="str">
        <f t="array" ref="R557">XLOOKUP(E557,Store_Dim!A:A,Store_Dim!B:B,"Not Found")</f>
        <v>South</v>
      </c>
      <c r="S557" s="8" t="str">
        <f t="array" ref="S557">XLOOKUP(E557,Store_Dim!A:A,Store_Dim!D:D,"Not Found")</f>
        <v>Outlet</v>
      </c>
    </row>
    <row r="558" ht="14.25" customHeight="1">
      <c r="A558" s="8" t="s">
        <v>2511</v>
      </c>
      <c r="B558" s="12">
        <v>46036.0</v>
      </c>
      <c r="C558" s="8" t="s">
        <v>324</v>
      </c>
      <c r="D558" s="8" t="s">
        <v>1848</v>
      </c>
      <c r="E558" s="8" t="s">
        <v>1937</v>
      </c>
      <c r="F558" s="8">
        <v>4.0</v>
      </c>
      <c r="G558" s="8">
        <v>338.73</v>
      </c>
      <c r="H558" s="8">
        <v>0.18</v>
      </c>
      <c r="I558" s="8">
        <f t="shared" si="1"/>
        <v>1354.92</v>
      </c>
      <c r="J558" s="8">
        <f t="shared" si="2"/>
        <v>-243.7056</v>
      </c>
      <c r="K558" s="8" t="str">
        <f t="shared" si="3"/>
        <v>Jan</v>
      </c>
      <c r="L558" s="8">
        <f t="shared" si="4"/>
        <v>2026</v>
      </c>
      <c r="N558" s="8" t="str">
        <f t="array" ref="N558">XLOOKUP(C558,Customer_Dim!A:A,Customer_Dim!B:B,"Not Found")</f>
        <v>Melissa Duffy MD</v>
      </c>
      <c r="O558" s="8" t="str">
        <f t="array" ref="O558">XLOOKUP(C558,Customer_Dim!A:A,Customer_Dim!E:E,"Not Found")</f>
        <v>East Jenna</v>
      </c>
      <c r="P558" s="8" t="str">
        <f t="array" ref="P558">XLOOKUP(D558,Product_Dim!A:A,Product_Dim!B:B,"Not Found")</f>
        <v>Kitchen Cutting Board</v>
      </c>
      <c r="Q558" s="8" t="str">
        <f t="array" ref="Q558">XLOOKUP(D558,Product_Dim!A:A,Product_Dim!C:C,"Not Found")</f>
        <v>Home</v>
      </c>
      <c r="R558" s="8" t="str">
        <f t="array" ref="R558">XLOOKUP(E558,Store_Dim!A:A,Store_Dim!B:B,"Not Found")</f>
        <v>North</v>
      </c>
      <c r="S558" s="8" t="str">
        <f t="array" ref="S558">XLOOKUP(E558,Store_Dim!A:A,Store_Dim!D:D,"Not Found")</f>
        <v>Flagship</v>
      </c>
    </row>
    <row r="559" ht="14.25" customHeight="1">
      <c r="A559" s="8" t="s">
        <v>2512</v>
      </c>
      <c r="B559" s="12">
        <v>46037.0</v>
      </c>
      <c r="C559" s="8" t="s">
        <v>240</v>
      </c>
      <c r="D559" s="8" t="s">
        <v>1842</v>
      </c>
      <c r="E559" s="8" t="s">
        <v>1935</v>
      </c>
      <c r="F559" s="8">
        <v>3.0</v>
      </c>
      <c r="G559" s="8">
        <v>366.08</v>
      </c>
      <c r="H559" s="8">
        <v>0.05</v>
      </c>
      <c r="I559" s="8">
        <f t="shared" si="1"/>
        <v>1098.24</v>
      </c>
      <c r="J559" s="8">
        <f t="shared" si="2"/>
        <v>-54.862</v>
      </c>
      <c r="K559" s="8" t="str">
        <f t="shared" si="3"/>
        <v>Jan</v>
      </c>
      <c r="L559" s="8">
        <f t="shared" si="4"/>
        <v>2026</v>
      </c>
      <c r="N559" s="8" t="str">
        <f t="array" ref="N559">XLOOKUP(C559,Customer_Dim!A:A,Customer_Dim!B:B,"Not Found")</f>
        <v>James Bean</v>
      </c>
      <c r="O559" s="8" t="str">
        <f t="array" ref="O559">XLOOKUP(C559,Customer_Dim!A:A,Customer_Dim!E:E,"Not Found")</f>
        <v>Stevensonton</v>
      </c>
      <c r="P559" s="8" t="str">
        <f t="array" ref="P559">XLOOKUP(D559,Product_Dim!A:A,Product_Dim!B:B,"Not Found")</f>
        <v>Wooden Bookshelf</v>
      </c>
      <c r="Q559" s="8" t="str">
        <f t="array" ref="Q559">XLOOKUP(D559,Product_Dim!A:A,Product_Dim!C:C,"Not Found")</f>
        <v>Home</v>
      </c>
      <c r="R559" s="8" t="str">
        <f t="array" ref="R559">XLOOKUP(E559,Store_Dim!A:A,Store_Dim!B:B,"Not Found")</f>
        <v>West</v>
      </c>
      <c r="S559" s="8" t="str">
        <f t="array" ref="S559">XLOOKUP(E559,Store_Dim!A:A,Store_Dim!D:D,"Not Found")</f>
        <v>Flagship</v>
      </c>
    </row>
    <row r="560" ht="14.25" customHeight="1">
      <c r="A560" s="8" t="s">
        <v>2513</v>
      </c>
      <c r="B560" s="12">
        <v>46038.0</v>
      </c>
      <c r="C560" s="8" t="s">
        <v>382</v>
      </c>
      <c r="D560" s="8" t="s">
        <v>1617</v>
      </c>
      <c r="E560" s="8" t="s">
        <v>1931</v>
      </c>
      <c r="F560" s="8">
        <v>4.0</v>
      </c>
      <c r="G560" s="8">
        <v>539.48</v>
      </c>
      <c r="H560" s="8">
        <v>0.28</v>
      </c>
      <c r="I560" s="8">
        <f t="shared" si="1"/>
        <v>2157.92</v>
      </c>
      <c r="J560" s="8">
        <f t="shared" si="2"/>
        <v>-603.9376</v>
      </c>
      <c r="K560" s="8" t="str">
        <f t="shared" si="3"/>
        <v>Jan</v>
      </c>
      <c r="L560" s="8">
        <f t="shared" si="4"/>
        <v>2026</v>
      </c>
      <c r="N560" s="8" t="str">
        <f t="array" ref="N560">XLOOKUP(C560,Customer_Dim!A:A,Customer_Dim!B:B,"Not Found")</f>
        <v>Lance Baker</v>
      </c>
      <c r="O560" s="8" t="str">
        <f t="array" ref="O560">XLOOKUP(C560,Customer_Dim!A:A,Customer_Dim!E:E,"Not Found")</f>
        <v>Port Victoria</v>
      </c>
      <c r="P560" s="8" t="str">
        <f t="array" ref="P560">XLOOKUP(D560,Product_Dim!A:A,Product_Dim!B:B,"Not Found")</f>
        <v>USB-C Fast Charger</v>
      </c>
      <c r="Q560" s="8" t="str">
        <f t="array" ref="Q560">XLOOKUP(D560,Product_Dim!A:A,Product_Dim!C:C,"Not Found")</f>
        <v>Electronics</v>
      </c>
      <c r="R560" s="8" t="str">
        <f t="array" ref="R560">XLOOKUP(E560,Store_Dim!A:A,Store_Dim!B:B,"Not Found")</f>
        <v>East</v>
      </c>
      <c r="S560" s="8" t="str">
        <f t="array" ref="S560">XLOOKUP(E560,Store_Dim!A:A,Store_Dim!D:D,"Not Found")</f>
        <v>Flagship</v>
      </c>
    </row>
    <row r="561" ht="14.25" customHeight="1">
      <c r="A561" s="8" t="s">
        <v>2514</v>
      </c>
      <c r="B561" s="12">
        <v>46039.0</v>
      </c>
      <c r="C561" s="8" t="s">
        <v>1230</v>
      </c>
      <c r="D561" s="8" t="s">
        <v>1863</v>
      </c>
      <c r="E561" s="8" t="s">
        <v>1935</v>
      </c>
      <c r="F561" s="8">
        <v>1.0</v>
      </c>
      <c r="G561" s="8">
        <v>499.59</v>
      </c>
      <c r="H561" s="8">
        <v>0.03</v>
      </c>
      <c r="I561" s="8">
        <f t="shared" si="1"/>
        <v>499.59</v>
      </c>
      <c r="J561" s="8">
        <f t="shared" si="2"/>
        <v>-14.9577</v>
      </c>
      <c r="K561" s="8" t="str">
        <f t="shared" si="3"/>
        <v>Jan</v>
      </c>
      <c r="L561" s="8">
        <f t="shared" si="4"/>
        <v>2026</v>
      </c>
      <c r="N561" s="8" t="str">
        <f t="array" ref="N561">XLOOKUP(C561,Customer_Dim!A:A,Customer_Dim!B:B,"Not Found")</f>
        <v>Cynthia Lopez</v>
      </c>
      <c r="O561" s="8" t="str">
        <f t="array" ref="O561">XLOOKUP(C561,Customer_Dim!A:A,Customer_Dim!E:E,"Not Found")</f>
        <v>Joseland</v>
      </c>
      <c r="P561" s="8" t="str">
        <f t="array" ref="P561">XLOOKUP(D561,Product_Dim!A:A,Product_Dim!B:B,"Not Found")</f>
        <v>Women's High Heels</v>
      </c>
      <c r="Q561" s="8" t="str">
        <f t="array" ref="Q561">XLOOKUP(D561,Product_Dim!A:A,Product_Dim!C:C,"Not Found")</f>
        <v>Clothing</v>
      </c>
      <c r="R561" s="8" t="str">
        <f t="array" ref="R561">XLOOKUP(E561,Store_Dim!A:A,Store_Dim!B:B,"Not Found")</f>
        <v>West</v>
      </c>
      <c r="S561" s="8" t="str">
        <f t="array" ref="S561">XLOOKUP(E561,Store_Dim!A:A,Store_Dim!D:D,"Not Found")</f>
        <v>Flagship</v>
      </c>
    </row>
    <row r="562" ht="14.25" customHeight="1">
      <c r="A562" s="8" t="s">
        <v>2515</v>
      </c>
      <c r="B562" s="12">
        <v>46040.0</v>
      </c>
      <c r="C562" s="8" t="s">
        <v>631</v>
      </c>
      <c r="D562" s="8" t="s">
        <v>1674</v>
      </c>
      <c r="E562" s="8" t="s">
        <v>1921</v>
      </c>
      <c r="F562" s="8">
        <v>3.0</v>
      </c>
      <c r="G562" s="8">
        <v>330.04</v>
      </c>
      <c r="H562" s="8">
        <v>0.2</v>
      </c>
      <c r="I562" s="8">
        <f t="shared" si="1"/>
        <v>990.12</v>
      </c>
      <c r="J562" s="8">
        <f t="shared" si="2"/>
        <v>-197.824</v>
      </c>
      <c r="K562" s="8" t="str">
        <f t="shared" si="3"/>
        <v>Jan</v>
      </c>
      <c r="L562" s="8">
        <f t="shared" si="4"/>
        <v>2026</v>
      </c>
      <c r="N562" s="8" t="str">
        <f t="array" ref="N562">XLOOKUP(C562,Customer_Dim!A:A,Customer_Dim!B:B,"Not Found")</f>
        <v>Kimberly Brooks</v>
      </c>
      <c r="O562" s="8" t="str">
        <f t="array" ref="O562">XLOOKUP(C562,Customer_Dim!A:A,Customer_Dim!E:E,"Not Found")</f>
        <v>Kingfort</v>
      </c>
      <c r="P562" s="8" t="str">
        <f t="array" ref="P562">XLOOKUP(D562,Product_Dim!A:A,Product_Dim!B:B,"Not Found")</f>
        <v>Stainless Steel Cutlery Set</v>
      </c>
      <c r="Q562" s="8" t="str">
        <f t="array" ref="Q562">XLOOKUP(D562,Product_Dim!A:A,Product_Dim!C:C,"Not Found")</f>
        <v>Home</v>
      </c>
      <c r="R562" s="8" t="str">
        <f t="array" ref="R562">XLOOKUP(E562,Store_Dim!A:A,Store_Dim!B:B,"Not Found")</f>
        <v>West</v>
      </c>
      <c r="S562" s="8" t="str">
        <f t="array" ref="S562">XLOOKUP(E562,Store_Dim!A:A,Store_Dim!D:D,"Not Found")</f>
        <v>Online</v>
      </c>
    </row>
    <row r="563" ht="14.25" customHeight="1">
      <c r="A563" s="8" t="s">
        <v>2516</v>
      </c>
      <c r="B563" s="12">
        <v>46041.0</v>
      </c>
      <c r="C563" s="8" t="s">
        <v>613</v>
      </c>
      <c r="D563" s="8" t="s">
        <v>1610</v>
      </c>
      <c r="E563" s="8" t="s">
        <v>1937</v>
      </c>
      <c r="F563" s="8">
        <v>2.0</v>
      </c>
      <c r="G563" s="8">
        <v>813.01</v>
      </c>
      <c r="H563" s="8">
        <v>0.06</v>
      </c>
      <c r="I563" s="8">
        <f t="shared" si="1"/>
        <v>1626.02</v>
      </c>
      <c r="J563" s="8">
        <f t="shared" si="2"/>
        <v>-97.5012</v>
      </c>
      <c r="K563" s="8" t="str">
        <f t="shared" si="3"/>
        <v>Jan</v>
      </c>
      <c r="L563" s="8">
        <f t="shared" si="4"/>
        <v>2026</v>
      </c>
      <c r="N563" s="8" t="str">
        <f t="array" ref="N563">XLOOKUP(C563,Customer_Dim!A:A,Customer_Dim!B:B,"Not Found")</f>
        <v>Melissa Hamilton</v>
      </c>
      <c r="O563" s="8" t="str">
        <f t="array" ref="O563">XLOOKUP(C563,Customer_Dim!A:A,Customer_Dim!E:E,"Not Found")</f>
        <v>Hutchinsonville</v>
      </c>
      <c r="P563" s="8" t="str">
        <f t="array" ref="P563">XLOOKUP(D563,Product_Dim!A:A,Product_Dim!B:B,"Not Found")</f>
        <v>HD Smart TV Stick</v>
      </c>
      <c r="Q563" s="8" t="str">
        <f t="array" ref="Q563">XLOOKUP(D563,Product_Dim!A:A,Product_Dim!C:C,"Not Found")</f>
        <v>Electronics</v>
      </c>
      <c r="R563" s="8" t="str">
        <f t="array" ref="R563">XLOOKUP(E563,Store_Dim!A:A,Store_Dim!B:B,"Not Found")</f>
        <v>North</v>
      </c>
      <c r="S563" s="8" t="str">
        <f t="array" ref="S563">XLOOKUP(E563,Store_Dim!A:A,Store_Dim!D:D,"Not Found")</f>
        <v>Flagship</v>
      </c>
    </row>
    <row r="564" ht="14.25" customHeight="1">
      <c r="A564" s="8" t="s">
        <v>2517</v>
      </c>
      <c r="B564" s="12">
        <v>46042.0</v>
      </c>
      <c r="C564" s="8" t="s">
        <v>120</v>
      </c>
      <c r="D564" s="8" t="s">
        <v>1567</v>
      </c>
      <c r="E564" s="8" t="s">
        <v>1906</v>
      </c>
      <c r="F564" s="8">
        <v>4.0</v>
      </c>
      <c r="G564" s="8">
        <v>204.8</v>
      </c>
      <c r="H564" s="8">
        <v>0.03</v>
      </c>
      <c r="I564" s="8">
        <f t="shared" si="1"/>
        <v>819.2</v>
      </c>
      <c r="J564" s="8">
        <f t="shared" si="2"/>
        <v>-24.546</v>
      </c>
      <c r="K564" s="8" t="str">
        <f t="shared" si="3"/>
        <v>Jan</v>
      </c>
      <c r="L564" s="8">
        <f t="shared" si="4"/>
        <v>2026</v>
      </c>
      <c r="N564" s="8" t="str">
        <f t="array" ref="N564">XLOOKUP(C564,Customer_Dim!A:A,Customer_Dim!B:B,"Not Found")</f>
        <v>Amber Carlson</v>
      </c>
      <c r="O564" s="8" t="str">
        <f t="array" ref="O564">XLOOKUP(C564,Customer_Dim!A:A,Customer_Dim!E:E,"Not Found")</f>
        <v>East Michellemouth</v>
      </c>
      <c r="P564" s="8" t="str">
        <f t="array" ref="P564">XLOOKUP(D564,Product_Dim!A:A,Product_Dim!B:B,"Not Found")</f>
        <v>Men's Graphic T-Shirt</v>
      </c>
      <c r="Q564" s="8" t="str">
        <f t="array" ref="Q564">XLOOKUP(D564,Product_Dim!A:A,Product_Dim!C:C,"Not Found")</f>
        <v>Clothing</v>
      </c>
      <c r="R564" s="8" t="str">
        <f t="array" ref="R564">XLOOKUP(E564,Store_Dim!A:A,Store_Dim!B:B,"Not Found")</f>
        <v>South</v>
      </c>
      <c r="S564" s="8" t="str">
        <f t="array" ref="S564">XLOOKUP(E564,Store_Dim!A:A,Store_Dim!D:D,"Not Found")</f>
        <v>Outlet</v>
      </c>
    </row>
    <row r="565" ht="14.25" customHeight="1">
      <c r="A565" s="8" t="s">
        <v>2518</v>
      </c>
      <c r="B565" s="12">
        <v>46043.0</v>
      </c>
      <c r="C565" s="8" t="s">
        <v>64</v>
      </c>
      <c r="D565" s="8" t="s">
        <v>2052</v>
      </c>
      <c r="E565" s="8" t="s">
        <v>1910</v>
      </c>
      <c r="F565" s="8">
        <v>3.0</v>
      </c>
      <c r="G565" s="8">
        <v>728.32</v>
      </c>
      <c r="H565" s="8">
        <v>0.01</v>
      </c>
      <c r="I565" s="8">
        <f t="shared" si="1"/>
        <v>2184.96</v>
      </c>
      <c r="J565" s="8">
        <f t="shared" si="2"/>
        <v>-21.8396</v>
      </c>
      <c r="K565" s="8" t="str">
        <f t="shared" si="3"/>
        <v>Jan</v>
      </c>
      <c r="L565" s="8">
        <f t="shared" si="4"/>
        <v>2026</v>
      </c>
      <c r="N565" s="8" t="str">
        <f t="array" ref="N565">XLOOKUP(C565,Customer_Dim!A:A,Customer_Dim!B:B,"Not Found")</f>
        <v>Brian Lopez</v>
      </c>
      <c r="O565" s="8" t="str">
        <f t="array" ref="O565">XLOOKUP(C565,Customer_Dim!A:A,Customer_Dim!E:E,"Not Found")</f>
        <v>East Krista</v>
      </c>
      <c r="P565" s="8" t="str">
        <f t="array" ref="P565">XLOOKUP(D565,Product_Dim!A:A,Product_Dim!B:B,"Not Found")</f>
        <v>Not Found</v>
      </c>
      <c r="Q565" s="8" t="str">
        <f t="array" ref="Q565">XLOOKUP(D565,Product_Dim!A:A,Product_Dim!C:C,"Not Found")</f>
        <v>Not Found</v>
      </c>
      <c r="R565" s="8" t="str">
        <f t="array" ref="R565">XLOOKUP(E565,Store_Dim!A:A,Store_Dim!B:B,"Not Found")</f>
        <v>North</v>
      </c>
      <c r="S565" s="8" t="str">
        <f t="array" ref="S565">XLOOKUP(E565,Store_Dim!A:A,Store_Dim!D:D,"Not Found")</f>
        <v>Outlet</v>
      </c>
    </row>
    <row r="566" ht="14.25" customHeight="1">
      <c r="A566" s="8" t="s">
        <v>2519</v>
      </c>
      <c r="B566" s="12">
        <v>46044.0</v>
      </c>
      <c r="C566" s="8" t="s">
        <v>1413</v>
      </c>
      <c r="D566" s="8" t="s">
        <v>1766</v>
      </c>
      <c r="E566" s="8" t="s">
        <v>1919</v>
      </c>
      <c r="F566" s="8">
        <v>3.0</v>
      </c>
      <c r="G566" s="8">
        <v>836.4</v>
      </c>
      <c r="H566" s="8">
        <v>0.0</v>
      </c>
      <c r="I566" s="8">
        <f t="shared" si="1"/>
        <v>2509.2</v>
      </c>
      <c r="J566" s="8">
        <f t="shared" si="2"/>
        <v>0</v>
      </c>
      <c r="K566" s="8" t="str">
        <f t="shared" si="3"/>
        <v>Jan</v>
      </c>
      <c r="L566" s="8">
        <f t="shared" si="4"/>
        <v>2026</v>
      </c>
      <c r="N566" s="8" t="str">
        <f t="array" ref="N566">XLOOKUP(C566,Customer_Dim!A:A,Customer_Dim!B:B,"Not Found")</f>
        <v>Jeffery Wolf</v>
      </c>
      <c r="O566" s="8" t="str">
        <f t="array" ref="O566">XLOOKUP(C566,Customer_Dim!A:A,Customer_Dim!E:E,"Not Found")</f>
        <v>New Laura</v>
      </c>
      <c r="P566" s="8" t="str">
        <f t="array" ref="P566">XLOOKUP(D566,Product_Dim!A:A,Product_Dim!B:B,"Not Found")</f>
        <v>Men's Hair Styling Gel</v>
      </c>
      <c r="Q566" s="8" t="str">
        <f t="array" ref="Q566">XLOOKUP(D566,Product_Dim!A:A,Product_Dim!C:C,"Not Found")</f>
        <v>Beauty</v>
      </c>
      <c r="R566" s="8" t="str">
        <f t="array" ref="R566">XLOOKUP(E566,Store_Dim!A:A,Store_Dim!B:B,"Not Found")</f>
        <v>South</v>
      </c>
      <c r="S566" s="8" t="str">
        <f t="array" ref="S566">XLOOKUP(E566,Store_Dim!A:A,Store_Dim!D:D,"Not Found")</f>
        <v>Online</v>
      </c>
    </row>
    <row r="567" ht="14.25" customHeight="1">
      <c r="A567" s="8" t="s">
        <v>2520</v>
      </c>
      <c r="B567" s="12">
        <v>46045.0</v>
      </c>
      <c r="C567" s="8" t="s">
        <v>514</v>
      </c>
      <c r="D567" s="8" t="s">
        <v>1860</v>
      </c>
      <c r="E567" s="8" t="s">
        <v>1929</v>
      </c>
      <c r="F567" s="8">
        <v>1.0</v>
      </c>
      <c r="G567" s="8">
        <v>780.16</v>
      </c>
      <c r="H567" s="8">
        <v>0.02</v>
      </c>
      <c r="I567" s="8">
        <f t="shared" si="1"/>
        <v>780.16</v>
      </c>
      <c r="J567" s="8">
        <f t="shared" si="2"/>
        <v>-15.5832</v>
      </c>
      <c r="K567" s="8" t="str">
        <f t="shared" si="3"/>
        <v>Jan</v>
      </c>
      <c r="L567" s="8">
        <f t="shared" si="4"/>
        <v>2026</v>
      </c>
      <c r="N567" s="8" t="str">
        <f t="array" ref="N567">XLOOKUP(C567,Customer_Dim!A:A,Customer_Dim!B:B,"Not Found")</f>
        <v>Denise Griffin</v>
      </c>
      <c r="O567" s="8" t="str">
        <f t="array" ref="O567">XLOOKUP(C567,Customer_Dim!A:A,Customer_Dim!E:E,"Not Found")</f>
        <v>West Markhaven</v>
      </c>
      <c r="P567" s="8" t="str">
        <f t="array" ref="P567">XLOOKUP(D567,Product_Dim!A:A,Product_Dim!B:B,"Not Found")</f>
        <v>Gaming Mouse Pad XL</v>
      </c>
      <c r="Q567" s="8" t="str">
        <f t="array" ref="Q567">XLOOKUP(D567,Product_Dim!A:A,Product_Dim!C:C,"Not Found")</f>
        <v>Electronics</v>
      </c>
      <c r="R567" s="8" t="str">
        <f t="array" ref="R567">XLOOKUP(E567,Store_Dim!A:A,Store_Dim!B:B,"Not Found")</f>
        <v>North</v>
      </c>
      <c r="S567" s="8" t="str">
        <f t="array" ref="S567">XLOOKUP(E567,Store_Dim!A:A,Store_Dim!D:D,"Not Found")</f>
        <v>Online</v>
      </c>
    </row>
    <row r="568" ht="14.25" customHeight="1">
      <c r="A568" s="8" t="s">
        <v>2521</v>
      </c>
      <c r="B568" s="12">
        <v>46046.0</v>
      </c>
      <c r="C568" s="8" t="s">
        <v>1465</v>
      </c>
      <c r="D568" s="8" t="s">
        <v>1725</v>
      </c>
      <c r="E568" s="8" t="s">
        <v>1931</v>
      </c>
      <c r="F568" s="8">
        <v>4.0</v>
      </c>
      <c r="G568" s="8">
        <v>354.12</v>
      </c>
      <c r="H568" s="8">
        <v>0.06</v>
      </c>
      <c r="I568" s="8">
        <f t="shared" si="1"/>
        <v>1416.48</v>
      </c>
      <c r="J568" s="8">
        <f t="shared" si="2"/>
        <v>-84.9288</v>
      </c>
      <c r="K568" s="8" t="str">
        <f t="shared" si="3"/>
        <v>Jan</v>
      </c>
      <c r="L568" s="8">
        <f t="shared" si="4"/>
        <v>2026</v>
      </c>
      <c r="N568" s="8" t="str">
        <f t="array" ref="N568">XLOOKUP(C568,Customer_Dim!A:A,Customer_Dim!B:B,"Not Found")</f>
        <v>Manuel Fisher</v>
      </c>
      <c r="O568" s="8" t="str">
        <f t="array" ref="O568">XLOOKUP(C568,Customer_Dim!A:A,Customer_Dim!E:E,"Not Found")</f>
        <v>Kanebury</v>
      </c>
      <c r="P568" s="8" t="str">
        <f t="array" ref="P568">XLOOKUP(D568,Product_Dim!A:A,Product_Dim!B:B,"Not Found")</f>
        <v>Men's Winter Jacket</v>
      </c>
      <c r="Q568" s="8" t="str">
        <f t="array" ref="Q568">XLOOKUP(D568,Product_Dim!A:A,Product_Dim!C:C,"Not Found")</f>
        <v>Clothing</v>
      </c>
      <c r="R568" s="8" t="str">
        <f t="array" ref="R568">XLOOKUP(E568,Store_Dim!A:A,Store_Dim!B:B,"Not Found")</f>
        <v>East</v>
      </c>
      <c r="S568" s="8" t="str">
        <f t="array" ref="S568">XLOOKUP(E568,Store_Dim!A:A,Store_Dim!D:D,"Not Found")</f>
        <v>Flagship</v>
      </c>
    </row>
    <row r="569" ht="14.25" customHeight="1">
      <c r="A569" s="8" t="s">
        <v>2522</v>
      </c>
      <c r="B569" s="12">
        <v>46047.0</v>
      </c>
      <c r="C569" s="8" t="s">
        <v>1413</v>
      </c>
      <c r="D569" s="8" t="s">
        <v>1778</v>
      </c>
      <c r="E569" s="8" t="s">
        <v>1906</v>
      </c>
      <c r="F569" s="8">
        <v>4.0</v>
      </c>
      <c r="G569" s="8">
        <v>282.48</v>
      </c>
      <c r="H569" s="8">
        <v>0.11</v>
      </c>
      <c r="I569" s="8">
        <f t="shared" si="1"/>
        <v>1129.92</v>
      </c>
      <c r="J569" s="8">
        <f t="shared" si="2"/>
        <v>-124.1812</v>
      </c>
      <c r="K569" s="8" t="str">
        <f t="shared" si="3"/>
        <v>Jan</v>
      </c>
      <c r="L569" s="8">
        <f t="shared" si="4"/>
        <v>2026</v>
      </c>
      <c r="N569" s="8" t="str">
        <f t="array" ref="N569">XLOOKUP(C569,Customer_Dim!A:A,Customer_Dim!B:B,"Not Found")</f>
        <v>Jeffery Wolf</v>
      </c>
      <c r="O569" s="8" t="str">
        <f t="array" ref="O569">XLOOKUP(C569,Customer_Dim!A:A,Customer_Dim!E:E,"Not Found")</f>
        <v>New Laura</v>
      </c>
      <c r="P569" s="8" t="str">
        <f t="array" ref="P569">XLOOKUP(D569,Product_Dim!A:A,Product_Dim!B:B,"Not Found")</f>
        <v>Organic Sunscreen Lotion</v>
      </c>
      <c r="Q569" s="8" t="str">
        <f t="array" ref="Q569">XLOOKUP(D569,Product_Dim!A:A,Product_Dim!C:C,"Not Found")</f>
        <v>Beauty</v>
      </c>
      <c r="R569" s="8" t="str">
        <f t="array" ref="R569">XLOOKUP(E569,Store_Dim!A:A,Store_Dim!B:B,"Not Found")</f>
        <v>South</v>
      </c>
      <c r="S569" s="8" t="str">
        <f t="array" ref="S569">XLOOKUP(E569,Store_Dim!A:A,Store_Dim!D:D,"Not Found")</f>
        <v>Outlet</v>
      </c>
    </row>
    <row r="570" ht="14.25" customHeight="1">
      <c r="A570" s="8" t="s">
        <v>2523</v>
      </c>
      <c r="B570" s="12">
        <v>46048.0</v>
      </c>
      <c r="C570" s="8" t="s">
        <v>1047</v>
      </c>
      <c r="D570" s="8" t="s">
        <v>1642</v>
      </c>
      <c r="E570" s="8" t="s">
        <v>1917</v>
      </c>
      <c r="F570" s="8">
        <v>2.0</v>
      </c>
      <c r="G570" s="8">
        <v>740.68</v>
      </c>
      <c r="H570" s="8">
        <v>0.02</v>
      </c>
      <c r="I570" s="8">
        <f t="shared" si="1"/>
        <v>1481.36</v>
      </c>
      <c r="J570" s="8">
        <f t="shared" si="2"/>
        <v>-29.6072</v>
      </c>
      <c r="K570" s="8" t="str">
        <f t="shared" si="3"/>
        <v>Jan</v>
      </c>
      <c r="L570" s="8">
        <f t="shared" si="4"/>
        <v>2026</v>
      </c>
      <c r="N570" s="8" t="str">
        <f t="array" ref="N570">XLOOKUP(C570,Customer_Dim!A:A,Customer_Dim!B:B,"Not Found")</f>
        <v>Mario Harvey Jr.</v>
      </c>
      <c r="O570" s="8" t="str">
        <f t="array" ref="O570">XLOOKUP(C570,Customer_Dim!A:A,Customer_Dim!E:E,"Not Found")</f>
        <v>Jessicaport</v>
      </c>
      <c r="P570" s="8" t="str">
        <f t="array" ref="P570">XLOOKUP(D570,Product_Dim!A:A,Product_Dim!B:B,"Not Found")</f>
        <v>Outdoor Sports Water Bottle</v>
      </c>
      <c r="Q570" s="8" t="str">
        <f t="array" ref="Q570">XLOOKUP(D570,Product_Dim!A:A,Product_Dim!C:C,"Not Found")</f>
        <v>Sports</v>
      </c>
      <c r="R570" s="8" t="str">
        <f t="array" ref="R570">XLOOKUP(E570,Store_Dim!A:A,Store_Dim!B:B,"Not Found")</f>
        <v>East</v>
      </c>
      <c r="S570" s="8" t="str">
        <f t="array" ref="S570">XLOOKUP(E570,Store_Dim!A:A,Store_Dim!D:D,"Not Found")</f>
        <v>Online</v>
      </c>
    </row>
    <row r="571" ht="14.25" customHeight="1">
      <c r="A571" s="8" t="s">
        <v>2524</v>
      </c>
      <c r="B571" s="12">
        <v>46049.0</v>
      </c>
      <c r="C571" s="8" t="s">
        <v>382</v>
      </c>
      <c r="D571" s="8" t="s">
        <v>1757</v>
      </c>
      <c r="E571" s="8" t="s">
        <v>1924</v>
      </c>
      <c r="F571" s="8">
        <v>3.0</v>
      </c>
      <c r="G571" s="8">
        <v>600.58</v>
      </c>
      <c r="H571" s="8">
        <v>0.29</v>
      </c>
      <c r="I571" s="8">
        <f t="shared" si="1"/>
        <v>1801.74</v>
      </c>
      <c r="J571" s="8">
        <f t="shared" si="2"/>
        <v>-522.2146</v>
      </c>
      <c r="K571" s="8" t="str">
        <f t="shared" si="3"/>
        <v>Jan</v>
      </c>
      <c r="L571" s="8">
        <f t="shared" si="4"/>
        <v>2026</v>
      </c>
      <c r="N571" s="8" t="str">
        <f t="array" ref="N571">XLOOKUP(C571,Customer_Dim!A:A,Customer_Dim!B:B,"Not Found")</f>
        <v>Lance Baker</v>
      </c>
      <c r="O571" s="8" t="str">
        <f t="array" ref="O571">XLOOKUP(C571,Customer_Dim!A:A,Customer_Dim!E:E,"Not Found")</f>
        <v>Port Victoria</v>
      </c>
      <c r="P571" s="8" t="str">
        <f t="array" ref="P571">XLOOKUP(D571,Product_Dim!A:A,Product_Dim!B:B,"Not Found")</f>
        <v>Premium Blanket Throw</v>
      </c>
      <c r="Q571" s="8" t="str">
        <f t="array" ref="Q571">XLOOKUP(D571,Product_Dim!A:A,Product_Dim!C:C,"Not Found")</f>
        <v>Home</v>
      </c>
      <c r="R571" s="8" t="str">
        <f t="array" ref="R571">XLOOKUP(E571,Store_Dim!A:A,Store_Dim!B:B,"Not Found")</f>
        <v>South</v>
      </c>
      <c r="S571" s="8" t="str">
        <f t="array" ref="S571">XLOOKUP(E571,Store_Dim!A:A,Store_Dim!D:D,"Not Found")</f>
        <v>Flagship</v>
      </c>
    </row>
    <row r="572" ht="14.25" customHeight="1">
      <c r="A572" s="8" t="s">
        <v>2525</v>
      </c>
      <c r="B572" s="12">
        <v>46050.0</v>
      </c>
      <c r="C572" s="8" t="s">
        <v>1438</v>
      </c>
      <c r="D572" s="8" t="s">
        <v>1784</v>
      </c>
      <c r="E572" s="8" t="s">
        <v>1910</v>
      </c>
      <c r="F572" s="8">
        <v>3.0</v>
      </c>
      <c r="G572" s="8">
        <v>345.58</v>
      </c>
      <c r="H572" s="8">
        <v>0.22</v>
      </c>
      <c r="I572" s="8">
        <f t="shared" si="1"/>
        <v>1036.74</v>
      </c>
      <c r="J572" s="8">
        <f t="shared" si="2"/>
        <v>-227.8628</v>
      </c>
      <c r="K572" s="8" t="str">
        <f t="shared" si="3"/>
        <v>Jan</v>
      </c>
      <c r="L572" s="8">
        <f t="shared" si="4"/>
        <v>2026</v>
      </c>
      <c r="N572" s="8" t="str">
        <f t="array" ref="N572">XLOOKUP(C572,Customer_Dim!A:A,Customer_Dim!B:B,"Not Found")</f>
        <v>Paul Cox</v>
      </c>
      <c r="O572" s="8" t="str">
        <f t="array" ref="O572">XLOOKUP(C572,Customer_Dim!A:A,Customer_Dim!E:E,"Not Found")</f>
        <v>East Julie</v>
      </c>
      <c r="P572" s="8" t="str">
        <f t="array" ref="P572">XLOOKUP(D572,Product_Dim!A:A,Product_Dim!B:B,"Not Found")</f>
        <v>Adjustable Dumbbells 20kg</v>
      </c>
      <c r="Q572" s="8" t="str">
        <f t="array" ref="Q572">XLOOKUP(D572,Product_Dim!A:A,Product_Dim!C:C,"Not Found")</f>
        <v>Sports</v>
      </c>
      <c r="R572" s="8" t="str">
        <f t="array" ref="R572">XLOOKUP(E572,Store_Dim!A:A,Store_Dim!B:B,"Not Found")</f>
        <v>North</v>
      </c>
      <c r="S572" s="8" t="str">
        <f t="array" ref="S572">XLOOKUP(E572,Store_Dim!A:A,Store_Dim!D:D,"Not Found")</f>
        <v>Outlet</v>
      </c>
    </row>
    <row r="573" ht="14.25" customHeight="1">
      <c r="A573" s="8" t="s">
        <v>2526</v>
      </c>
      <c r="B573" s="12">
        <v>46051.0</v>
      </c>
      <c r="C573" s="8" t="s">
        <v>917</v>
      </c>
      <c r="D573" s="8" t="s">
        <v>1635</v>
      </c>
      <c r="E573" s="8" t="s">
        <v>1928</v>
      </c>
      <c r="F573" s="8">
        <v>1.0</v>
      </c>
      <c r="G573" s="8">
        <v>974.52</v>
      </c>
      <c r="H573" s="8">
        <v>0.01</v>
      </c>
      <c r="I573" s="8">
        <f t="shared" si="1"/>
        <v>974.52</v>
      </c>
      <c r="J573" s="8">
        <f t="shared" si="2"/>
        <v>-9.7352</v>
      </c>
      <c r="K573" s="8" t="str">
        <f t="shared" si="3"/>
        <v>Jan</v>
      </c>
      <c r="L573" s="8">
        <f t="shared" si="4"/>
        <v>2026</v>
      </c>
      <c r="N573" s="8" t="str">
        <f t="array" ref="N573">XLOOKUP(C573,Customer_Dim!A:A,Customer_Dim!B:B,"Not Found")</f>
        <v>Hunter Sutton</v>
      </c>
      <c r="O573" s="8" t="str">
        <f t="array" ref="O573">XLOOKUP(C573,Customer_Dim!A:A,Customer_Dim!E:E,"Not Found")</f>
        <v>Patrickshire</v>
      </c>
      <c r="P573" s="8" t="str">
        <f t="array" ref="P573">XLOOKUP(D573,Product_Dim!A:A,Product_Dim!B:B,"Not Found")</f>
        <v>Women's Denim Jeans</v>
      </c>
      <c r="Q573" s="8" t="str">
        <f t="array" ref="Q573">XLOOKUP(D573,Product_Dim!A:A,Product_Dim!C:C,"Not Found")</f>
        <v>Clothing</v>
      </c>
      <c r="R573" s="8" t="str">
        <f t="array" ref="R573">XLOOKUP(E573,Store_Dim!A:A,Store_Dim!B:B,"Not Found")</f>
        <v>South</v>
      </c>
      <c r="S573" s="8" t="str">
        <f t="array" ref="S573">XLOOKUP(E573,Store_Dim!A:A,Store_Dim!D:D,"Not Found")</f>
        <v>Online</v>
      </c>
    </row>
    <row r="574" ht="14.25" customHeight="1">
      <c r="A574" s="8" t="s">
        <v>2527</v>
      </c>
      <c r="B574" s="12">
        <v>46052.0</v>
      </c>
      <c r="C574" s="8" t="s">
        <v>167</v>
      </c>
      <c r="D574" s="8" t="s">
        <v>1632</v>
      </c>
      <c r="E574" s="8" t="s">
        <v>1903</v>
      </c>
      <c r="F574" s="8">
        <v>3.0</v>
      </c>
      <c r="G574" s="8">
        <v>282.33</v>
      </c>
      <c r="H574" s="8">
        <v>0.07</v>
      </c>
      <c r="I574" s="8">
        <f t="shared" si="1"/>
        <v>846.99</v>
      </c>
      <c r="J574" s="8">
        <f t="shared" si="2"/>
        <v>-59.2193</v>
      </c>
      <c r="K574" s="8" t="str">
        <f t="shared" si="3"/>
        <v>Jan</v>
      </c>
      <c r="L574" s="8">
        <f t="shared" si="4"/>
        <v>2026</v>
      </c>
      <c r="N574" s="8" t="str">
        <f t="array" ref="N574">XLOOKUP(C574,Customer_Dim!A:A,Customer_Dim!B:B,"Not Found")</f>
        <v>Eric Vega</v>
      </c>
      <c r="O574" s="8" t="str">
        <f t="array" ref="O574">XLOOKUP(C574,Customer_Dim!A:A,Customer_Dim!E:E,"Not Found")</f>
        <v>Williamsonland</v>
      </c>
      <c r="P574" s="8" t="str">
        <f t="array" ref="P574">XLOOKUP(D574,Product_Dim!A:A,Product_Dim!B:B,"Not Found")</f>
        <v>Soccer Training Cone Set</v>
      </c>
      <c r="Q574" s="8" t="str">
        <f t="array" ref="Q574">XLOOKUP(D574,Product_Dim!A:A,Product_Dim!C:C,"Not Found")</f>
        <v>Sports</v>
      </c>
      <c r="R574" s="8" t="str">
        <f t="array" ref="R574">XLOOKUP(E574,Store_Dim!A:A,Store_Dim!B:B,"Not Found")</f>
        <v>North</v>
      </c>
      <c r="S574" s="8" t="str">
        <f t="array" ref="S574">XLOOKUP(E574,Store_Dim!A:A,Store_Dim!D:D,"Not Found")</f>
        <v>Flagship</v>
      </c>
    </row>
    <row r="575" ht="14.25" customHeight="1">
      <c r="A575" s="8" t="s">
        <v>2528</v>
      </c>
      <c r="B575" s="12">
        <v>46053.0</v>
      </c>
      <c r="C575" s="8" t="s">
        <v>1209</v>
      </c>
      <c r="D575" s="8" t="s">
        <v>1818</v>
      </c>
      <c r="E575" s="8" t="s">
        <v>1941</v>
      </c>
      <c r="F575" s="8">
        <v>4.0</v>
      </c>
      <c r="G575" s="8">
        <v>158.46</v>
      </c>
      <c r="H575" s="8">
        <v>0.09</v>
      </c>
      <c r="I575" s="8">
        <f t="shared" si="1"/>
        <v>633.84</v>
      </c>
      <c r="J575" s="8">
        <f t="shared" si="2"/>
        <v>-56.9556</v>
      </c>
      <c r="K575" s="8" t="str">
        <f t="shared" si="3"/>
        <v>Jan</v>
      </c>
      <c r="L575" s="8">
        <f t="shared" si="4"/>
        <v>2026</v>
      </c>
      <c r="N575" s="8" t="str">
        <f t="array" ref="N575">XLOOKUP(C575,Customer_Dim!A:A,Customer_Dim!B:B,"Not Found")</f>
        <v>Martha Brown</v>
      </c>
      <c r="O575" s="8" t="str">
        <f t="array" ref="O575">XLOOKUP(C575,Customer_Dim!A:A,Customer_Dim!E:E,"Not Found")</f>
        <v>Novakstad</v>
      </c>
      <c r="P575" s="8" t="str">
        <f t="array" ref="P575">XLOOKUP(D575,Product_Dim!A:A,Product_Dim!B:B,"Not Found")</f>
        <v>Wireless Mouse</v>
      </c>
      <c r="Q575" s="8" t="str">
        <f t="array" ref="Q575">XLOOKUP(D575,Product_Dim!A:A,Product_Dim!C:C,"Not Found")</f>
        <v>Electronics</v>
      </c>
      <c r="R575" s="8" t="str">
        <f t="array" ref="R575">XLOOKUP(E575,Store_Dim!A:A,Store_Dim!B:B,"Not Found")</f>
        <v>East</v>
      </c>
      <c r="S575" s="8" t="str">
        <f t="array" ref="S575">XLOOKUP(E575,Store_Dim!A:A,Store_Dim!D:D,"Not Found")</f>
        <v>Online</v>
      </c>
    </row>
    <row r="576" ht="14.25" customHeight="1">
      <c r="A576" s="8" t="s">
        <v>2529</v>
      </c>
      <c r="B576" s="12">
        <v>46054.0</v>
      </c>
      <c r="C576" s="8" t="s">
        <v>1092</v>
      </c>
      <c r="D576" s="8" t="s">
        <v>1754</v>
      </c>
      <c r="E576" s="8" t="s">
        <v>1919</v>
      </c>
      <c r="F576" s="8">
        <v>2.0</v>
      </c>
      <c r="G576" s="8">
        <v>778.56</v>
      </c>
      <c r="H576" s="8">
        <v>0.11</v>
      </c>
      <c r="I576" s="8">
        <f t="shared" si="1"/>
        <v>1557.12</v>
      </c>
      <c r="J576" s="8">
        <f t="shared" si="2"/>
        <v>-171.1732</v>
      </c>
      <c r="K576" s="8" t="str">
        <f t="shared" si="3"/>
        <v>Feb</v>
      </c>
      <c r="L576" s="8">
        <f t="shared" si="4"/>
        <v>2026</v>
      </c>
      <c r="N576" s="8" t="str">
        <f t="array" ref="N576">XLOOKUP(C576,Customer_Dim!A:A,Customer_Dim!B:B,"Not Found")</f>
        <v>Ryan Moore</v>
      </c>
      <c r="O576" s="8" t="str">
        <f t="array" ref="O576">XLOOKUP(C576,Customer_Dim!A:A,Customer_Dim!E:E,"Not Found")</f>
        <v>Cartershire</v>
      </c>
      <c r="P576" s="8" t="str">
        <f t="array" ref="P576">XLOOKUP(D576,Product_Dim!A:A,Product_Dim!B:B,"Not Found")</f>
        <v>Ceramic Plant Pot</v>
      </c>
      <c r="Q576" s="8" t="str">
        <f t="array" ref="Q576">XLOOKUP(D576,Product_Dim!A:A,Product_Dim!C:C,"Not Found")</f>
        <v>Home</v>
      </c>
      <c r="R576" s="8" t="str">
        <f t="array" ref="R576">XLOOKUP(E576,Store_Dim!A:A,Store_Dim!B:B,"Not Found")</f>
        <v>South</v>
      </c>
      <c r="S576" s="8" t="str">
        <f t="array" ref="S576">XLOOKUP(E576,Store_Dim!A:A,Store_Dim!D:D,"Not Found")</f>
        <v>Online</v>
      </c>
    </row>
    <row r="577" ht="14.25" customHeight="1">
      <c r="A577" s="8" t="s">
        <v>2530</v>
      </c>
      <c r="B577" s="12">
        <v>46055.0</v>
      </c>
      <c r="C577" s="8" t="s">
        <v>776</v>
      </c>
      <c r="D577" s="8" t="s">
        <v>1739</v>
      </c>
      <c r="E577" s="8" t="s">
        <v>1941</v>
      </c>
      <c r="F577" s="8">
        <v>4.0</v>
      </c>
      <c r="G577" s="8">
        <v>280.16</v>
      </c>
      <c r="H577" s="8">
        <v>0.18</v>
      </c>
      <c r="I577" s="8">
        <f t="shared" si="1"/>
        <v>1120.64</v>
      </c>
      <c r="J577" s="8">
        <f t="shared" si="2"/>
        <v>-201.5352</v>
      </c>
      <c r="K577" s="8" t="str">
        <f t="shared" si="3"/>
        <v>Feb</v>
      </c>
      <c r="L577" s="8">
        <f t="shared" si="4"/>
        <v>2026</v>
      </c>
      <c r="N577" s="8" t="str">
        <f t="array" ref="N577">XLOOKUP(C577,Customer_Dim!A:A,Customer_Dim!B:B,"Not Found")</f>
        <v>Wesley Short</v>
      </c>
      <c r="O577" s="8" t="str">
        <f t="array" ref="O577">XLOOKUP(C577,Customer_Dim!A:A,Customer_Dim!E:E,"Not Found")</f>
        <v>Susanstad</v>
      </c>
      <c r="P577" s="8" t="str">
        <f t="array" ref="P577">XLOOKUP(D577,Product_Dim!A:A,Product_Dim!B:B,"Not Found")</f>
        <v>Boxing Hand Wraps</v>
      </c>
      <c r="Q577" s="8" t="str">
        <f t="array" ref="Q577">XLOOKUP(D577,Product_Dim!A:A,Product_Dim!C:C,"Not Found")</f>
        <v>Sports</v>
      </c>
      <c r="R577" s="8" t="str">
        <f t="array" ref="R577">XLOOKUP(E577,Store_Dim!A:A,Store_Dim!B:B,"Not Found")</f>
        <v>East</v>
      </c>
      <c r="S577" s="8" t="str">
        <f t="array" ref="S577">XLOOKUP(E577,Store_Dim!A:A,Store_Dim!D:D,"Not Found")</f>
        <v>Online</v>
      </c>
    </row>
    <row r="578" ht="14.25" customHeight="1">
      <c r="A578" s="8" t="s">
        <v>2531</v>
      </c>
      <c r="B578" s="12">
        <v>46056.0</v>
      </c>
      <c r="C578" s="8" t="s">
        <v>926</v>
      </c>
      <c r="D578" s="8" t="s">
        <v>1803</v>
      </c>
      <c r="E578" s="8" t="s">
        <v>1931</v>
      </c>
      <c r="F578" s="8">
        <v>2.0</v>
      </c>
      <c r="G578" s="8">
        <v>649.55</v>
      </c>
      <c r="H578" s="8">
        <v>0.29</v>
      </c>
      <c r="I578" s="8">
        <f t="shared" si="1"/>
        <v>1299.1</v>
      </c>
      <c r="J578" s="8">
        <f t="shared" si="2"/>
        <v>-376.449</v>
      </c>
      <c r="K578" s="8" t="str">
        <f t="shared" si="3"/>
        <v>Feb</v>
      </c>
      <c r="L578" s="8">
        <f t="shared" si="4"/>
        <v>2026</v>
      </c>
      <c r="N578" s="8" t="str">
        <f t="array" ref="N578">XLOOKUP(C578,Customer_Dim!A:A,Customer_Dim!B:B,"Not Found")</f>
        <v>Cynthia Roberts</v>
      </c>
      <c r="O578" s="8" t="str">
        <f t="array" ref="O578">XLOOKUP(C578,Customer_Dim!A:A,Customer_Dim!E:E,"Not Found")</f>
        <v>Millerfort</v>
      </c>
      <c r="P578" s="8" t="str">
        <f t="array" ref="P578">XLOOKUP(D578,Product_Dim!A:A,Product_Dim!B:B,"Not Found")</f>
        <v>Hair Repair Oil Treatment</v>
      </c>
      <c r="Q578" s="8" t="str">
        <f t="array" ref="Q578">XLOOKUP(D578,Product_Dim!A:A,Product_Dim!C:C,"Not Found")</f>
        <v>Beauty</v>
      </c>
      <c r="R578" s="8" t="str">
        <f t="array" ref="R578">XLOOKUP(E578,Store_Dim!A:A,Store_Dim!B:B,"Not Found")</f>
        <v>East</v>
      </c>
      <c r="S578" s="8" t="str">
        <f t="array" ref="S578">XLOOKUP(E578,Store_Dim!A:A,Store_Dim!D:D,"Not Found")</f>
        <v>Flagship</v>
      </c>
    </row>
    <row r="579" ht="14.25" customHeight="1">
      <c r="A579" s="8" t="s">
        <v>2532</v>
      </c>
      <c r="B579" s="12">
        <v>46057.0</v>
      </c>
      <c r="C579" s="8" t="s">
        <v>48</v>
      </c>
      <c r="D579" s="8" t="s">
        <v>1854</v>
      </c>
      <c r="E579" s="8" t="s">
        <v>1906</v>
      </c>
      <c r="F579" s="8">
        <v>2.0</v>
      </c>
      <c r="G579" s="8">
        <v>994.32</v>
      </c>
      <c r="H579" s="8">
        <v>0.27</v>
      </c>
      <c r="I579" s="8">
        <f t="shared" si="1"/>
        <v>1988.64</v>
      </c>
      <c r="J579" s="8">
        <f t="shared" si="2"/>
        <v>-536.6628</v>
      </c>
      <c r="K579" s="8" t="str">
        <f t="shared" si="3"/>
        <v>Feb</v>
      </c>
      <c r="L579" s="8">
        <f t="shared" si="4"/>
        <v>2026</v>
      </c>
      <c r="N579" s="8" t="str">
        <f t="array" ref="N579">XLOOKUP(C579,Customer_Dim!A:A,Customer_Dim!B:B,"Not Found")</f>
        <v>Daniel Boyd</v>
      </c>
      <c r="O579" s="8" t="str">
        <f t="array" ref="O579">XLOOKUP(C579,Customer_Dim!A:A,Customer_Dim!E:E,"Not Found")</f>
        <v>West Pamelafurt</v>
      </c>
      <c r="P579" s="8" t="str">
        <f t="array" ref="P579">XLOOKUP(D579,Product_Dim!A:A,Product_Dim!B:B,"Not Found")</f>
        <v>Sports Wrist Sweatbands</v>
      </c>
      <c r="Q579" s="8" t="str">
        <f t="array" ref="Q579">XLOOKUP(D579,Product_Dim!A:A,Product_Dim!C:C,"Not Found")</f>
        <v>Sports</v>
      </c>
      <c r="R579" s="8" t="str">
        <f t="array" ref="R579">XLOOKUP(E579,Store_Dim!A:A,Store_Dim!B:B,"Not Found")</f>
        <v>South</v>
      </c>
      <c r="S579" s="8" t="str">
        <f t="array" ref="S579">XLOOKUP(E579,Store_Dim!A:A,Store_Dim!D:D,"Not Found")</f>
        <v>Outlet</v>
      </c>
    </row>
    <row r="580" ht="14.25" customHeight="1">
      <c r="A580" s="8" t="s">
        <v>2533</v>
      </c>
      <c r="B580" s="12">
        <v>46058.0</v>
      </c>
      <c r="C580" s="8" t="s">
        <v>736</v>
      </c>
      <c r="D580" s="8" t="s">
        <v>1833</v>
      </c>
      <c r="E580" s="8" t="s">
        <v>1929</v>
      </c>
      <c r="F580" s="8">
        <v>1.0</v>
      </c>
      <c r="G580" s="8">
        <v>64.94</v>
      </c>
      <c r="H580" s="8">
        <v>0.21</v>
      </c>
      <c r="I580" s="8">
        <f t="shared" si="1"/>
        <v>64.94</v>
      </c>
      <c r="J580" s="8">
        <f t="shared" si="2"/>
        <v>-13.4274</v>
      </c>
      <c r="K580" s="8" t="str">
        <f t="shared" si="3"/>
        <v>Feb</v>
      </c>
      <c r="L580" s="8">
        <f t="shared" si="4"/>
        <v>2026</v>
      </c>
      <c r="N580" s="8" t="str">
        <f t="array" ref="N580">XLOOKUP(C580,Customer_Dim!A:A,Customer_Dim!B:B,"Not Found")</f>
        <v>Robert Harris</v>
      </c>
      <c r="O580" s="8" t="str">
        <f t="array" ref="O580">XLOOKUP(C580,Customer_Dim!A:A,Customer_Dim!E:E,"Not Found")</f>
        <v>East jeremy</v>
      </c>
      <c r="P580" s="8" t="str">
        <f t="array" ref="P580">XLOOKUP(D580,Product_Dim!A:A,Product_Dim!B:B,"Not Found")</f>
        <v>Badminton Racket Set</v>
      </c>
      <c r="Q580" s="8" t="str">
        <f t="array" ref="Q580">XLOOKUP(D580,Product_Dim!A:A,Product_Dim!C:C,"Not Found")</f>
        <v>Sports</v>
      </c>
      <c r="R580" s="8" t="str">
        <f t="array" ref="R580">XLOOKUP(E580,Store_Dim!A:A,Store_Dim!B:B,"Not Found")</f>
        <v>North</v>
      </c>
      <c r="S580" s="8" t="str">
        <f t="array" ref="S580">XLOOKUP(E580,Store_Dim!A:A,Store_Dim!D:D,"Not Found")</f>
        <v>Online</v>
      </c>
    </row>
    <row r="581" ht="14.25" customHeight="1">
      <c r="A581" s="8" t="s">
        <v>2534</v>
      </c>
      <c r="B581" s="12">
        <v>46059.0</v>
      </c>
      <c r="C581" s="8" t="s">
        <v>476</v>
      </c>
      <c r="D581" s="8" t="s">
        <v>1703</v>
      </c>
      <c r="E581" s="8" t="s">
        <v>1919</v>
      </c>
      <c r="F581" s="8">
        <v>2.0</v>
      </c>
      <c r="G581" s="8">
        <v>507.66</v>
      </c>
      <c r="H581" s="8">
        <v>0.0</v>
      </c>
      <c r="I581" s="8">
        <f t="shared" si="1"/>
        <v>1015.32</v>
      </c>
      <c r="J581" s="8">
        <f t="shared" si="2"/>
        <v>0</v>
      </c>
      <c r="K581" s="8" t="str">
        <f t="shared" si="3"/>
        <v>Feb</v>
      </c>
      <c r="L581" s="8">
        <f t="shared" si="4"/>
        <v>2026</v>
      </c>
      <c r="N581" s="8" t="str">
        <f t="array" ref="N581">XLOOKUP(C581,Customer_Dim!A:A,Customer_Dim!B:B,"Not Found")</f>
        <v>Patrick Coleman</v>
      </c>
      <c r="O581" s="8" t="str">
        <f t="array" ref="O581">XLOOKUP(C581,Customer_Dim!A:A,Customer_Dim!E:E,"Not Found")</f>
        <v>New Jeffrey</v>
      </c>
      <c r="P581" s="8" t="str">
        <f t="array" ref="P581">XLOOKUP(D581,Product_Dim!A:A,Product_Dim!B:B,"Not Found")</f>
        <v>Portable Power Bank</v>
      </c>
      <c r="Q581" s="8" t="str">
        <f t="array" ref="Q581">XLOOKUP(D581,Product_Dim!A:A,Product_Dim!C:C,"Not Found")</f>
        <v>Electronics</v>
      </c>
      <c r="R581" s="8" t="str">
        <f t="array" ref="R581">XLOOKUP(E581,Store_Dim!A:A,Store_Dim!B:B,"Not Found")</f>
        <v>South</v>
      </c>
      <c r="S581" s="8" t="str">
        <f t="array" ref="S581">XLOOKUP(E581,Store_Dim!A:A,Store_Dim!D:D,"Not Found")</f>
        <v>Online</v>
      </c>
    </row>
    <row r="582" ht="14.25" customHeight="1">
      <c r="A582" s="8" t="s">
        <v>2535</v>
      </c>
      <c r="B582" s="12">
        <v>46060.0</v>
      </c>
      <c r="C582" s="8" t="s">
        <v>791</v>
      </c>
      <c r="D582" s="8" t="s">
        <v>1833</v>
      </c>
      <c r="E582" s="8" t="s">
        <v>1912</v>
      </c>
      <c r="F582" s="8">
        <v>4.0</v>
      </c>
      <c r="G582" s="8">
        <v>968.27</v>
      </c>
      <c r="H582" s="8">
        <v>0.03</v>
      </c>
      <c r="I582" s="8">
        <f t="shared" si="1"/>
        <v>3873.08</v>
      </c>
      <c r="J582" s="8">
        <f t="shared" si="2"/>
        <v>-116.1624</v>
      </c>
      <c r="K582" s="8" t="str">
        <f t="shared" si="3"/>
        <v>Feb</v>
      </c>
      <c r="L582" s="8">
        <f t="shared" si="4"/>
        <v>2026</v>
      </c>
      <c r="N582" s="8" t="str">
        <f t="array" ref="N582">XLOOKUP(C582,Customer_Dim!A:A,Customer_Dim!B:B,"Not Found")</f>
        <v>William Jackson</v>
      </c>
      <c r="O582" s="8" t="str">
        <f t="array" ref="O582">XLOOKUP(C582,Customer_Dim!A:A,Customer_Dim!E:E,"Not Found")</f>
        <v>New Tina</v>
      </c>
      <c r="P582" s="8" t="str">
        <f t="array" ref="P582">XLOOKUP(D582,Product_Dim!A:A,Product_Dim!B:B,"Not Found")</f>
        <v>Badminton Racket Set</v>
      </c>
      <c r="Q582" s="8" t="str">
        <f t="array" ref="Q582">XLOOKUP(D582,Product_Dim!A:A,Product_Dim!C:C,"Not Found")</f>
        <v>Sports</v>
      </c>
      <c r="R582" s="8" t="str">
        <f t="array" ref="R582">XLOOKUP(E582,Store_Dim!A:A,Store_Dim!B:B,"Not Found")</f>
        <v>South</v>
      </c>
      <c r="S582" s="8" t="str">
        <f t="array" ref="S582">XLOOKUP(E582,Store_Dim!A:A,Store_Dim!D:D,"Not Found")</f>
        <v>Online</v>
      </c>
    </row>
    <row r="583" ht="14.25" customHeight="1">
      <c r="A583" s="8" t="s">
        <v>2536</v>
      </c>
      <c r="B583" s="12">
        <v>46061.0</v>
      </c>
      <c r="C583" s="8" t="s">
        <v>87</v>
      </c>
      <c r="D583" s="8" t="s">
        <v>1854</v>
      </c>
      <c r="E583" s="8" t="s">
        <v>1915</v>
      </c>
      <c r="F583" s="8">
        <v>4.0</v>
      </c>
      <c r="G583" s="8">
        <v>510.33</v>
      </c>
      <c r="H583" s="8">
        <v>0.2</v>
      </c>
      <c r="I583" s="8">
        <f t="shared" si="1"/>
        <v>2041.32</v>
      </c>
      <c r="J583" s="8">
        <f t="shared" si="2"/>
        <v>-408.064</v>
      </c>
      <c r="K583" s="8" t="str">
        <f t="shared" si="3"/>
        <v>Feb</v>
      </c>
      <c r="L583" s="8">
        <f t="shared" si="4"/>
        <v>2026</v>
      </c>
      <c r="N583" s="8" t="str">
        <f t="array" ref="N583">XLOOKUP(C583,Customer_Dim!A:A,Customer_Dim!B:B,"Not Found")</f>
        <v>Adam Cruz</v>
      </c>
      <c r="O583" s="8" t="str">
        <f t="array" ref="O583">XLOOKUP(C583,Customer_Dim!A:A,Customer_Dim!E:E,"Not Found")</f>
        <v>Brandonville</v>
      </c>
      <c r="P583" s="8" t="str">
        <f t="array" ref="P583">XLOOKUP(D583,Product_Dim!A:A,Product_Dim!B:B,"Not Found")</f>
        <v>Sports Wrist Sweatbands</v>
      </c>
      <c r="Q583" s="8" t="str">
        <f t="array" ref="Q583">XLOOKUP(D583,Product_Dim!A:A,Product_Dim!C:C,"Not Found")</f>
        <v>Sports</v>
      </c>
      <c r="R583" s="8" t="str">
        <f t="array" ref="R583">XLOOKUP(E583,Store_Dim!A:A,Store_Dim!B:B,"Not Found")</f>
        <v>North</v>
      </c>
      <c r="S583" s="8" t="str">
        <f t="array" ref="S583">XLOOKUP(E583,Store_Dim!A:A,Store_Dim!D:D,"Not Found")</f>
        <v>Outlet</v>
      </c>
    </row>
    <row r="584" ht="14.25" customHeight="1">
      <c r="A584" s="8" t="s">
        <v>2537</v>
      </c>
      <c r="B584" s="12">
        <v>46062.0</v>
      </c>
      <c r="C584" s="8" t="s">
        <v>64</v>
      </c>
      <c r="D584" s="8" t="s">
        <v>1719</v>
      </c>
      <c r="E584" s="8" t="s">
        <v>1941</v>
      </c>
      <c r="F584" s="8">
        <v>2.0</v>
      </c>
      <c r="G584" s="8">
        <v>156.73</v>
      </c>
      <c r="H584" s="8">
        <v>0.18</v>
      </c>
      <c r="I584" s="8">
        <f t="shared" si="1"/>
        <v>313.46</v>
      </c>
      <c r="J584" s="8">
        <f t="shared" si="2"/>
        <v>-56.2428</v>
      </c>
      <c r="K584" s="8" t="str">
        <f t="shared" si="3"/>
        <v>Feb</v>
      </c>
      <c r="L584" s="8">
        <f t="shared" si="4"/>
        <v>2026</v>
      </c>
      <c r="N584" s="8" t="str">
        <f t="array" ref="N584">XLOOKUP(C584,Customer_Dim!A:A,Customer_Dim!B:B,"Not Found")</f>
        <v>Brian Lopez</v>
      </c>
      <c r="O584" s="8" t="str">
        <f t="array" ref="O584">XLOOKUP(C584,Customer_Dim!A:A,Customer_Dim!E:E,"Not Found")</f>
        <v>East Krista</v>
      </c>
      <c r="P584" s="8" t="str">
        <f t="array" ref="P584">XLOOKUP(D584,Product_Dim!A:A,Product_Dim!B:B,"Not Found")</f>
        <v>Adjustable Jump Rope</v>
      </c>
      <c r="Q584" s="8" t="str">
        <f t="array" ref="Q584">XLOOKUP(D584,Product_Dim!A:A,Product_Dim!C:C,"Not Found")</f>
        <v>Sports</v>
      </c>
      <c r="R584" s="8" t="str">
        <f t="array" ref="R584">XLOOKUP(E584,Store_Dim!A:A,Store_Dim!B:B,"Not Found")</f>
        <v>East</v>
      </c>
      <c r="S584" s="8" t="str">
        <f t="array" ref="S584">XLOOKUP(E584,Store_Dim!A:A,Store_Dim!D:D,"Not Found")</f>
        <v>Online</v>
      </c>
    </row>
    <row r="585" ht="14.25" customHeight="1">
      <c r="A585" s="8" t="s">
        <v>2538</v>
      </c>
      <c r="B585" s="12">
        <v>46063.0</v>
      </c>
      <c r="C585" s="8" t="s">
        <v>493</v>
      </c>
      <c r="D585" s="8" t="s">
        <v>1887</v>
      </c>
      <c r="E585" s="8" t="s">
        <v>1926</v>
      </c>
      <c r="F585" s="8">
        <v>3.0</v>
      </c>
      <c r="G585" s="8">
        <v>53.83</v>
      </c>
      <c r="H585" s="8">
        <v>0.24</v>
      </c>
      <c r="I585" s="8">
        <f t="shared" si="1"/>
        <v>161.49</v>
      </c>
      <c r="J585" s="8">
        <f t="shared" si="2"/>
        <v>-38.5176</v>
      </c>
      <c r="K585" s="8" t="str">
        <f t="shared" si="3"/>
        <v>Feb</v>
      </c>
      <c r="L585" s="8">
        <f t="shared" si="4"/>
        <v>2026</v>
      </c>
      <c r="N585" s="8" t="str">
        <f t="array" ref="N585">XLOOKUP(C585,Customer_Dim!A:A,Customer_Dim!B:B,"Not Found")</f>
        <v>Maria Ramirez</v>
      </c>
      <c r="O585" s="8" t="str">
        <f t="array" ref="O585">XLOOKUP(C585,Customer_Dim!A:A,Customer_Dim!E:E,"Not Found")</f>
        <v>West Brandon</v>
      </c>
      <c r="P585" s="8" t="str">
        <f t="array" ref="P585">XLOOKUP(D585,Product_Dim!A:A,Product_Dim!B:B,"Not Found")</f>
        <v>Stainless Steel Cookware Set</v>
      </c>
      <c r="Q585" s="8" t="str">
        <f t="array" ref="Q585">XLOOKUP(D585,Product_Dim!A:A,Product_Dim!C:C,"Not Found")</f>
        <v>Home</v>
      </c>
      <c r="R585" s="8" t="str">
        <f t="array" ref="R585">XLOOKUP(E585,Store_Dim!A:A,Store_Dim!B:B,"Not Found")</f>
        <v>East</v>
      </c>
      <c r="S585" s="8" t="str">
        <f t="array" ref="S585">XLOOKUP(E585,Store_Dim!A:A,Store_Dim!D:D,"Not Found")</f>
        <v>Online</v>
      </c>
    </row>
    <row r="586" ht="14.25" customHeight="1">
      <c r="A586" s="8" t="s">
        <v>2539</v>
      </c>
      <c r="B586" s="12">
        <v>46064.0</v>
      </c>
      <c r="C586" s="8" t="s">
        <v>1194</v>
      </c>
      <c r="D586" s="8" t="s">
        <v>1824</v>
      </c>
      <c r="E586" s="8" t="s">
        <v>1912</v>
      </c>
      <c r="F586" s="8">
        <v>1.0</v>
      </c>
      <c r="G586" s="8">
        <v>34.71</v>
      </c>
      <c r="H586" s="8">
        <v>0.1</v>
      </c>
      <c r="I586" s="8">
        <f t="shared" si="1"/>
        <v>34.71</v>
      </c>
      <c r="J586" s="8">
        <f t="shared" si="2"/>
        <v>-3.371</v>
      </c>
      <c r="K586" s="8" t="str">
        <f t="shared" si="3"/>
        <v>Feb</v>
      </c>
      <c r="L586" s="8">
        <f t="shared" si="4"/>
        <v>2026</v>
      </c>
      <c r="N586" s="8" t="str">
        <f t="array" ref="N586">XLOOKUP(C586,Customer_Dim!A:A,Customer_Dim!B:B,"Not Found")</f>
        <v>Charles Conley</v>
      </c>
      <c r="O586" s="8" t="str">
        <f t="array" ref="O586">XLOOKUP(C586,Customer_Dim!A:A,Customer_Dim!E:E,"Not Found")</f>
        <v>Nathanshire</v>
      </c>
      <c r="P586" s="8" t="str">
        <f t="array" ref="P586">XLOOKUP(D586,Product_Dim!A:A,Product_Dim!B:B,"Not Found")</f>
        <v>Essential Oil Diffuser</v>
      </c>
      <c r="Q586" s="8" t="str">
        <f t="array" ref="Q586">XLOOKUP(D586,Product_Dim!A:A,Product_Dim!C:C,"Not Found")</f>
        <v>Home</v>
      </c>
      <c r="R586" s="8" t="str">
        <f t="array" ref="R586">XLOOKUP(E586,Store_Dim!A:A,Store_Dim!B:B,"Not Found")</f>
        <v>South</v>
      </c>
      <c r="S586" s="8" t="str">
        <f t="array" ref="S586">XLOOKUP(E586,Store_Dim!A:A,Store_Dim!D:D,"Not Found")</f>
        <v>Online</v>
      </c>
    </row>
    <row r="587" ht="14.25" customHeight="1">
      <c r="A587" s="8" t="s">
        <v>2540</v>
      </c>
      <c r="B587" s="12">
        <v>46065.0</v>
      </c>
      <c r="C587" s="8" t="s">
        <v>752</v>
      </c>
      <c r="D587" s="8" t="s">
        <v>1821</v>
      </c>
      <c r="E587" s="8" t="s">
        <v>1903</v>
      </c>
      <c r="F587" s="8">
        <v>2.0</v>
      </c>
      <c r="G587" s="8">
        <v>829.15</v>
      </c>
      <c r="H587" s="8">
        <v>0.11</v>
      </c>
      <c r="I587" s="8">
        <f t="shared" si="1"/>
        <v>1658.3</v>
      </c>
      <c r="J587" s="8">
        <f t="shared" si="2"/>
        <v>-182.303</v>
      </c>
      <c r="K587" s="8" t="str">
        <f t="shared" si="3"/>
        <v>Feb</v>
      </c>
      <c r="L587" s="8">
        <f t="shared" si="4"/>
        <v>2026</v>
      </c>
      <c r="N587" s="8" t="str">
        <f t="array" ref="N587">XLOOKUP(C587,Customer_Dim!A:A,Customer_Dim!B:B,"Not Found")</f>
        <v>Tanner Thompson</v>
      </c>
      <c r="O587" s="8" t="str">
        <f t="array" ref="O587">XLOOKUP(C587,Customer_Dim!A:A,Customer_Dim!E:E,"Not Found")</f>
        <v>Port Lisashire</v>
      </c>
      <c r="P587" s="8" t="str">
        <f t="array" ref="P587">XLOOKUP(D587,Product_Dim!A:A,Product_Dim!B:B,"Not Found")</f>
        <v>WiFi Mesh Router</v>
      </c>
      <c r="Q587" s="8" t="str">
        <f t="array" ref="Q587">XLOOKUP(D587,Product_Dim!A:A,Product_Dim!C:C,"Not Found")</f>
        <v>Electronics</v>
      </c>
      <c r="R587" s="8" t="str">
        <f t="array" ref="R587">XLOOKUP(E587,Store_Dim!A:A,Store_Dim!B:B,"Not Found")</f>
        <v>North</v>
      </c>
      <c r="S587" s="8" t="str">
        <f t="array" ref="S587">XLOOKUP(E587,Store_Dim!A:A,Store_Dim!D:D,"Not Found")</f>
        <v>Flagship</v>
      </c>
    </row>
    <row r="588" ht="14.25" customHeight="1">
      <c r="A588" s="8" t="s">
        <v>2541</v>
      </c>
      <c r="B588" s="12">
        <v>46066.0</v>
      </c>
      <c r="C588" s="8" t="s">
        <v>857</v>
      </c>
      <c r="D588" s="8" t="s">
        <v>1884</v>
      </c>
      <c r="E588" s="8" t="s">
        <v>1910</v>
      </c>
      <c r="F588" s="8">
        <v>2.0</v>
      </c>
      <c r="G588" s="8">
        <v>481.86</v>
      </c>
      <c r="H588" s="8">
        <v>0.1</v>
      </c>
      <c r="I588" s="8">
        <f t="shared" si="1"/>
        <v>963.72</v>
      </c>
      <c r="J588" s="8">
        <f t="shared" si="2"/>
        <v>-96.272</v>
      </c>
      <c r="K588" s="8" t="str">
        <f t="shared" si="3"/>
        <v>Feb</v>
      </c>
      <c r="L588" s="8">
        <f t="shared" si="4"/>
        <v>2026</v>
      </c>
      <c r="N588" s="8" t="str">
        <f t="array" ref="N588">XLOOKUP(C588,Customer_Dim!A:A,Customer_Dim!B:B,"Not Found")</f>
        <v>Matthew Payne</v>
      </c>
      <c r="O588" s="8" t="str">
        <f t="array" ref="O588">XLOOKUP(C588,Customer_Dim!A:A,Customer_Dim!E:E,"Not Found")</f>
        <v>Grahamfurt</v>
      </c>
      <c r="P588" s="8" t="str">
        <f t="array" ref="P588">XLOOKUP(D588,Product_Dim!A:A,Product_Dim!B:B,"Not Found")</f>
        <v>Portable Bluetooth Speaker</v>
      </c>
      <c r="Q588" s="8" t="str">
        <f t="array" ref="Q588">XLOOKUP(D588,Product_Dim!A:A,Product_Dim!C:C,"Not Found")</f>
        <v>Electronics</v>
      </c>
      <c r="R588" s="8" t="str">
        <f t="array" ref="R588">XLOOKUP(E588,Store_Dim!A:A,Store_Dim!B:B,"Not Found")</f>
        <v>North</v>
      </c>
      <c r="S588" s="8" t="str">
        <f t="array" ref="S588">XLOOKUP(E588,Store_Dim!A:A,Store_Dim!D:D,"Not Found")</f>
        <v>Outlet</v>
      </c>
    </row>
    <row r="589" ht="14.25" customHeight="1">
      <c r="A589" s="8" t="s">
        <v>2542</v>
      </c>
      <c r="B589" s="12">
        <v>46067.0</v>
      </c>
      <c r="C589" s="8" t="s">
        <v>508</v>
      </c>
      <c r="D589" s="8" t="s">
        <v>1745</v>
      </c>
      <c r="E589" s="8" t="s">
        <v>1919</v>
      </c>
      <c r="F589" s="8">
        <v>4.0</v>
      </c>
      <c r="G589" s="8">
        <v>915.17</v>
      </c>
      <c r="H589" s="8">
        <v>0.19</v>
      </c>
      <c r="I589" s="8">
        <f t="shared" si="1"/>
        <v>3660.68</v>
      </c>
      <c r="J589" s="8">
        <f t="shared" si="2"/>
        <v>-695.3392</v>
      </c>
      <c r="K589" s="8" t="str">
        <f t="shared" si="3"/>
        <v>Feb</v>
      </c>
      <c r="L589" s="8">
        <f t="shared" si="4"/>
        <v>2026</v>
      </c>
      <c r="N589" s="8" t="str">
        <f t="array" ref="N589">XLOOKUP(C589,Customer_Dim!A:A,Customer_Dim!B:B,"Not Found")</f>
        <v>Rhonda Young</v>
      </c>
      <c r="O589" s="8" t="str">
        <f t="array" ref="O589">XLOOKUP(C589,Customer_Dim!A:A,Customer_Dim!E:E,"Not Found")</f>
        <v>Lake Nathanfort</v>
      </c>
      <c r="P589" s="8" t="str">
        <f t="array" ref="P589">XLOOKUP(D589,Product_Dim!A:A,Product_Dim!B:B,"Not Found")</f>
        <v>Rugby Ball</v>
      </c>
      <c r="Q589" s="8" t="str">
        <f t="array" ref="Q589">XLOOKUP(D589,Product_Dim!A:A,Product_Dim!C:C,"Not Found")</f>
        <v>Sports</v>
      </c>
      <c r="R589" s="8" t="str">
        <f t="array" ref="R589">XLOOKUP(E589,Store_Dim!A:A,Store_Dim!B:B,"Not Found")</f>
        <v>South</v>
      </c>
      <c r="S589" s="8" t="str">
        <f t="array" ref="S589">XLOOKUP(E589,Store_Dim!A:A,Store_Dim!D:D,"Not Found")</f>
        <v>Online</v>
      </c>
    </row>
    <row r="590" ht="14.25" customHeight="1">
      <c r="A590" s="8" t="s">
        <v>2543</v>
      </c>
      <c r="B590" s="12">
        <v>46068.0</v>
      </c>
      <c r="C590" s="8" t="s">
        <v>708</v>
      </c>
      <c r="D590" s="8" t="s">
        <v>1803</v>
      </c>
      <c r="E590" s="8" t="s">
        <v>1939</v>
      </c>
      <c r="F590" s="8">
        <v>1.0</v>
      </c>
      <c r="G590" s="8">
        <v>250.95</v>
      </c>
      <c r="H590" s="8">
        <v>0.03</v>
      </c>
      <c r="I590" s="8">
        <f t="shared" si="1"/>
        <v>250.95</v>
      </c>
      <c r="J590" s="8">
        <f t="shared" si="2"/>
        <v>-7.4985</v>
      </c>
      <c r="K590" s="8" t="str">
        <f t="shared" si="3"/>
        <v>Feb</v>
      </c>
      <c r="L590" s="8">
        <f t="shared" si="4"/>
        <v>2026</v>
      </c>
      <c r="N590" s="8" t="str">
        <f t="array" ref="N590">XLOOKUP(C590,Customer_Dim!A:A,Customer_Dim!B:B,"Not Found")</f>
        <v>Eric Todd</v>
      </c>
      <c r="O590" s="8" t="str">
        <f t="array" ref="O590">XLOOKUP(C590,Customer_Dim!A:A,Customer_Dim!E:E,"Not Found")</f>
        <v>Danielstad</v>
      </c>
      <c r="P590" s="8" t="str">
        <f t="array" ref="P590">XLOOKUP(D590,Product_Dim!A:A,Product_Dim!B:B,"Not Found")</f>
        <v>Hair Repair Oil Treatment</v>
      </c>
      <c r="Q590" s="8" t="str">
        <f t="array" ref="Q590">XLOOKUP(D590,Product_Dim!A:A,Product_Dim!C:C,"Not Found")</f>
        <v>Beauty</v>
      </c>
      <c r="R590" s="8" t="str">
        <f t="array" ref="R590">XLOOKUP(E590,Store_Dim!A:A,Store_Dim!B:B,"Not Found")</f>
        <v>East</v>
      </c>
      <c r="S590" s="8" t="str">
        <f t="array" ref="S590">XLOOKUP(E590,Store_Dim!A:A,Store_Dim!D:D,"Not Found")</f>
        <v>Flagship</v>
      </c>
    </row>
    <row r="591" ht="14.25" customHeight="1">
      <c r="A591" s="8" t="s">
        <v>2544</v>
      </c>
      <c r="B591" s="12">
        <v>46069.0</v>
      </c>
      <c r="C591" s="8" t="s">
        <v>1038</v>
      </c>
      <c r="D591" s="8" t="s">
        <v>1878</v>
      </c>
      <c r="E591" s="8" t="s">
        <v>1915</v>
      </c>
      <c r="F591" s="8">
        <v>3.0</v>
      </c>
      <c r="G591" s="8">
        <v>882.84</v>
      </c>
      <c r="H591" s="8">
        <v>0.1</v>
      </c>
      <c r="I591" s="8">
        <f t="shared" si="1"/>
        <v>2648.52</v>
      </c>
      <c r="J591" s="8">
        <f t="shared" si="2"/>
        <v>-264.752</v>
      </c>
      <c r="K591" s="8" t="str">
        <f t="shared" si="3"/>
        <v>Feb</v>
      </c>
      <c r="L591" s="8">
        <f t="shared" si="4"/>
        <v>2026</v>
      </c>
      <c r="N591" s="8" t="str">
        <f t="array" ref="N591">XLOOKUP(C591,Customer_Dim!A:A,Customer_Dim!B:B,"Not Found")</f>
        <v>Andrew Smith</v>
      </c>
      <c r="O591" s="8" t="str">
        <f t="array" ref="O591">XLOOKUP(C591,Customer_Dim!A:A,Customer_Dim!E:E,"Not Found")</f>
        <v>East Matthew</v>
      </c>
      <c r="P591" s="8" t="str">
        <f t="array" ref="P591">XLOOKUP(D591,Product_Dim!A:A,Product_Dim!B:B,"Not Found")</f>
        <v>Women's Formal Blazer</v>
      </c>
      <c r="Q591" s="8" t="str">
        <f t="array" ref="Q591">XLOOKUP(D591,Product_Dim!A:A,Product_Dim!C:C,"Not Found")</f>
        <v>Clothing</v>
      </c>
      <c r="R591" s="8" t="str">
        <f t="array" ref="R591">XLOOKUP(E591,Store_Dim!A:A,Store_Dim!B:B,"Not Found")</f>
        <v>North</v>
      </c>
      <c r="S591" s="8" t="str">
        <f t="array" ref="S591">XLOOKUP(E591,Store_Dim!A:A,Store_Dim!D:D,"Not Found")</f>
        <v>Outlet</v>
      </c>
    </row>
    <row r="592" ht="14.25" customHeight="1">
      <c r="A592" s="8" t="s">
        <v>2545</v>
      </c>
      <c r="B592" s="12">
        <v>46070.0</v>
      </c>
      <c r="C592" s="8" t="s">
        <v>482</v>
      </c>
      <c r="D592" s="8" t="s">
        <v>1638</v>
      </c>
      <c r="E592" s="8" t="s">
        <v>1939</v>
      </c>
      <c r="F592" s="8">
        <v>4.0</v>
      </c>
      <c r="G592" s="8">
        <v>573.37</v>
      </c>
      <c r="H592" s="8">
        <v>0.04</v>
      </c>
      <c r="I592" s="8">
        <f t="shared" si="1"/>
        <v>2293.48</v>
      </c>
      <c r="J592" s="8">
        <f t="shared" si="2"/>
        <v>-91.6992</v>
      </c>
      <c r="K592" s="8" t="str">
        <f t="shared" si="3"/>
        <v>Feb</v>
      </c>
      <c r="L592" s="8">
        <f t="shared" si="4"/>
        <v>2026</v>
      </c>
      <c r="N592" s="8" t="str">
        <f t="array" ref="N592">XLOOKUP(C592,Customer_Dim!A:A,Customer_Dim!B:B,"Not Found")</f>
        <v>Sean Roth</v>
      </c>
      <c r="O592" s="8" t="str">
        <f t="array" ref="O592">XLOOKUP(C592,Customer_Dim!A:A,Customer_Dim!E:E,"Not Found")</f>
        <v>Lake Michael</v>
      </c>
      <c r="P592" s="8" t="str">
        <f t="array" ref="P592">XLOOKUP(D592,Product_Dim!A:A,Product_Dim!B:B,"Not Found")</f>
        <v>Knee Support Brace</v>
      </c>
      <c r="Q592" s="8" t="str">
        <f t="array" ref="Q592">XLOOKUP(D592,Product_Dim!A:A,Product_Dim!C:C,"Not Found")</f>
        <v>Sports</v>
      </c>
      <c r="R592" s="8" t="str">
        <f t="array" ref="R592">XLOOKUP(E592,Store_Dim!A:A,Store_Dim!B:B,"Not Found")</f>
        <v>East</v>
      </c>
      <c r="S592" s="8" t="str">
        <f t="array" ref="S592">XLOOKUP(E592,Store_Dim!A:A,Store_Dim!D:D,"Not Found")</f>
        <v>Flagship</v>
      </c>
    </row>
    <row r="593" ht="14.25" customHeight="1">
      <c r="A593" s="8" t="s">
        <v>2546</v>
      </c>
      <c r="B593" s="12">
        <v>46071.0</v>
      </c>
      <c r="C593" s="8" t="s">
        <v>228</v>
      </c>
      <c r="D593" s="8" t="s">
        <v>1681</v>
      </c>
      <c r="E593" s="8" t="s">
        <v>1929</v>
      </c>
      <c r="F593" s="8">
        <v>3.0</v>
      </c>
      <c r="G593" s="8">
        <v>622.72</v>
      </c>
      <c r="H593" s="8">
        <v>0.04</v>
      </c>
      <c r="I593" s="8">
        <f t="shared" si="1"/>
        <v>1868.16</v>
      </c>
      <c r="J593" s="8">
        <f t="shared" si="2"/>
        <v>-74.6864</v>
      </c>
      <c r="K593" s="8" t="str">
        <f t="shared" si="3"/>
        <v>Feb</v>
      </c>
      <c r="L593" s="8">
        <f t="shared" si="4"/>
        <v>2026</v>
      </c>
      <c r="N593" s="8" t="str">
        <f t="array" ref="N593">XLOOKUP(C593,Customer_Dim!A:A,Customer_Dim!B:B,"Not Found")</f>
        <v>Cheryl Copeland</v>
      </c>
      <c r="O593" s="8" t="str">
        <f t="array" ref="O593">XLOOKUP(C593,Customer_Dim!A:A,Customer_Dim!E:E,"Not Found")</f>
        <v>Snowmouth</v>
      </c>
      <c r="P593" s="8" t="str">
        <f t="array" ref="P593">XLOOKUP(D593,Product_Dim!A:A,Product_Dim!B:B,"Not Found")</f>
        <v>Vitamin C Face Serum</v>
      </c>
      <c r="Q593" s="8" t="str">
        <f t="array" ref="Q593">XLOOKUP(D593,Product_Dim!A:A,Product_Dim!C:C,"Not Found")</f>
        <v>Beauty</v>
      </c>
      <c r="R593" s="8" t="str">
        <f t="array" ref="R593">XLOOKUP(E593,Store_Dim!A:A,Store_Dim!B:B,"Not Found")</f>
        <v>North</v>
      </c>
      <c r="S593" s="8" t="str">
        <f t="array" ref="S593">XLOOKUP(E593,Store_Dim!A:A,Store_Dim!D:D,"Not Found")</f>
        <v>Online</v>
      </c>
    </row>
    <row r="594" ht="14.25" customHeight="1">
      <c r="A594" s="8" t="s">
        <v>2547</v>
      </c>
      <c r="B594" s="12">
        <v>46072.0</v>
      </c>
      <c r="C594" s="8" t="s">
        <v>1227</v>
      </c>
      <c r="D594" s="8" t="s">
        <v>1866</v>
      </c>
      <c r="E594" s="8" t="s">
        <v>1937</v>
      </c>
      <c r="F594" s="8">
        <v>3.0</v>
      </c>
      <c r="G594" s="8">
        <v>259.74</v>
      </c>
      <c r="H594" s="8">
        <v>0.24</v>
      </c>
      <c r="I594" s="8">
        <f t="shared" si="1"/>
        <v>779.22</v>
      </c>
      <c r="J594" s="8">
        <f t="shared" si="2"/>
        <v>-186.7728</v>
      </c>
      <c r="K594" s="8" t="str">
        <f t="shared" si="3"/>
        <v>Feb</v>
      </c>
      <c r="L594" s="8">
        <f t="shared" si="4"/>
        <v>2026</v>
      </c>
      <c r="N594" s="8" t="str">
        <f t="array" ref="N594">XLOOKUP(C594,Customer_Dim!A:A,Customer_Dim!B:B,"Not Found")</f>
        <v>Timothy Valenzuela</v>
      </c>
      <c r="O594" s="8" t="str">
        <f t="array" ref="O594">XLOOKUP(C594,Customer_Dim!A:A,Customer_Dim!E:E,"Not Found")</f>
        <v>Stevensshire</v>
      </c>
      <c r="P594" s="8" t="str">
        <f t="array" ref="P594">XLOOKUP(D594,Product_Dim!A:A,Product_Dim!B:B,"Not Found")</f>
        <v>Microwave Oven</v>
      </c>
      <c r="Q594" s="8" t="str">
        <f t="array" ref="Q594">XLOOKUP(D594,Product_Dim!A:A,Product_Dim!C:C,"Not Found")</f>
        <v>Home</v>
      </c>
      <c r="R594" s="8" t="str">
        <f t="array" ref="R594">XLOOKUP(E594,Store_Dim!A:A,Store_Dim!B:B,"Not Found")</f>
        <v>North</v>
      </c>
      <c r="S594" s="8" t="str">
        <f t="array" ref="S594">XLOOKUP(E594,Store_Dim!A:A,Store_Dim!D:D,"Not Found")</f>
        <v>Flagship</v>
      </c>
    </row>
    <row r="595" ht="14.25" customHeight="1">
      <c r="A595" s="8" t="s">
        <v>2548</v>
      </c>
      <c r="B595" s="12">
        <v>46073.0</v>
      </c>
      <c r="C595" s="8" t="s">
        <v>215</v>
      </c>
      <c r="D595" s="8" t="s">
        <v>1668</v>
      </c>
      <c r="E595" s="8" t="s">
        <v>1931</v>
      </c>
      <c r="F595" s="8">
        <v>4.0</v>
      </c>
      <c r="G595" s="8">
        <v>951.09</v>
      </c>
      <c r="H595" s="8">
        <v>0.14</v>
      </c>
      <c r="I595" s="8">
        <f t="shared" si="1"/>
        <v>3804.36</v>
      </c>
      <c r="J595" s="8">
        <f t="shared" si="2"/>
        <v>-532.4704</v>
      </c>
      <c r="K595" s="8" t="str">
        <f t="shared" si="3"/>
        <v>Feb</v>
      </c>
      <c r="L595" s="8">
        <f t="shared" si="4"/>
        <v>2026</v>
      </c>
      <c r="N595" s="8" t="str">
        <f t="array" ref="N595">XLOOKUP(C595,Customer_Dim!A:A,Customer_Dim!B:B,"Not Found")</f>
        <v>Katherine Dorsey</v>
      </c>
      <c r="O595" s="8" t="str">
        <f t="array" ref="O595">XLOOKUP(C595,Customer_Dim!A:A,Customer_Dim!E:E,"Not Found")</f>
        <v>Christopherland</v>
      </c>
      <c r="P595" s="8" t="str">
        <f t="array" ref="P595">XLOOKUP(D595,Product_Dim!A:A,Product_Dim!B:B,"Not Found")</f>
        <v>Sports Stopwatch Timer</v>
      </c>
      <c r="Q595" s="8" t="str">
        <f t="array" ref="Q595">XLOOKUP(D595,Product_Dim!A:A,Product_Dim!C:C,"Not Found")</f>
        <v>Sports</v>
      </c>
      <c r="R595" s="8" t="str">
        <f t="array" ref="R595">XLOOKUP(E595,Store_Dim!A:A,Store_Dim!B:B,"Not Found")</f>
        <v>East</v>
      </c>
      <c r="S595" s="8" t="str">
        <f t="array" ref="S595">XLOOKUP(E595,Store_Dim!A:A,Store_Dim!D:D,"Not Found")</f>
        <v>Flagship</v>
      </c>
    </row>
    <row r="596" ht="14.25" customHeight="1">
      <c r="A596" s="8" t="s">
        <v>2549</v>
      </c>
      <c r="B596" s="12">
        <v>46074.0</v>
      </c>
      <c r="C596" s="8" t="s">
        <v>663</v>
      </c>
      <c r="D596" s="8" t="s">
        <v>1887</v>
      </c>
      <c r="E596" s="8" t="s">
        <v>1906</v>
      </c>
      <c r="F596" s="8">
        <v>1.0</v>
      </c>
      <c r="G596" s="8">
        <v>71.71</v>
      </c>
      <c r="H596" s="8">
        <v>0.23</v>
      </c>
      <c r="I596" s="8">
        <f t="shared" si="1"/>
        <v>71.71</v>
      </c>
      <c r="J596" s="8">
        <f t="shared" si="2"/>
        <v>-16.2633</v>
      </c>
      <c r="K596" s="8" t="str">
        <f t="shared" si="3"/>
        <v>Feb</v>
      </c>
      <c r="L596" s="8">
        <f t="shared" si="4"/>
        <v>2026</v>
      </c>
      <c r="N596" s="8" t="str">
        <f t="array" ref="N596">XLOOKUP(C596,Customer_Dim!A:A,Customer_Dim!B:B,"Not Found")</f>
        <v>Carmen Price</v>
      </c>
      <c r="O596" s="8" t="str">
        <f t="array" ref="O596">XLOOKUP(C596,Customer_Dim!A:A,Customer_Dim!E:E,"Not Found")</f>
        <v>North Briannamouth</v>
      </c>
      <c r="P596" s="8" t="str">
        <f t="array" ref="P596">XLOOKUP(D596,Product_Dim!A:A,Product_Dim!B:B,"Not Found")</f>
        <v>Stainless Steel Cookware Set</v>
      </c>
      <c r="Q596" s="8" t="str">
        <f t="array" ref="Q596">XLOOKUP(D596,Product_Dim!A:A,Product_Dim!C:C,"Not Found")</f>
        <v>Home</v>
      </c>
      <c r="R596" s="8" t="str">
        <f t="array" ref="R596">XLOOKUP(E596,Store_Dim!A:A,Store_Dim!B:B,"Not Found")</f>
        <v>South</v>
      </c>
      <c r="S596" s="8" t="str">
        <f t="array" ref="S596">XLOOKUP(E596,Store_Dim!A:A,Store_Dim!D:D,"Not Found")</f>
        <v>Outlet</v>
      </c>
    </row>
    <row r="597" ht="14.25" customHeight="1">
      <c r="A597" s="8" t="s">
        <v>2550</v>
      </c>
      <c r="B597" s="12">
        <v>46075.0</v>
      </c>
      <c r="C597" s="8" t="s">
        <v>586</v>
      </c>
      <c r="D597" s="8" t="s">
        <v>1642</v>
      </c>
      <c r="E597" s="8" t="s">
        <v>1919</v>
      </c>
      <c r="F597" s="8">
        <v>4.0</v>
      </c>
      <c r="G597" s="8">
        <v>894.93</v>
      </c>
      <c r="H597" s="8">
        <v>0.05</v>
      </c>
      <c r="I597" s="8">
        <f t="shared" si="1"/>
        <v>3579.72</v>
      </c>
      <c r="J597" s="8">
        <f t="shared" si="2"/>
        <v>-178.936</v>
      </c>
      <c r="K597" s="8" t="str">
        <f t="shared" si="3"/>
        <v>Feb</v>
      </c>
      <c r="L597" s="8">
        <f t="shared" si="4"/>
        <v>2026</v>
      </c>
      <c r="N597" s="8" t="str">
        <f t="array" ref="N597">XLOOKUP(C597,Customer_Dim!A:A,Customer_Dim!B:B,"Not Found")</f>
        <v>Teresa Stokes</v>
      </c>
      <c r="O597" s="8" t="str">
        <f t="array" ref="O597">XLOOKUP(C597,Customer_Dim!A:A,Customer_Dim!E:E,"Not Found")</f>
        <v>New William</v>
      </c>
      <c r="P597" s="8" t="str">
        <f t="array" ref="P597">XLOOKUP(D597,Product_Dim!A:A,Product_Dim!B:B,"Not Found")</f>
        <v>Outdoor Sports Water Bottle</v>
      </c>
      <c r="Q597" s="8" t="str">
        <f t="array" ref="Q597">XLOOKUP(D597,Product_Dim!A:A,Product_Dim!C:C,"Not Found")</f>
        <v>Sports</v>
      </c>
      <c r="R597" s="8" t="str">
        <f t="array" ref="R597">XLOOKUP(E597,Store_Dim!A:A,Store_Dim!B:B,"Not Found")</f>
        <v>South</v>
      </c>
      <c r="S597" s="8" t="str">
        <f t="array" ref="S597">XLOOKUP(E597,Store_Dim!A:A,Store_Dim!D:D,"Not Found")</f>
        <v>Online</v>
      </c>
    </row>
    <row r="598" ht="14.25" customHeight="1">
      <c r="A598" s="8" t="s">
        <v>2551</v>
      </c>
      <c r="B598" s="12">
        <v>46076.0</v>
      </c>
      <c r="C598" s="8" t="s">
        <v>672</v>
      </c>
      <c r="D598" s="8" t="s">
        <v>1824</v>
      </c>
      <c r="E598" s="8" t="s">
        <v>1921</v>
      </c>
      <c r="F598" s="8">
        <v>4.0</v>
      </c>
      <c r="G598" s="8">
        <v>870.18</v>
      </c>
      <c r="H598" s="8">
        <v>0.13</v>
      </c>
      <c r="I598" s="8">
        <f t="shared" si="1"/>
        <v>3480.72</v>
      </c>
      <c r="J598" s="8">
        <f t="shared" si="2"/>
        <v>-452.3636</v>
      </c>
      <c r="K598" s="8" t="str">
        <f t="shared" si="3"/>
        <v>Feb</v>
      </c>
      <c r="L598" s="8">
        <f t="shared" si="4"/>
        <v>2026</v>
      </c>
      <c r="N598" s="8" t="str">
        <f t="array" ref="N598">XLOOKUP(C598,Customer_Dim!A:A,Customer_Dim!B:B,"Not Found")</f>
        <v>Christina Garcia</v>
      </c>
      <c r="O598" s="8" t="str">
        <f t="array" ref="O598">XLOOKUP(C598,Customer_Dim!A:A,Customer_Dim!E:E,"Not Found")</f>
        <v>Clarkeside</v>
      </c>
      <c r="P598" s="8" t="str">
        <f t="array" ref="P598">XLOOKUP(D598,Product_Dim!A:A,Product_Dim!B:B,"Not Found")</f>
        <v>Essential Oil Diffuser</v>
      </c>
      <c r="Q598" s="8" t="str">
        <f t="array" ref="Q598">XLOOKUP(D598,Product_Dim!A:A,Product_Dim!C:C,"Not Found")</f>
        <v>Home</v>
      </c>
      <c r="R598" s="8" t="str">
        <f t="array" ref="R598">XLOOKUP(E598,Store_Dim!A:A,Store_Dim!B:B,"Not Found")</f>
        <v>West</v>
      </c>
      <c r="S598" s="8" t="str">
        <f t="array" ref="S598">XLOOKUP(E598,Store_Dim!A:A,Store_Dim!D:D,"Not Found")</f>
        <v>Online</v>
      </c>
    </row>
    <row r="599" ht="14.25" customHeight="1">
      <c r="A599" s="8" t="s">
        <v>2552</v>
      </c>
      <c r="B599" s="12">
        <v>46077.0</v>
      </c>
      <c r="C599" s="8" t="s">
        <v>899</v>
      </c>
      <c r="D599" s="8" t="s">
        <v>1781</v>
      </c>
      <c r="E599" s="8" t="s">
        <v>1906</v>
      </c>
      <c r="F599" s="8">
        <v>2.0</v>
      </c>
      <c r="G599" s="8">
        <v>552.72</v>
      </c>
      <c r="H599" s="8">
        <v>0.06</v>
      </c>
      <c r="I599" s="8">
        <f t="shared" si="1"/>
        <v>1105.44</v>
      </c>
      <c r="J599" s="8">
        <f t="shared" si="2"/>
        <v>-66.2664</v>
      </c>
      <c r="K599" s="8" t="str">
        <f t="shared" si="3"/>
        <v>Feb</v>
      </c>
      <c r="L599" s="8">
        <f t="shared" si="4"/>
        <v>2026</v>
      </c>
      <c r="N599" s="8" t="str">
        <f t="array" ref="N599">XLOOKUP(C599,Customer_Dim!A:A,Customer_Dim!B:B,"Not Found")</f>
        <v>Stephen Fowler</v>
      </c>
      <c r="O599" s="8" t="str">
        <f t="array" ref="O599">XLOOKUP(C599,Customer_Dim!A:A,Customer_Dim!E:E,"Not Found")</f>
        <v>Port Mariastad</v>
      </c>
      <c r="P599" s="8" t="str">
        <f t="array" ref="P599">XLOOKUP(D599,Product_Dim!A:A,Product_Dim!B:B,"Not Found")</f>
        <v>Matte Lipstick Set</v>
      </c>
      <c r="Q599" s="8" t="str">
        <f t="array" ref="Q599">XLOOKUP(D599,Product_Dim!A:A,Product_Dim!C:C,"Not Found")</f>
        <v>Beauty</v>
      </c>
      <c r="R599" s="8" t="str">
        <f t="array" ref="R599">XLOOKUP(E599,Store_Dim!A:A,Store_Dim!B:B,"Not Found")</f>
        <v>South</v>
      </c>
      <c r="S599" s="8" t="str">
        <f t="array" ref="S599">XLOOKUP(E599,Store_Dim!A:A,Store_Dim!D:D,"Not Found")</f>
        <v>Outlet</v>
      </c>
    </row>
    <row r="600" ht="14.25" customHeight="1">
      <c r="A600" s="8" t="s">
        <v>2553</v>
      </c>
      <c r="B600" s="12">
        <v>46078.0</v>
      </c>
      <c r="C600" s="8" t="s">
        <v>803</v>
      </c>
      <c r="D600" s="8" t="s">
        <v>1703</v>
      </c>
      <c r="E600" s="8" t="s">
        <v>1921</v>
      </c>
      <c r="F600" s="8">
        <v>3.0</v>
      </c>
      <c r="G600" s="8">
        <v>700.43</v>
      </c>
      <c r="H600" s="8">
        <v>0.01</v>
      </c>
      <c r="I600" s="8">
        <f t="shared" si="1"/>
        <v>2101.29</v>
      </c>
      <c r="J600" s="8">
        <f t="shared" si="2"/>
        <v>-21.0029</v>
      </c>
      <c r="K600" s="8" t="str">
        <f t="shared" si="3"/>
        <v>Feb</v>
      </c>
      <c r="L600" s="8">
        <f t="shared" si="4"/>
        <v>2026</v>
      </c>
      <c r="N600" s="8" t="str">
        <f t="array" ref="N600">XLOOKUP(C600,Customer_Dim!A:A,Customer_Dim!B:B,"Not Found")</f>
        <v>Mary Russell</v>
      </c>
      <c r="O600" s="8" t="str">
        <f t="array" ref="O600">XLOOKUP(C600,Customer_Dim!A:A,Customer_Dim!E:E,"Not Found")</f>
        <v>South Regina</v>
      </c>
      <c r="P600" s="8" t="str">
        <f t="array" ref="P600">XLOOKUP(D600,Product_Dim!A:A,Product_Dim!B:B,"Not Found")</f>
        <v>Portable Power Bank</v>
      </c>
      <c r="Q600" s="8" t="str">
        <f t="array" ref="Q600">XLOOKUP(D600,Product_Dim!A:A,Product_Dim!C:C,"Not Found")</f>
        <v>Electronics</v>
      </c>
      <c r="R600" s="8" t="str">
        <f t="array" ref="R600">XLOOKUP(E600,Store_Dim!A:A,Store_Dim!B:B,"Not Found")</f>
        <v>West</v>
      </c>
      <c r="S600" s="8" t="str">
        <f t="array" ref="S600">XLOOKUP(E600,Store_Dim!A:A,Store_Dim!D:D,"Not Found")</f>
        <v>Online</v>
      </c>
    </row>
    <row r="601" ht="14.25" customHeight="1">
      <c r="A601" s="8" t="s">
        <v>2554</v>
      </c>
      <c r="B601" s="12">
        <v>46079.0</v>
      </c>
      <c r="C601" s="8" t="s">
        <v>1080</v>
      </c>
      <c r="D601" s="8" t="s">
        <v>1601</v>
      </c>
      <c r="E601" s="8" t="s">
        <v>1906</v>
      </c>
      <c r="F601" s="8">
        <v>2.0</v>
      </c>
      <c r="G601" s="8">
        <v>823.03</v>
      </c>
      <c r="H601" s="8">
        <v>0.18</v>
      </c>
      <c r="I601" s="8">
        <f t="shared" si="1"/>
        <v>1646.06</v>
      </c>
      <c r="J601" s="8">
        <f t="shared" si="2"/>
        <v>-296.1108</v>
      </c>
      <c r="K601" s="8" t="str">
        <f t="shared" si="3"/>
        <v>Feb</v>
      </c>
      <c r="L601" s="8">
        <f t="shared" si="4"/>
        <v>2026</v>
      </c>
      <c r="N601" s="8" t="str">
        <f t="array" ref="N601">XLOOKUP(C601,Customer_Dim!A:A,Customer_Dim!B:B,"Not Found")</f>
        <v>Mrs. Susan Buckley</v>
      </c>
      <c r="O601" s="8" t="str">
        <f t="array" ref="O601">XLOOKUP(C601,Customer_Dim!A:A,Customer_Dim!E:E,"Not Found")</f>
        <v>Stevensbury</v>
      </c>
      <c r="P601" s="8" t="str">
        <f t="array" ref="P601">XLOOKUP(D601,Product_Dim!A:A,Product_Dim!B:B,"Not Found")</f>
        <v>Adjustable Dumbbell Set</v>
      </c>
      <c r="Q601" s="8" t="str">
        <f t="array" ref="Q601">XLOOKUP(D601,Product_Dim!A:A,Product_Dim!C:C,"Not Found")</f>
        <v>Sports</v>
      </c>
      <c r="R601" s="8" t="str">
        <f t="array" ref="R601">XLOOKUP(E601,Store_Dim!A:A,Store_Dim!B:B,"Not Found")</f>
        <v>South</v>
      </c>
      <c r="S601" s="8" t="str">
        <f t="array" ref="S601">XLOOKUP(E601,Store_Dim!A:A,Store_Dim!D:D,"Not Found")</f>
        <v>Outlet</v>
      </c>
    </row>
    <row r="602" ht="14.25" customHeight="1">
      <c r="A602" s="8" t="s">
        <v>2555</v>
      </c>
      <c r="B602" s="12">
        <v>46080.0</v>
      </c>
      <c r="C602" s="8" t="s">
        <v>830</v>
      </c>
      <c r="D602" s="8" t="s">
        <v>1866</v>
      </c>
      <c r="E602" s="8" t="s">
        <v>1917</v>
      </c>
      <c r="F602" s="8">
        <v>1.0</v>
      </c>
      <c r="G602" s="8">
        <v>117.37</v>
      </c>
      <c r="H602" s="8">
        <v>0.21</v>
      </c>
      <c r="I602" s="8">
        <f t="shared" si="1"/>
        <v>117.37</v>
      </c>
      <c r="J602" s="8">
        <f t="shared" si="2"/>
        <v>-24.4377</v>
      </c>
      <c r="K602" s="8" t="str">
        <f t="shared" si="3"/>
        <v>Feb</v>
      </c>
      <c r="L602" s="8">
        <f t="shared" si="4"/>
        <v>2026</v>
      </c>
      <c r="N602" s="8" t="str">
        <f t="array" ref="N602">XLOOKUP(C602,Customer_Dim!A:A,Customer_Dim!B:B,"Not Found")</f>
        <v>Damon Perez</v>
      </c>
      <c r="O602" s="8" t="str">
        <f t="array" ref="O602">XLOOKUP(C602,Customer_Dim!A:A,Customer_Dim!E:E,"Not Found")</f>
        <v>Jasonton</v>
      </c>
      <c r="P602" s="8" t="str">
        <f t="array" ref="P602">XLOOKUP(D602,Product_Dim!A:A,Product_Dim!B:B,"Not Found")</f>
        <v>Microwave Oven</v>
      </c>
      <c r="Q602" s="8" t="str">
        <f t="array" ref="Q602">XLOOKUP(D602,Product_Dim!A:A,Product_Dim!C:C,"Not Found")</f>
        <v>Home</v>
      </c>
      <c r="R602" s="8" t="str">
        <f t="array" ref="R602">XLOOKUP(E602,Store_Dim!A:A,Store_Dim!B:B,"Not Found")</f>
        <v>East</v>
      </c>
      <c r="S602" s="8" t="str">
        <f t="array" ref="S602">XLOOKUP(E602,Store_Dim!A:A,Store_Dim!D:D,"Not Found")</f>
        <v>Online</v>
      </c>
    </row>
    <row r="603" ht="14.25" customHeight="1">
      <c r="A603" s="8" t="s">
        <v>2556</v>
      </c>
      <c r="B603" s="12">
        <v>46081.0</v>
      </c>
      <c r="C603" s="8" t="s">
        <v>379</v>
      </c>
      <c r="D603" s="8" t="s">
        <v>1757</v>
      </c>
      <c r="E603" s="8" t="s">
        <v>1903</v>
      </c>
      <c r="F603" s="8">
        <v>4.0</v>
      </c>
      <c r="G603" s="8">
        <v>165.37</v>
      </c>
      <c r="H603" s="8">
        <v>0.29</v>
      </c>
      <c r="I603" s="8">
        <f t="shared" si="1"/>
        <v>661.48</v>
      </c>
      <c r="J603" s="8">
        <f t="shared" si="2"/>
        <v>-191.5392</v>
      </c>
      <c r="K603" s="8" t="str">
        <f t="shared" si="3"/>
        <v>Feb</v>
      </c>
      <c r="L603" s="8">
        <f t="shared" si="4"/>
        <v>2026</v>
      </c>
      <c r="N603" s="8" t="str">
        <f t="array" ref="N603">XLOOKUP(C603,Customer_Dim!A:A,Customer_Dim!B:B,"Not Found")</f>
        <v>Christopher Lester</v>
      </c>
      <c r="O603" s="8" t="str">
        <f t="array" ref="O603">XLOOKUP(C603,Customer_Dim!A:A,Customer_Dim!E:E,"Not Found")</f>
        <v>South Jenniferville</v>
      </c>
      <c r="P603" s="8" t="str">
        <f t="array" ref="P603">XLOOKUP(D603,Product_Dim!A:A,Product_Dim!B:B,"Not Found")</f>
        <v>Premium Blanket Throw</v>
      </c>
      <c r="Q603" s="8" t="str">
        <f t="array" ref="Q603">XLOOKUP(D603,Product_Dim!A:A,Product_Dim!C:C,"Not Found")</f>
        <v>Home</v>
      </c>
      <c r="R603" s="8" t="str">
        <f t="array" ref="R603">XLOOKUP(E603,Store_Dim!A:A,Store_Dim!B:B,"Not Found")</f>
        <v>North</v>
      </c>
      <c r="S603" s="8" t="str">
        <f t="array" ref="S603">XLOOKUP(E603,Store_Dim!A:A,Store_Dim!D:D,"Not Found")</f>
        <v>Flagship</v>
      </c>
    </row>
    <row r="604" ht="14.25" customHeight="1">
      <c r="A604" s="8" t="s">
        <v>2557</v>
      </c>
      <c r="B604" s="12">
        <v>46082.0</v>
      </c>
      <c r="C604" s="8" t="s">
        <v>1197</v>
      </c>
      <c r="D604" s="8" t="s">
        <v>1587</v>
      </c>
      <c r="E604" s="8" t="s">
        <v>1926</v>
      </c>
      <c r="F604" s="8">
        <v>3.0</v>
      </c>
      <c r="G604" s="8">
        <v>483.06</v>
      </c>
      <c r="H604" s="8">
        <v>0.05</v>
      </c>
      <c r="I604" s="8">
        <f t="shared" si="1"/>
        <v>1449.18</v>
      </c>
      <c r="J604" s="8">
        <f t="shared" si="2"/>
        <v>-72.409</v>
      </c>
      <c r="K604" s="8" t="str">
        <f t="shared" si="3"/>
        <v>Mar</v>
      </c>
      <c r="L604" s="8">
        <f t="shared" si="4"/>
        <v>2026</v>
      </c>
      <c r="N604" s="8" t="str">
        <f t="array" ref="N604">XLOOKUP(C604,Customer_Dim!A:A,Customer_Dim!B:B,"Not Found")</f>
        <v>Frank Stewart</v>
      </c>
      <c r="O604" s="8" t="str">
        <f t="array" ref="O604">XLOOKUP(C604,Customer_Dim!A:A,Customer_Dim!E:E,"Not Found")</f>
        <v>Fischerborough</v>
      </c>
      <c r="P604" s="8" t="str">
        <f t="array" ref="P604">XLOOKUP(D604,Product_Dim!A:A,Product_Dim!B:B,"Not Found")</f>
        <v>Herbal Face Moisturizer</v>
      </c>
      <c r="Q604" s="8" t="str">
        <f t="array" ref="Q604">XLOOKUP(D604,Product_Dim!A:A,Product_Dim!C:C,"Not Found")</f>
        <v>Beauty</v>
      </c>
      <c r="R604" s="8" t="str">
        <f t="array" ref="R604">XLOOKUP(E604,Store_Dim!A:A,Store_Dim!B:B,"Not Found")</f>
        <v>East</v>
      </c>
      <c r="S604" s="8" t="str">
        <f t="array" ref="S604">XLOOKUP(E604,Store_Dim!A:A,Store_Dim!D:D,"Not Found")</f>
        <v>Online</v>
      </c>
    </row>
    <row r="605" ht="14.25" customHeight="1">
      <c r="A605" s="8" t="s">
        <v>2558</v>
      </c>
      <c r="B605" s="12">
        <v>46083.0</v>
      </c>
      <c r="C605" s="8" t="s">
        <v>944</v>
      </c>
      <c r="D605" s="8" t="s">
        <v>1833</v>
      </c>
      <c r="E605" s="8" t="s">
        <v>1919</v>
      </c>
      <c r="F605" s="8">
        <v>4.0</v>
      </c>
      <c r="G605" s="8">
        <v>262.05</v>
      </c>
      <c r="H605" s="8">
        <v>0.24</v>
      </c>
      <c r="I605" s="8">
        <f t="shared" si="1"/>
        <v>1048.2</v>
      </c>
      <c r="J605" s="8">
        <f t="shared" si="2"/>
        <v>-251.328</v>
      </c>
      <c r="K605" s="8" t="str">
        <f t="shared" si="3"/>
        <v>Mar</v>
      </c>
      <c r="L605" s="8">
        <f t="shared" si="4"/>
        <v>2026</v>
      </c>
      <c r="N605" s="8" t="str">
        <f t="array" ref="N605">XLOOKUP(C605,Customer_Dim!A:A,Customer_Dim!B:B,"Not Found")</f>
        <v>Gloria Taylor</v>
      </c>
      <c r="O605" s="8" t="str">
        <f t="array" ref="O605">XLOOKUP(C605,Customer_Dim!A:A,Customer_Dim!E:E,"Not Found")</f>
        <v>North Daniel</v>
      </c>
      <c r="P605" s="8" t="str">
        <f t="array" ref="P605">XLOOKUP(D605,Product_Dim!A:A,Product_Dim!B:B,"Not Found")</f>
        <v>Badminton Racket Set</v>
      </c>
      <c r="Q605" s="8" t="str">
        <f t="array" ref="Q605">XLOOKUP(D605,Product_Dim!A:A,Product_Dim!C:C,"Not Found")</f>
        <v>Sports</v>
      </c>
      <c r="R605" s="8" t="str">
        <f t="array" ref="R605">XLOOKUP(E605,Store_Dim!A:A,Store_Dim!B:B,"Not Found")</f>
        <v>South</v>
      </c>
      <c r="S605" s="8" t="str">
        <f t="array" ref="S605">XLOOKUP(E605,Store_Dim!A:A,Store_Dim!D:D,"Not Found")</f>
        <v>Online</v>
      </c>
    </row>
    <row r="606" ht="14.25" customHeight="1">
      <c r="A606" s="8" t="s">
        <v>2559</v>
      </c>
      <c r="B606" s="12">
        <v>46084.0</v>
      </c>
      <c r="C606" s="8" t="s">
        <v>1444</v>
      </c>
      <c r="D606" s="8" t="s">
        <v>1620</v>
      </c>
      <c r="E606" s="8" t="s">
        <v>1932</v>
      </c>
      <c r="F606" s="8">
        <v>3.0</v>
      </c>
      <c r="G606" s="8">
        <v>970.89</v>
      </c>
      <c r="H606" s="8">
        <v>0.11</v>
      </c>
      <c r="I606" s="8">
        <f t="shared" si="1"/>
        <v>2912.67</v>
      </c>
      <c r="J606" s="8">
        <f t="shared" si="2"/>
        <v>-320.2837</v>
      </c>
      <c r="K606" s="8" t="str">
        <f t="shared" si="3"/>
        <v>Mar</v>
      </c>
      <c r="L606" s="8">
        <f t="shared" si="4"/>
        <v>2026</v>
      </c>
      <c r="N606" s="8" t="str">
        <f t="array" ref="N606">XLOOKUP(C606,Customer_Dim!A:A,Customer_Dim!B:B,"Not Found")</f>
        <v>Samantha Lee</v>
      </c>
      <c r="O606" s="8" t="str">
        <f t="array" ref="O606">XLOOKUP(C606,Customer_Dim!A:A,Customer_Dim!E:E,"Not Found")</f>
        <v>Port Anthony</v>
      </c>
      <c r="P606" s="8" t="str">
        <f t="array" ref="P606">XLOOKUP(D606,Product_Dim!A:A,Product_Dim!B:B,"Not Found")</f>
        <v>Decorative Wall Mirror</v>
      </c>
      <c r="Q606" s="8" t="str">
        <f t="array" ref="Q606">XLOOKUP(D606,Product_Dim!A:A,Product_Dim!C:C,"Not Found")</f>
        <v>Home</v>
      </c>
      <c r="R606" s="8" t="str">
        <f t="array" ref="R606">XLOOKUP(E606,Store_Dim!A:A,Store_Dim!B:B,"Not Found")</f>
        <v>South</v>
      </c>
      <c r="S606" s="8" t="str">
        <f t="array" ref="S606">XLOOKUP(E606,Store_Dim!A:A,Store_Dim!D:D,"Not Found")</f>
        <v>Outlet</v>
      </c>
    </row>
    <row r="607" ht="14.25" customHeight="1">
      <c r="A607" s="8" t="s">
        <v>2560</v>
      </c>
      <c r="B607" s="12">
        <v>46085.0</v>
      </c>
      <c r="C607" s="8" t="s">
        <v>714</v>
      </c>
      <c r="D607" s="8" t="s">
        <v>1806</v>
      </c>
      <c r="E607" s="8" t="s">
        <v>1899</v>
      </c>
      <c r="F607" s="8">
        <v>1.0</v>
      </c>
      <c r="G607" s="8">
        <v>61.11</v>
      </c>
      <c r="H607" s="8">
        <v>0.1</v>
      </c>
      <c r="I607" s="8">
        <f t="shared" si="1"/>
        <v>61.11</v>
      </c>
      <c r="J607" s="8">
        <f t="shared" si="2"/>
        <v>-6.011</v>
      </c>
      <c r="K607" s="8" t="str">
        <f t="shared" si="3"/>
        <v>Mar</v>
      </c>
      <c r="L607" s="8">
        <f t="shared" si="4"/>
        <v>2026</v>
      </c>
      <c r="N607" s="8" t="str">
        <f t="array" ref="N607">XLOOKUP(C607,Customer_Dim!A:A,Customer_Dim!B:B,"Not Found")</f>
        <v>Kathryn Garcia</v>
      </c>
      <c r="O607" s="8" t="str">
        <f t="array" ref="O607">XLOOKUP(C607,Customer_Dim!A:A,Customer_Dim!E:E,"Not Found")</f>
        <v>Morrismouth</v>
      </c>
      <c r="P607" s="8" t="str">
        <f t="array" ref="P607">XLOOKUP(D607,Product_Dim!A:A,Product_Dim!B:B,"Not Found")</f>
        <v>Professional Jump Rope</v>
      </c>
      <c r="Q607" s="8" t="str">
        <f t="array" ref="Q607">XLOOKUP(D607,Product_Dim!A:A,Product_Dim!C:C,"Not Found")</f>
        <v>Sports</v>
      </c>
      <c r="R607" s="8" t="str">
        <f t="array" ref="R607">XLOOKUP(E607,Store_Dim!A:A,Store_Dim!B:B,"Not Found")</f>
        <v>East</v>
      </c>
      <c r="S607" s="8" t="str">
        <f t="array" ref="S607">XLOOKUP(E607,Store_Dim!A:A,Store_Dim!D:D,"Not Found")</f>
        <v>Flagship</v>
      </c>
    </row>
    <row r="608" ht="14.25" customHeight="1">
      <c r="A608" s="8" t="s">
        <v>2561</v>
      </c>
      <c r="B608" s="12">
        <v>46086.0</v>
      </c>
      <c r="C608" s="8" t="s">
        <v>131</v>
      </c>
      <c r="D608" s="8" t="s">
        <v>1665</v>
      </c>
      <c r="E608" s="8" t="s">
        <v>1921</v>
      </c>
      <c r="F608" s="8">
        <v>3.0</v>
      </c>
      <c r="G608" s="8">
        <v>827.88</v>
      </c>
      <c r="H608" s="8">
        <v>0.19</v>
      </c>
      <c r="I608" s="8">
        <f t="shared" si="1"/>
        <v>2483.64</v>
      </c>
      <c r="J608" s="8">
        <f t="shared" si="2"/>
        <v>-471.7016</v>
      </c>
      <c r="K608" s="8" t="str">
        <f t="shared" si="3"/>
        <v>Mar</v>
      </c>
      <c r="L608" s="8">
        <f t="shared" si="4"/>
        <v>2026</v>
      </c>
      <c r="N608" s="8" t="str">
        <f t="array" ref="N608">XLOOKUP(C608,Customer_Dim!A:A,Customer_Dim!B:B,"Not Found")</f>
        <v>David Arnold</v>
      </c>
      <c r="O608" s="8" t="str">
        <f t="array" ref="O608">XLOOKUP(C608,Customer_Dim!A:A,Customer_Dim!E:E,"Not Found")</f>
        <v>East Jennifer</v>
      </c>
      <c r="P608" s="8" t="str">
        <f t="array" ref="P608">XLOOKUP(D608,Product_Dim!A:A,Product_Dim!B:B,"Not Found")</f>
        <v>Decorative Floor Vase</v>
      </c>
      <c r="Q608" s="8" t="str">
        <f t="array" ref="Q608">XLOOKUP(D608,Product_Dim!A:A,Product_Dim!C:C,"Not Found")</f>
        <v>Home</v>
      </c>
      <c r="R608" s="8" t="str">
        <f t="array" ref="R608">XLOOKUP(E608,Store_Dim!A:A,Store_Dim!B:B,"Not Found")</f>
        <v>West</v>
      </c>
      <c r="S608" s="8" t="str">
        <f t="array" ref="S608">XLOOKUP(E608,Store_Dim!A:A,Store_Dim!D:D,"Not Found")</f>
        <v>Online</v>
      </c>
    </row>
    <row r="609" ht="14.25" customHeight="1">
      <c r="A609" s="8" t="s">
        <v>2562</v>
      </c>
      <c r="B609" s="12">
        <v>46087.0</v>
      </c>
      <c r="C609" s="8" t="s">
        <v>1350</v>
      </c>
      <c r="D609" s="8" t="s">
        <v>1851</v>
      </c>
      <c r="E609" s="8" t="s">
        <v>1931</v>
      </c>
      <c r="F609" s="8">
        <v>3.0</v>
      </c>
      <c r="G609" s="8">
        <v>926.85</v>
      </c>
      <c r="H609" s="8">
        <v>0.18</v>
      </c>
      <c r="I609" s="8">
        <f t="shared" si="1"/>
        <v>2780.55</v>
      </c>
      <c r="J609" s="8">
        <f t="shared" si="2"/>
        <v>-500.319</v>
      </c>
      <c r="K609" s="8" t="str">
        <f t="shared" si="3"/>
        <v>Mar</v>
      </c>
      <c r="L609" s="8">
        <f t="shared" si="4"/>
        <v>2026</v>
      </c>
      <c r="N609" s="8" t="str">
        <f t="array" ref="N609">XLOOKUP(C609,Customer_Dim!A:A,Customer_Dim!B:B,"Not Found")</f>
        <v>Kimberly Roberts</v>
      </c>
      <c r="O609" s="8" t="str">
        <f t="array" ref="O609">XLOOKUP(C609,Customer_Dim!A:A,Customer_Dim!E:E,"Not Found")</f>
        <v>Josephchester</v>
      </c>
      <c r="P609" s="8" t="str">
        <f t="array" ref="P609">XLOOKUP(D609,Product_Dim!A:A,Product_Dim!B:B,"Not Found")</f>
        <v>LED Bedside Lamp</v>
      </c>
      <c r="Q609" s="8" t="str">
        <f t="array" ref="Q609">XLOOKUP(D609,Product_Dim!A:A,Product_Dim!C:C,"Not Found")</f>
        <v>Home</v>
      </c>
      <c r="R609" s="8" t="str">
        <f t="array" ref="R609">XLOOKUP(E609,Store_Dim!A:A,Store_Dim!B:B,"Not Found")</f>
        <v>East</v>
      </c>
      <c r="S609" s="8" t="str">
        <f t="array" ref="S609">XLOOKUP(E609,Store_Dim!A:A,Store_Dim!D:D,"Not Found")</f>
        <v>Flagship</v>
      </c>
    </row>
    <row r="610" ht="14.25" customHeight="1">
      <c r="A610" s="8" t="s">
        <v>2563</v>
      </c>
      <c r="B610" s="12">
        <v>46088.0</v>
      </c>
      <c r="C610" s="8" t="s">
        <v>1014</v>
      </c>
      <c r="D610" s="8" t="s">
        <v>1606</v>
      </c>
      <c r="E610" s="8" t="s">
        <v>1932</v>
      </c>
      <c r="F610" s="8">
        <v>1.0</v>
      </c>
      <c r="G610" s="8">
        <v>874.59</v>
      </c>
      <c r="H610" s="8">
        <v>0.29</v>
      </c>
      <c r="I610" s="8">
        <f t="shared" si="1"/>
        <v>874.59</v>
      </c>
      <c r="J610" s="8">
        <f t="shared" si="2"/>
        <v>-253.3411</v>
      </c>
      <c r="K610" s="8" t="str">
        <f t="shared" si="3"/>
        <v>Mar</v>
      </c>
      <c r="L610" s="8">
        <f t="shared" si="4"/>
        <v>2026</v>
      </c>
      <c r="N610" s="8" t="str">
        <f t="array" ref="N610">XLOOKUP(C610,Customer_Dim!A:A,Customer_Dim!B:B,"Not Found")</f>
        <v>Tiffany Williams</v>
      </c>
      <c r="O610" s="8" t="str">
        <f t="array" ref="O610">XLOOKUP(C610,Customer_Dim!A:A,Customer_Dim!E:E,"Not Found")</f>
        <v>Richardsport</v>
      </c>
      <c r="P610" s="8" t="str">
        <f t="array" ref="P610">XLOOKUP(D610,Product_Dim!A:A,Product_Dim!B:B,"Not Found")</f>
        <v>Ceramic Kitchen Bowl Set</v>
      </c>
      <c r="Q610" s="8" t="str">
        <f t="array" ref="Q610">XLOOKUP(D610,Product_Dim!A:A,Product_Dim!C:C,"Not Found")</f>
        <v>Home</v>
      </c>
      <c r="R610" s="8" t="str">
        <f t="array" ref="R610">XLOOKUP(E610,Store_Dim!A:A,Store_Dim!B:B,"Not Found")</f>
        <v>South</v>
      </c>
      <c r="S610" s="8" t="str">
        <f t="array" ref="S610">XLOOKUP(E610,Store_Dim!A:A,Store_Dim!D:D,"Not Found")</f>
        <v>Outlet</v>
      </c>
    </row>
    <row r="611" ht="14.25" customHeight="1">
      <c r="A611" s="8" t="s">
        <v>2564</v>
      </c>
      <c r="B611" s="12">
        <v>46089.0</v>
      </c>
      <c r="C611" s="8" t="s">
        <v>1465</v>
      </c>
      <c r="D611" s="8" t="s">
        <v>1624</v>
      </c>
      <c r="E611" s="8" t="s">
        <v>1903</v>
      </c>
      <c r="F611" s="8">
        <v>4.0</v>
      </c>
      <c r="G611" s="8">
        <v>479.11</v>
      </c>
      <c r="H611" s="8">
        <v>0.24</v>
      </c>
      <c r="I611" s="8">
        <f t="shared" si="1"/>
        <v>1916.44</v>
      </c>
      <c r="J611" s="8">
        <f t="shared" si="2"/>
        <v>-459.7056</v>
      </c>
      <c r="K611" s="8" t="str">
        <f t="shared" si="3"/>
        <v>Mar</v>
      </c>
      <c r="L611" s="8">
        <f t="shared" si="4"/>
        <v>2026</v>
      </c>
      <c r="N611" s="8" t="str">
        <f t="array" ref="N611">XLOOKUP(C611,Customer_Dim!A:A,Customer_Dim!B:B,"Not Found")</f>
        <v>Manuel Fisher</v>
      </c>
      <c r="O611" s="8" t="str">
        <f t="array" ref="O611">XLOOKUP(C611,Customer_Dim!A:A,Customer_Dim!E:E,"Not Found")</f>
        <v>Kanebury</v>
      </c>
      <c r="P611" s="8" t="str">
        <f t="array" ref="P611">XLOOKUP(D611,Product_Dim!A:A,Product_Dim!B:B,"Not Found")</f>
        <v>4K Home Projector</v>
      </c>
      <c r="Q611" s="8" t="str">
        <f t="array" ref="Q611">XLOOKUP(D611,Product_Dim!A:A,Product_Dim!C:C,"Not Found")</f>
        <v>Electronics</v>
      </c>
      <c r="R611" s="8" t="str">
        <f t="array" ref="R611">XLOOKUP(E611,Store_Dim!A:A,Store_Dim!B:B,"Not Found")</f>
        <v>North</v>
      </c>
      <c r="S611" s="8" t="str">
        <f t="array" ref="S611">XLOOKUP(E611,Store_Dim!A:A,Store_Dim!D:D,"Not Found")</f>
        <v>Flagship</v>
      </c>
    </row>
    <row r="612" ht="14.25" customHeight="1">
      <c r="A612" s="8" t="s">
        <v>2565</v>
      </c>
      <c r="B612" s="12">
        <v>46090.0</v>
      </c>
      <c r="C612" s="8" t="s">
        <v>705</v>
      </c>
      <c r="D612" s="8" t="s">
        <v>1681</v>
      </c>
      <c r="E612" s="8" t="s">
        <v>1937</v>
      </c>
      <c r="F612" s="8">
        <v>3.0</v>
      </c>
      <c r="G612" s="8">
        <v>182.91</v>
      </c>
      <c r="H612" s="8">
        <v>0.29</v>
      </c>
      <c r="I612" s="8">
        <f t="shared" si="1"/>
        <v>548.73</v>
      </c>
      <c r="J612" s="8">
        <f t="shared" si="2"/>
        <v>-158.8417</v>
      </c>
      <c r="K612" s="8" t="str">
        <f t="shared" si="3"/>
        <v>Mar</v>
      </c>
      <c r="L612" s="8">
        <f t="shared" si="4"/>
        <v>2026</v>
      </c>
      <c r="N612" s="8" t="str">
        <f t="array" ref="N612">XLOOKUP(C612,Customer_Dim!A:A,Customer_Dim!B:B,"Not Found")</f>
        <v>Stuart Johnson</v>
      </c>
      <c r="O612" s="8" t="str">
        <f t="array" ref="O612">XLOOKUP(C612,Customer_Dim!A:A,Customer_Dim!E:E,"Not Found")</f>
        <v>West Markport</v>
      </c>
      <c r="P612" s="8" t="str">
        <f t="array" ref="P612">XLOOKUP(D612,Product_Dim!A:A,Product_Dim!B:B,"Not Found")</f>
        <v>Vitamin C Face Serum</v>
      </c>
      <c r="Q612" s="8" t="str">
        <f t="array" ref="Q612">XLOOKUP(D612,Product_Dim!A:A,Product_Dim!C:C,"Not Found")</f>
        <v>Beauty</v>
      </c>
      <c r="R612" s="8" t="str">
        <f t="array" ref="R612">XLOOKUP(E612,Store_Dim!A:A,Store_Dim!B:B,"Not Found")</f>
        <v>North</v>
      </c>
      <c r="S612" s="8" t="str">
        <f t="array" ref="S612">XLOOKUP(E612,Store_Dim!A:A,Store_Dim!D:D,"Not Found")</f>
        <v>Flagship</v>
      </c>
    </row>
    <row r="613" ht="14.25" customHeight="1">
      <c r="A613" s="8" t="s">
        <v>2566</v>
      </c>
      <c r="B613" s="12">
        <v>46091.0</v>
      </c>
      <c r="C613" s="8" t="s">
        <v>881</v>
      </c>
      <c r="D613" s="8" t="s">
        <v>1687</v>
      </c>
      <c r="E613" s="8" t="s">
        <v>1915</v>
      </c>
      <c r="F613" s="8">
        <v>4.0</v>
      </c>
      <c r="G613" s="8">
        <v>745.51</v>
      </c>
      <c r="H613" s="8">
        <v>0.05</v>
      </c>
      <c r="I613" s="8">
        <f t="shared" si="1"/>
        <v>2982.04</v>
      </c>
      <c r="J613" s="8">
        <f t="shared" si="2"/>
        <v>-149.052</v>
      </c>
      <c r="K613" s="8" t="str">
        <f t="shared" si="3"/>
        <v>Mar</v>
      </c>
      <c r="L613" s="8">
        <f t="shared" si="4"/>
        <v>2026</v>
      </c>
      <c r="N613" s="8" t="str">
        <f t="array" ref="N613">XLOOKUP(C613,Customer_Dim!A:A,Customer_Dim!B:B,"Not Found")</f>
        <v>Adam Rowland</v>
      </c>
      <c r="O613" s="8" t="str">
        <f t="array" ref="O613">XLOOKUP(C613,Customer_Dim!A:A,Customer_Dim!E:E,"Not Found")</f>
        <v>Welchview</v>
      </c>
      <c r="P613" s="8" t="str">
        <f t="array" ref="P613">XLOOKUP(D613,Product_Dim!A:A,Product_Dim!B:B,"Not Found")</f>
        <v>Gaming Mechanical Keyboard</v>
      </c>
      <c r="Q613" s="8" t="str">
        <f t="array" ref="Q613">XLOOKUP(D613,Product_Dim!A:A,Product_Dim!C:C,"Not Found")</f>
        <v>Electronics</v>
      </c>
      <c r="R613" s="8" t="str">
        <f t="array" ref="R613">XLOOKUP(E613,Store_Dim!A:A,Store_Dim!B:B,"Not Found")</f>
        <v>North</v>
      </c>
      <c r="S613" s="8" t="str">
        <f t="array" ref="S613">XLOOKUP(E613,Store_Dim!A:A,Store_Dim!D:D,"Not Found")</f>
        <v>Outlet</v>
      </c>
    </row>
    <row r="614" ht="14.25" customHeight="1">
      <c r="A614" s="8" t="s">
        <v>2567</v>
      </c>
      <c r="B614" s="12">
        <v>46092.0</v>
      </c>
      <c r="C614" s="8" t="s">
        <v>1497</v>
      </c>
      <c r="D614" s="8" t="s">
        <v>1854</v>
      </c>
      <c r="E614" s="8" t="s">
        <v>1933</v>
      </c>
      <c r="F614" s="8">
        <v>3.0</v>
      </c>
      <c r="G614" s="8">
        <v>920.61</v>
      </c>
      <c r="H614" s="8">
        <v>0.04</v>
      </c>
      <c r="I614" s="8">
        <f t="shared" si="1"/>
        <v>2761.83</v>
      </c>
      <c r="J614" s="8">
        <f t="shared" si="2"/>
        <v>-110.4332</v>
      </c>
      <c r="K614" s="8" t="str">
        <f t="shared" si="3"/>
        <v>Mar</v>
      </c>
      <c r="L614" s="8">
        <f t="shared" si="4"/>
        <v>2026</v>
      </c>
      <c r="N614" s="8" t="str">
        <f t="array" ref="N614">XLOOKUP(C614,Customer_Dim!A:A,Customer_Dim!B:B,"Not Found")</f>
        <v>Bryan Tran</v>
      </c>
      <c r="O614" s="8" t="str">
        <f t="array" ref="O614">XLOOKUP(C614,Customer_Dim!A:A,Customer_Dim!E:E,"Not Found")</f>
        <v>Kelseybury</v>
      </c>
      <c r="P614" s="8" t="str">
        <f t="array" ref="P614">XLOOKUP(D614,Product_Dim!A:A,Product_Dim!B:B,"Not Found")</f>
        <v>Sports Wrist Sweatbands</v>
      </c>
      <c r="Q614" s="8" t="str">
        <f t="array" ref="Q614">XLOOKUP(D614,Product_Dim!A:A,Product_Dim!C:C,"Not Found")</f>
        <v>Sports</v>
      </c>
      <c r="R614" s="8" t="str">
        <f t="array" ref="R614">XLOOKUP(E614,Store_Dim!A:A,Store_Dim!B:B,"Not Found")</f>
        <v>North</v>
      </c>
      <c r="S614" s="8" t="str">
        <f t="array" ref="S614">XLOOKUP(E614,Store_Dim!A:A,Store_Dim!D:D,"Not Found")</f>
        <v>Flagship</v>
      </c>
    </row>
    <row r="615" ht="14.25" customHeight="1">
      <c r="A615" s="8" t="s">
        <v>2568</v>
      </c>
      <c r="B615" s="12">
        <v>46093.0</v>
      </c>
      <c r="C615" s="8" t="s">
        <v>1335</v>
      </c>
      <c r="D615" s="8" t="s">
        <v>1815</v>
      </c>
      <c r="E615" s="8" t="s">
        <v>1926</v>
      </c>
      <c r="F615" s="8">
        <v>4.0</v>
      </c>
      <c r="G615" s="8">
        <v>659.03</v>
      </c>
      <c r="H615" s="8">
        <v>0.15</v>
      </c>
      <c r="I615" s="8">
        <f t="shared" si="1"/>
        <v>2636.12</v>
      </c>
      <c r="J615" s="8">
        <f t="shared" si="2"/>
        <v>-395.268</v>
      </c>
      <c r="K615" s="8" t="str">
        <f t="shared" si="3"/>
        <v>Mar</v>
      </c>
      <c r="L615" s="8">
        <f t="shared" si="4"/>
        <v>2026</v>
      </c>
      <c r="N615" s="8" t="str">
        <f t="array" ref="N615">XLOOKUP(C615,Customer_Dim!A:A,Customer_Dim!B:B,"Not Found")</f>
        <v>Bryce Hawkins</v>
      </c>
      <c r="O615" s="8" t="str">
        <f t="array" ref="O615">XLOOKUP(C615,Customer_Dim!A:A,Customer_Dim!E:E,"Not Found")</f>
        <v>Lake Monique</v>
      </c>
      <c r="P615" s="8" t="str">
        <f t="array" ref="P615">XLOOKUP(D615,Product_Dim!A:A,Product_Dim!B:B,"Not Found")</f>
        <v>Women's Ankle Boots</v>
      </c>
      <c r="Q615" s="8" t="str">
        <f t="array" ref="Q615">XLOOKUP(D615,Product_Dim!A:A,Product_Dim!C:C,"Not Found")</f>
        <v>Clothing</v>
      </c>
      <c r="R615" s="8" t="str">
        <f t="array" ref="R615">XLOOKUP(E615,Store_Dim!A:A,Store_Dim!B:B,"Not Found")</f>
        <v>East</v>
      </c>
      <c r="S615" s="8" t="str">
        <f t="array" ref="S615">XLOOKUP(E615,Store_Dim!A:A,Store_Dim!D:D,"Not Found")</f>
        <v>Online</v>
      </c>
    </row>
    <row r="616" ht="14.25" customHeight="1">
      <c r="A616" s="8" t="s">
        <v>2569</v>
      </c>
      <c r="B616" s="12">
        <v>46094.0</v>
      </c>
      <c r="C616" s="8" t="s">
        <v>1526</v>
      </c>
      <c r="D616" s="8" t="s">
        <v>1601</v>
      </c>
      <c r="E616" s="8" t="s">
        <v>1906</v>
      </c>
      <c r="F616" s="8">
        <v>1.0</v>
      </c>
      <c r="G616" s="8">
        <v>312.91</v>
      </c>
      <c r="H616" s="8">
        <v>0.12</v>
      </c>
      <c r="I616" s="8">
        <f t="shared" si="1"/>
        <v>312.91</v>
      </c>
      <c r="J616" s="8">
        <f t="shared" si="2"/>
        <v>-37.4292</v>
      </c>
      <c r="K616" s="8" t="str">
        <f t="shared" si="3"/>
        <v>Mar</v>
      </c>
      <c r="L616" s="8">
        <f t="shared" si="4"/>
        <v>2026</v>
      </c>
      <c r="N616" s="8" t="str">
        <f t="array" ref="N616">XLOOKUP(C616,Customer_Dim!A:A,Customer_Dim!B:B,"Not Found")</f>
        <v>Kaitlin Brown</v>
      </c>
      <c r="O616" s="8" t="str">
        <f t="array" ref="O616">XLOOKUP(C616,Customer_Dim!A:A,Customer_Dim!E:E,"Not Found")</f>
        <v>Kellyberg</v>
      </c>
      <c r="P616" s="8" t="str">
        <f t="array" ref="P616">XLOOKUP(D616,Product_Dim!A:A,Product_Dim!B:B,"Not Found")</f>
        <v>Adjustable Dumbbell Set</v>
      </c>
      <c r="Q616" s="8" t="str">
        <f t="array" ref="Q616">XLOOKUP(D616,Product_Dim!A:A,Product_Dim!C:C,"Not Found")</f>
        <v>Sports</v>
      </c>
      <c r="R616" s="8" t="str">
        <f t="array" ref="R616">XLOOKUP(E616,Store_Dim!A:A,Store_Dim!B:B,"Not Found")</f>
        <v>South</v>
      </c>
      <c r="S616" s="8" t="str">
        <f t="array" ref="S616">XLOOKUP(E616,Store_Dim!A:A,Store_Dim!D:D,"Not Found")</f>
        <v>Outlet</v>
      </c>
    </row>
    <row r="617" ht="14.25" customHeight="1">
      <c r="A617" s="8" t="s">
        <v>2570</v>
      </c>
      <c r="B617" s="12">
        <v>46095.0</v>
      </c>
      <c r="C617" s="8" t="s">
        <v>750</v>
      </c>
      <c r="D617" s="8" t="s">
        <v>1613</v>
      </c>
      <c r="E617" s="8" t="s">
        <v>1939</v>
      </c>
      <c r="F617" s="8">
        <v>4.0</v>
      </c>
      <c r="G617" s="8">
        <v>705.64</v>
      </c>
      <c r="H617" s="8">
        <v>0.11</v>
      </c>
      <c r="I617" s="8">
        <f t="shared" si="1"/>
        <v>2822.56</v>
      </c>
      <c r="J617" s="8">
        <f t="shared" si="2"/>
        <v>-310.3716</v>
      </c>
      <c r="K617" s="8" t="str">
        <f t="shared" si="3"/>
        <v>Mar</v>
      </c>
      <c r="L617" s="8">
        <f t="shared" si="4"/>
        <v>2026</v>
      </c>
      <c r="N617" s="8" t="str">
        <f t="array" ref="N617">XLOOKUP(C617,Customer_Dim!A:A,Customer_Dim!B:B,"Not Found")</f>
        <v>Casey Flores</v>
      </c>
      <c r="O617" s="8" t="str">
        <f t="array" ref="O617">XLOOKUP(C617,Customer_Dim!A:A,Customer_Dim!E:E,"Not Found")</f>
        <v>Lake Michael</v>
      </c>
      <c r="P617" s="8" t="str">
        <f t="array" ref="P617">XLOOKUP(D617,Product_Dim!A:A,Product_Dim!B:B,"Not Found")</f>
        <v>Hair Strengthening Shampoo</v>
      </c>
      <c r="Q617" s="8" t="str">
        <f t="array" ref="Q617">XLOOKUP(D617,Product_Dim!A:A,Product_Dim!C:C,"Not Found")</f>
        <v>Beauty</v>
      </c>
      <c r="R617" s="8" t="str">
        <f t="array" ref="R617">XLOOKUP(E617,Store_Dim!A:A,Store_Dim!B:B,"Not Found")</f>
        <v>East</v>
      </c>
      <c r="S617" s="8" t="str">
        <f t="array" ref="S617">XLOOKUP(E617,Store_Dim!A:A,Store_Dim!D:D,"Not Found")</f>
        <v>Flagship</v>
      </c>
    </row>
    <row r="618" ht="14.25" customHeight="1">
      <c r="A618" s="8" t="s">
        <v>2571</v>
      </c>
      <c r="B618" s="12">
        <v>46096.0</v>
      </c>
      <c r="C618" s="8" t="s">
        <v>499</v>
      </c>
      <c r="D618" s="8" t="s">
        <v>1601</v>
      </c>
      <c r="E618" s="8" t="s">
        <v>1926</v>
      </c>
      <c r="F618" s="8">
        <v>4.0</v>
      </c>
      <c r="G618" s="8">
        <v>386.41</v>
      </c>
      <c r="H618" s="8">
        <v>0.13</v>
      </c>
      <c r="I618" s="8">
        <f t="shared" si="1"/>
        <v>1545.64</v>
      </c>
      <c r="J618" s="8">
        <f t="shared" si="2"/>
        <v>-200.8032</v>
      </c>
      <c r="K618" s="8" t="str">
        <f t="shared" si="3"/>
        <v>Mar</v>
      </c>
      <c r="L618" s="8">
        <f t="shared" si="4"/>
        <v>2026</v>
      </c>
      <c r="N618" s="8" t="str">
        <f t="array" ref="N618">XLOOKUP(C618,Customer_Dim!A:A,Customer_Dim!B:B,"Not Found")</f>
        <v>Justin Cross</v>
      </c>
      <c r="O618" s="8" t="str">
        <f t="array" ref="O618">XLOOKUP(C618,Customer_Dim!A:A,Customer_Dim!E:E,"Not Found")</f>
        <v>North Anthonychester</v>
      </c>
      <c r="P618" s="8" t="str">
        <f t="array" ref="P618">XLOOKUP(D618,Product_Dim!A:A,Product_Dim!B:B,"Not Found")</f>
        <v>Adjustable Dumbbell Set</v>
      </c>
      <c r="Q618" s="8" t="str">
        <f t="array" ref="Q618">XLOOKUP(D618,Product_Dim!A:A,Product_Dim!C:C,"Not Found")</f>
        <v>Sports</v>
      </c>
      <c r="R618" s="8" t="str">
        <f t="array" ref="R618">XLOOKUP(E618,Store_Dim!A:A,Store_Dim!B:B,"Not Found")</f>
        <v>East</v>
      </c>
      <c r="S618" s="8" t="str">
        <f t="array" ref="S618">XLOOKUP(E618,Store_Dim!A:A,Store_Dim!D:D,"Not Found")</f>
        <v>Online</v>
      </c>
    </row>
    <row r="619" ht="14.25" customHeight="1">
      <c r="A619" s="8" t="s">
        <v>2572</v>
      </c>
      <c r="B619" s="12">
        <v>46097.0</v>
      </c>
      <c r="C619" s="8" t="s">
        <v>131</v>
      </c>
      <c r="D619" s="8" t="s">
        <v>1872</v>
      </c>
      <c r="E619" s="8" t="s">
        <v>1928</v>
      </c>
      <c r="F619" s="8">
        <v>3.0</v>
      </c>
      <c r="G619" s="8">
        <v>265.89</v>
      </c>
      <c r="H619" s="8">
        <v>0.08</v>
      </c>
      <c r="I619" s="8">
        <f t="shared" si="1"/>
        <v>797.67</v>
      </c>
      <c r="J619" s="8">
        <f t="shared" si="2"/>
        <v>-63.7336</v>
      </c>
      <c r="K619" s="8" t="str">
        <f t="shared" si="3"/>
        <v>Mar</v>
      </c>
      <c r="L619" s="8">
        <f t="shared" si="4"/>
        <v>2026</v>
      </c>
      <c r="N619" s="8" t="str">
        <f t="array" ref="N619">XLOOKUP(C619,Customer_Dim!A:A,Customer_Dim!B:B,"Not Found")</f>
        <v>David Arnold</v>
      </c>
      <c r="O619" s="8" t="str">
        <f t="array" ref="O619">XLOOKUP(C619,Customer_Dim!A:A,Customer_Dim!E:E,"Not Found")</f>
        <v>East Jennifer</v>
      </c>
      <c r="P619" s="8" t="str">
        <f t="array" ref="P619">XLOOKUP(D619,Product_Dim!A:A,Product_Dim!B:B,"Not Found")</f>
        <v>Vitamin E Body Lotion</v>
      </c>
      <c r="Q619" s="8" t="str">
        <f t="array" ref="Q619">XLOOKUP(D619,Product_Dim!A:A,Product_Dim!C:C,"Not Found")</f>
        <v>Beauty</v>
      </c>
      <c r="R619" s="8" t="str">
        <f t="array" ref="R619">XLOOKUP(E619,Store_Dim!A:A,Store_Dim!B:B,"Not Found")</f>
        <v>South</v>
      </c>
      <c r="S619" s="8" t="str">
        <f t="array" ref="S619">XLOOKUP(E619,Store_Dim!A:A,Store_Dim!D:D,"Not Found")</f>
        <v>Online</v>
      </c>
    </row>
    <row r="620" ht="14.25" customHeight="1">
      <c r="A620" s="8" t="s">
        <v>2573</v>
      </c>
      <c r="B620" s="12">
        <v>46098.0</v>
      </c>
      <c r="C620" s="8" t="s">
        <v>285</v>
      </c>
      <c r="D620" s="8" t="s">
        <v>1674</v>
      </c>
      <c r="E620" s="8" t="s">
        <v>1935</v>
      </c>
      <c r="F620" s="8">
        <v>1.0</v>
      </c>
      <c r="G620" s="8">
        <v>703.16</v>
      </c>
      <c r="H620" s="8">
        <v>0.29</v>
      </c>
      <c r="I620" s="8">
        <f t="shared" si="1"/>
        <v>703.16</v>
      </c>
      <c r="J620" s="8">
        <f t="shared" si="2"/>
        <v>-203.6264</v>
      </c>
      <c r="K620" s="8" t="str">
        <f t="shared" si="3"/>
        <v>Mar</v>
      </c>
      <c r="L620" s="8">
        <f t="shared" si="4"/>
        <v>2026</v>
      </c>
      <c r="N620" s="8" t="str">
        <f t="array" ref="N620">XLOOKUP(C620,Customer_Dim!A:A,Customer_Dim!B:B,"Not Found")</f>
        <v>Rhonda Morales</v>
      </c>
      <c r="O620" s="8" t="str">
        <f t="array" ref="O620">XLOOKUP(C620,Customer_Dim!A:A,Customer_Dim!E:E,"Not Found")</f>
        <v>Lake Barryfurt</v>
      </c>
      <c r="P620" s="8" t="str">
        <f t="array" ref="P620">XLOOKUP(D620,Product_Dim!A:A,Product_Dim!B:B,"Not Found")</f>
        <v>Stainless Steel Cutlery Set</v>
      </c>
      <c r="Q620" s="8" t="str">
        <f t="array" ref="Q620">XLOOKUP(D620,Product_Dim!A:A,Product_Dim!C:C,"Not Found")</f>
        <v>Home</v>
      </c>
      <c r="R620" s="8" t="str">
        <f t="array" ref="R620">XLOOKUP(E620,Store_Dim!A:A,Store_Dim!B:B,"Not Found")</f>
        <v>West</v>
      </c>
      <c r="S620" s="8" t="str">
        <f t="array" ref="S620">XLOOKUP(E620,Store_Dim!A:A,Store_Dim!D:D,"Not Found")</f>
        <v>Flagship</v>
      </c>
    </row>
    <row r="621" ht="14.25" customHeight="1">
      <c r="A621" s="8" t="s">
        <v>2574</v>
      </c>
      <c r="B621" s="12">
        <v>46099.0</v>
      </c>
      <c r="C621" s="8" t="s">
        <v>1468</v>
      </c>
      <c r="D621" s="8" t="s">
        <v>1881</v>
      </c>
      <c r="E621" s="8" t="s">
        <v>1931</v>
      </c>
      <c r="F621" s="8">
        <v>2.0</v>
      </c>
      <c r="G621" s="8">
        <v>394.5</v>
      </c>
      <c r="H621" s="8">
        <v>0.29</v>
      </c>
      <c r="I621" s="8">
        <f t="shared" si="1"/>
        <v>789</v>
      </c>
      <c r="J621" s="8">
        <f t="shared" si="2"/>
        <v>-228.52</v>
      </c>
      <c r="K621" s="8" t="str">
        <f t="shared" si="3"/>
        <v>Mar</v>
      </c>
      <c r="L621" s="8">
        <f t="shared" si="4"/>
        <v>2026</v>
      </c>
      <c r="N621" s="8" t="str">
        <f t="array" ref="N621">XLOOKUP(C621,Customer_Dim!A:A,Customer_Dim!B:B,"Not Found")</f>
        <v>Debra Mccullough</v>
      </c>
      <c r="O621" s="8" t="str">
        <f t="array" ref="O621">XLOOKUP(C621,Customer_Dim!A:A,Customer_Dim!E:E,"Not Found")</f>
        <v>Mcdanielfurt</v>
      </c>
      <c r="P621" s="8" t="str">
        <f t="array" ref="P621">XLOOKUP(D621,Product_Dim!A:A,Product_Dim!B:B,"Not Found")</f>
        <v>Cricket Bat</v>
      </c>
      <c r="Q621" s="8" t="str">
        <f t="array" ref="Q621">XLOOKUP(D621,Product_Dim!A:A,Product_Dim!C:C,"Not Found")</f>
        <v>Sports</v>
      </c>
      <c r="R621" s="8" t="str">
        <f t="array" ref="R621">XLOOKUP(E621,Store_Dim!A:A,Store_Dim!B:B,"Not Found")</f>
        <v>East</v>
      </c>
      <c r="S621" s="8" t="str">
        <f t="array" ref="S621">XLOOKUP(E621,Store_Dim!A:A,Store_Dim!D:D,"Not Found")</f>
        <v>Flagship</v>
      </c>
    </row>
    <row r="622" ht="14.25" customHeight="1">
      <c r="A622" s="8" t="s">
        <v>2575</v>
      </c>
      <c r="B622" s="12">
        <v>46100.0</v>
      </c>
      <c r="C622" s="8" t="s">
        <v>418</v>
      </c>
      <c r="D622" s="8" t="s">
        <v>1881</v>
      </c>
      <c r="E622" s="8" t="s">
        <v>1919</v>
      </c>
      <c r="F622" s="8">
        <v>3.0</v>
      </c>
      <c r="G622" s="8">
        <v>411.25</v>
      </c>
      <c r="H622" s="8">
        <v>0.05</v>
      </c>
      <c r="I622" s="8">
        <f t="shared" si="1"/>
        <v>1233.75</v>
      </c>
      <c r="J622" s="8">
        <f t="shared" si="2"/>
        <v>-61.6375</v>
      </c>
      <c r="K622" s="8" t="str">
        <f t="shared" si="3"/>
        <v>Mar</v>
      </c>
      <c r="L622" s="8">
        <f t="shared" si="4"/>
        <v>2026</v>
      </c>
      <c r="N622" s="8" t="str">
        <f t="array" ref="N622">XLOOKUP(C622,Customer_Dim!A:A,Customer_Dim!B:B,"Not Found")</f>
        <v>Colleen Mccarthy</v>
      </c>
      <c r="O622" s="8" t="str">
        <f t="array" ref="O622">XLOOKUP(C622,Customer_Dim!A:A,Customer_Dim!E:E,"Not Found")</f>
        <v>North Katherine</v>
      </c>
      <c r="P622" s="8" t="str">
        <f t="array" ref="P622">XLOOKUP(D622,Product_Dim!A:A,Product_Dim!B:B,"Not Found")</f>
        <v>Cricket Bat</v>
      </c>
      <c r="Q622" s="8" t="str">
        <f t="array" ref="Q622">XLOOKUP(D622,Product_Dim!A:A,Product_Dim!C:C,"Not Found")</f>
        <v>Sports</v>
      </c>
      <c r="R622" s="8" t="str">
        <f t="array" ref="R622">XLOOKUP(E622,Store_Dim!A:A,Store_Dim!B:B,"Not Found")</f>
        <v>South</v>
      </c>
      <c r="S622" s="8" t="str">
        <f t="array" ref="S622">XLOOKUP(E622,Store_Dim!A:A,Store_Dim!D:D,"Not Found")</f>
        <v>Online</v>
      </c>
    </row>
    <row r="623" ht="14.25" customHeight="1">
      <c r="A623" s="8" t="s">
        <v>2576</v>
      </c>
      <c r="B623" s="12">
        <v>46101.0</v>
      </c>
      <c r="C623" s="8" t="s">
        <v>1122</v>
      </c>
      <c r="D623" s="8" t="s">
        <v>1732</v>
      </c>
      <c r="E623" s="8" t="s">
        <v>1906</v>
      </c>
      <c r="F623" s="8">
        <v>4.0</v>
      </c>
      <c r="G623" s="8">
        <v>395.45</v>
      </c>
      <c r="H623" s="8">
        <v>0.01</v>
      </c>
      <c r="I623" s="8">
        <f t="shared" si="1"/>
        <v>1581.8</v>
      </c>
      <c r="J623" s="8">
        <f t="shared" si="2"/>
        <v>-15.808</v>
      </c>
      <c r="K623" s="8" t="str">
        <f t="shared" si="3"/>
        <v>Mar</v>
      </c>
      <c r="L623" s="8">
        <f t="shared" si="4"/>
        <v>2026</v>
      </c>
      <c r="N623" s="8" t="str">
        <f t="array" ref="N623">XLOOKUP(C623,Customer_Dim!A:A,Customer_Dim!B:B,"Not Found")</f>
        <v>   laura green</v>
      </c>
      <c r="O623" s="8" t="str">
        <f t="array" ref="O623">XLOOKUP(C623,Customer_Dim!A:A,Customer_Dim!E:E,"Not Found")</f>
        <v>Westbury</v>
      </c>
      <c r="P623" s="8" t="str">
        <f t="array" ref="P623">XLOOKUP(D623,Product_Dim!A:A,Product_Dim!B:B,"Not Found")</f>
        <v>Car Dashboard Phone Holder</v>
      </c>
      <c r="Q623" s="8" t="str">
        <f t="array" ref="Q623">XLOOKUP(D623,Product_Dim!A:A,Product_Dim!C:C,"Not Found")</f>
        <v>Electronics</v>
      </c>
      <c r="R623" s="8" t="str">
        <f t="array" ref="R623">XLOOKUP(E623,Store_Dim!A:A,Store_Dim!B:B,"Not Found")</f>
        <v>South</v>
      </c>
      <c r="S623" s="8" t="str">
        <f t="array" ref="S623">XLOOKUP(E623,Store_Dim!A:A,Store_Dim!D:D,"Not Found")</f>
        <v>Outlet</v>
      </c>
    </row>
    <row r="624" ht="14.25" customHeight="1">
      <c r="A624" s="8" t="s">
        <v>2577</v>
      </c>
      <c r="B624" s="12">
        <v>46102.0</v>
      </c>
      <c r="C624" s="8" t="s">
        <v>154</v>
      </c>
      <c r="D624" s="8" t="s">
        <v>1860</v>
      </c>
      <c r="E624" s="8" t="s">
        <v>1915</v>
      </c>
      <c r="F624" s="8">
        <v>2.0</v>
      </c>
      <c r="G624" s="8">
        <v>678.98</v>
      </c>
      <c r="H624" s="8">
        <v>0.23</v>
      </c>
      <c r="I624" s="8">
        <f t="shared" si="1"/>
        <v>1357.96</v>
      </c>
      <c r="J624" s="8">
        <f t="shared" si="2"/>
        <v>-312.1008</v>
      </c>
      <c r="K624" s="8" t="str">
        <f t="shared" si="3"/>
        <v>Mar</v>
      </c>
      <c r="L624" s="8">
        <f t="shared" si="4"/>
        <v>2026</v>
      </c>
      <c r="N624" s="8" t="str">
        <f t="array" ref="N624">XLOOKUP(C624,Customer_Dim!A:A,Customer_Dim!B:B,"Not Found")</f>
        <v>Thomas Phillips</v>
      </c>
      <c r="O624" s="8" t="str">
        <f t="array" ref="O624">XLOOKUP(C624,Customer_Dim!A:A,Customer_Dim!E:E,"Not Found")</f>
        <v>Luisfurt</v>
      </c>
      <c r="P624" s="8" t="str">
        <f t="array" ref="P624">XLOOKUP(D624,Product_Dim!A:A,Product_Dim!B:B,"Not Found")</f>
        <v>Gaming Mouse Pad XL</v>
      </c>
      <c r="Q624" s="8" t="str">
        <f t="array" ref="Q624">XLOOKUP(D624,Product_Dim!A:A,Product_Dim!C:C,"Not Found")</f>
        <v>Electronics</v>
      </c>
      <c r="R624" s="8" t="str">
        <f t="array" ref="R624">XLOOKUP(E624,Store_Dim!A:A,Store_Dim!B:B,"Not Found")</f>
        <v>North</v>
      </c>
      <c r="S624" s="8" t="str">
        <f t="array" ref="S624">XLOOKUP(E624,Store_Dim!A:A,Store_Dim!D:D,"Not Found")</f>
        <v>Outlet</v>
      </c>
    </row>
    <row r="625" ht="14.25" customHeight="1">
      <c r="A625" s="8" t="s">
        <v>2578</v>
      </c>
      <c r="B625" s="12">
        <v>46103.0</v>
      </c>
      <c r="C625" s="8" t="s">
        <v>274</v>
      </c>
      <c r="D625" s="8" t="s">
        <v>1665</v>
      </c>
      <c r="E625" s="8" t="s">
        <v>1932</v>
      </c>
      <c r="F625" s="8">
        <v>4.0</v>
      </c>
      <c r="G625" s="8">
        <v>757.71</v>
      </c>
      <c r="H625" s="8">
        <v>0.26</v>
      </c>
      <c r="I625" s="8">
        <f t="shared" si="1"/>
        <v>3030.84</v>
      </c>
      <c r="J625" s="8">
        <f t="shared" si="2"/>
        <v>-787.7584</v>
      </c>
      <c r="K625" s="8" t="str">
        <f t="shared" si="3"/>
        <v>Mar</v>
      </c>
      <c r="L625" s="8">
        <f t="shared" si="4"/>
        <v>2026</v>
      </c>
      <c r="N625" s="8" t="str">
        <f t="array" ref="N625">XLOOKUP(C625,Customer_Dim!A:A,Customer_Dim!B:B,"Not Found")</f>
        <v>Tonya Burch</v>
      </c>
      <c r="O625" s="8" t="str">
        <f t="array" ref="O625">XLOOKUP(C625,Customer_Dim!A:A,Customer_Dim!E:E,"Not Found")</f>
        <v>Olsonhaven</v>
      </c>
      <c r="P625" s="8" t="str">
        <f t="array" ref="P625">XLOOKUP(D625,Product_Dim!A:A,Product_Dim!B:B,"Not Found")</f>
        <v>Decorative Floor Vase</v>
      </c>
      <c r="Q625" s="8" t="str">
        <f t="array" ref="Q625">XLOOKUP(D625,Product_Dim!A:A,Product_Dim!C:C,"Not Found")</f>
        <v>Home</v>
      </c>
      <c r="R625" s="8" t="str">
        <f t="array" ref="R625">XLOOKUP(E625,Store_Dim!A:A,Store_Dim!B:B,"Not Found")</f>
        <v>South</v>
      </c>
      <c r="S625" s="8" t="str">
        <f t="array" ref="S625">XLOOKUP(E625,Store_Dim!A:A,Store_Dim!D:D,"Not Found")</f>
        <v>Outlet</v>
      </c>
    </row>
    <row r="626" ht="14.25" customHeight="1">
      <c r="A626" s="8" t="s">
        <v>2579</v>
      </c>
      <c r="B626" s="12">
        <v>46104.0</v>
      </c>
      <c r="C626" s="8" t="s">
        <v>231</v>
      </c>
      <c r="D626" s="8" t="s">
        <v>1872</v>
      </c>
      <c r="E626" s="8" t="s">
        <v>1912</v>
      </c>
      <c r="F626" s="8">
        <v>1.0</v>
      </c>
      <c r="G626" s="8">
        <v>647.86</v>
      </c>
      <c r="H626" s="8">
        <v>0.05</v>
      </c>
      <c r="I626" s="8">
        <f t="shared" si="1"/>
        <v>647.86</v>
      </c>
      <c r="J626" s="8">
        <f t="shared" si="2"/>
        <v>-32.343</v>
      </c>
      <c r="K626" s="8" t="str">
        <f t="shared" si="3"/>
        <v>Mar</v>
      </c>
      <c r="L626" s="8">
        <f t="shared" si="4"/>
        <v>2026</v>
      </c>
      <c r="N626" s="8" t="str">
        <f t="array" ref="N626">XLOOKUP(C626,Customer_Dim!A:A,Customer_Dim!B:B,"Not Found")</f>
        <v>Alyssa Vargas</v>
      </c>
      <c r="O626" s="8" t="str">
        <f t="array" ref="O626">XLOOKUP(C626,Customer_Dim!A:A,Customer_Dim!E:E,"Not Found")</f>
        <v>New Kathrynland</v>
      </c>
      <c r="P626" s="8" t="str">
        <f t="array" ref="P626">XLOOKUP(D626,Product_Dim!A:A,Product_Dim!B:B,"Not Found")</f>
        <v>Vitamin E Body Lotion</v>
      </c>
      <c r="Q626" s="8" t="str">
        <f t="array" ref="Q626">XLOOKUP(D626,Product_Dim!A:A,Product_Dim!C:C,"Not Found")</f>
        <v>Beauty</v>
      </c>
      <c r="R626" s="8" t="str">
        <f t="array" ref="R626">XLOOKUP(E626,Store_Dim!A:A,Store_Dim!B:B,"Not Found")</f>
        <v>South</v>
      </c>
      <c r="S626" s="8" t="str">
        <f t="array" ref="S626">XLOOKUP(E626,Store_Dim!A:A,Store_Dim!D:D,"Not Found")</f>
        <v>Online</v>
      </c>
    </row>
    <row r="627" ht="14.25" customHeight="1">
      <c r="A627" s="8" t="s">
        <v>2580</v>
      </c>
      <c r="B627" s="12">
        <v>46105.0</v>
      </c>
      <c r="C627" s="8" t="s">
        <v>473</v>
      </c>
      <c r="D627" s="8" t="s">
        <v>1613</v>
      </c>
      <c r="E627" s="8" t="s">
        <v>1917</v>
      </c>
      <c r="F627" s="8">
        <v>2.0</v>
      </c>
      <c r="G627" s="8">
        <v>179.64</v>
      </c>
      <c r="H627" s="8">
        <v>0.1</v>
      </c>
      <c r="I627" s="8">
        <f t="shared" si="1"/>
        <v>359.28</v>
      </c>
      <c r="J627" s="8">
        <f t="shared" si="2"/>
        <v>-35.828</v>
      </c>
      <c r="K627" s="8" t="str">
        <f t="shared" si="3"/>
        <v>Mar</v>
      </c>
      <c r="L627" s="8">
        <f t="shared" si="4"/>
        <v>2026</v>
      </c>
      <c r="N627" s="8" t="str">
        <f t="array" ref="N627">XLOOKUP(C627,Customer_Dim!A:A,Customer_Dim!B:B,"Not Found")</f>
        <v>Matthew Hanna</v>
      </c>
      <c r="O627" s="8" t="str">
        <f t="array" ref="O627">XLOOKUP(C627,Customer_Dim!A:A,Customer_Dim!E:E,"Not Found")</f>
        <v>Gonzalezbury</v>
      </c>
      <c r="P627" s="8" t="str">
        <f t="array" ref="P627">XLOOKUP(D627,Product_Dim!A:A,Product_Dim!B:B,"Not Found")</f>
        <v>Hair Strengthening Shampoo</v>
      </c>
      <c r="Q627" s="8" t="str">
        <f t="array" ref="Q627">XLOOKUP(D627,Product_Dim!A:A,Product_Dim!C:C,"Not Found")</f>
        <v>Beauty</v>
      </c>
      <c r="R627" s="8" t="str">
        <f t="array" ref="R627">XLOOKUP(E627,Store_Dim!A:A,Store_Dim!B:B,"Not Found")</f>
        <v>East</v>
      </c>
      <c r="S627" s="8" t="str">
        <f t="array" ref="S627">XLOOKUP(E627,Store_Dim!A:A,Store_Dim!D:D,"Not Found")</f>
        <v>Online</v>
      </c>
    </row>
    <row r="628" ht="14.25" customHeight="1">
      <c r="A628" s="8" t="s">
        <v>2581</v>
      </c>
      <c r="B628" s="12">
        <v>46106.0</v>
      </c>
      <c r="C628" s="8" t="s">
        <v>1251</v>
      </c>
      <c r="D628" s="8" t="s">
        <v>1775</v>
      </c>
      <c r="E628" s="8" t="s">
        <v>1912</v>
      </c>
      <c r="F628" s="8">
        <v>3.0</v>
      </c>
      <c r="G628" s="8">
        <v>392.65</v>
      </c>
      <c r="H628" s="8">
        <v>0.17</v>
      </c>
      <c r="I628" s="8">
        <f t="shared" si="1"/>
        <v>1177.95</v>
      </c>
      <c r="J628" s="8">
        <f t="shared" si="2"/>
        <v>-200.0815</v>
      </c>
      <c r="K628" s="8" t="str">
        <f t="shared" si="3"/>
        <v>Mar</v>
      </c>
      <c r="L628" s="8">
        <f t="shared" si="4"/>
        <v>2026</v>
      </c>
      <c r="N628" s="8" t="str">
        <f t="array" ref="N628">XLOOKUP(C628,Customer_Dim!A:A,Customer_Dim!B:B,"Not Found")</f>
        <v>Alexander Byrd</v>
      </c>
      <c r="O628" s="8" t="str">
        <f t="array" ref="O628">XLOOKUP(C628,Customer_Dim!A:A,Customer_Dim!E:E,"Not Found")</f>
        <v>Parkerview</v>
      </c>
      <c r="P628" s="8" t="str">
        <f t="array" ref="P628">XLOOKUP(D628,Product_Dim!A:A,Product_Dim!B:B,"Not Found")</f>
        <v>Laptop Cooling Pad</v>
      </c>
      <c r="Q628" s="8" t="str">
        <f t="array" ref="Q628">XLOOKUP(D628,Product_Dim!A:A,Product_Dim!C:C,"Not Found")</f>
        <v>Electronics</v>
      </c>
      <c r="R628" s="8" t="str">
        <f t="array" ref="R628">XLOOKUP(E628,Store_Dim!A:A,Store_Dim!B:B,"Not Found")</f>
        <v>South</v>
      </c>
      <c r="S628" s="8" t="str">
        <f t="array" ref="S628">XLOOKUP(E628,Store_Dim!A:A,Store_Dim!D:D,"Not Found")</f>
        <v>Online</v>
      </c>
    </row>
    <row r="629" ht="14.25" customHeight="1">
      <c r="A629" s="8" t="s">
        <v>2582</v>
      </c>
      <c r="B629" s="12">
        <v>46107.0</v>
      </c>
      <c r="C629" s="8" t="s">
        <v>594</v>
      </c>
      <c r="D629" s="8" t="s">
        <v>1863</v>
      </c>
      <c r="E629" s="8" t="s">
        <v>1935</v>
      </c>
      <c r="F629" s="8">
        <v>4.0</v>
      </c>
      <c r="G629" s="8">
        <v>969.55</v>
      </c>
      <c r="H629" s="8">
        <v>0.09</v>
      </c>
      <c r="I629" s="8">
        <f t="shared" si="1"/>
        <v>3878.2</v>
      </c>
      <c r="J629" s="8">
        <f t="shared" si="2"/>
        <v>-348.948</v>
      </c>
      <c r="K629" s="8" t="str">
        <f t="shared" si="3"/>
        <v>Mar</v>
      </c>
      <c r="L629" s="8">
        <f t="shared" si="4"/>
        <v>2026</v>
      </c>
      <c r="N629" s="8" t="str">
        <f t="array" ref="N629">XLOOKUP(C629,Customer_Dim!A:A,Customer_Dim!B:B,"Not Found")</f>
        <v>John Bradford</v>
      </c>
      <c r="O629" s="8" t="str">
        <f t="array" ref="O629">XLOOKUP(C629,Customer_Dim!A:A,Customer_Dim!E:E,"Not Found")</f>
        <v>Anabury</v>
      </c>
      <c r="P629" s="8" t="str">
        <f t="array" ref="P629">XLOOKUP(D629,Product_Dim!A:A,Product_Dim!B:B,"Not Found")</f>
        <v>Women's High Heels</v>
      </c>
      <c r="Q629" s="8" t="str">
        <f t="array" ref="Q629">XLOOKUP(D629,Product_Dim!A:A,Product_Dim!C:C,"Not Found")</f>
        <v>Clothing</v>
      </c>
      <c r="R629" s="8" t="str">
        <f t="array" ref="R629">XLOOKUP(E629,Store_Dim!A:A,Store_Dim!B:B,"Not Found")</f>
        <v>West</v>
      </c>
      <c r="S629" s="8" t="str">
        <f t="array" ref="S629">XLOOKUP(E629,Store_Dim!A:A,Store_Dim!D:D,"Not Found")</f>
        <v>Flagship</v>
      </c>
    </row>
    <row r="630" ht="14.25" customHeight="1">
      <c r="A630" s="8" t="s">
        <v>2583</v>
      </c>
      <c r="B630" s="12">
        <v>46108.0</v>
      </c>
      <c r="C630" s="8" t="s">
        <v>1441</v>
      </c>
      <c r="D630" s="8" t="s">
        <v>1812</v>
      </c>
      <c r="E630" s="8" t="s">
        <v>1929</v>
      </c>
      <c r="F630" s="8">
        <v>3.0</v>
      </c>
      <c r="G630" s="8">
        <v>322.94</v>
      </c>
      <c r="H630" s="8">
        <v>0.01</v>
      </c>
      <c r="I630" s="8">
        <f t="shared" si="1"/>
        <v>968.82</v>
      </c>
      <c r="J630" s="8">
        <f t="shared" si="2"/>
        <v>-9.6782</v>
      </c>
      <c r="K630" s="8" t="str">
        <f t="shared" si="3"/>
        <v>Mar</v>
      </c>
      <c r="L630" s="8">
        <f t="shared" si="4"/>
        <v>2026</v>
      </c>
      <c r="N630" s="8" t="str">
        <f t="array" ref="N630">XLOOKUP(C630,Customer_Dim!A:A,Customer_Dim!B:B,"Not Found")</f>
        <v>Beth Martin</v>
      </c>
      <c r="O630" s="8" t="str">
        <f t="array" ref="O630">XLOOKUP(C630,Customer_Dim!A:A,Customer_Dim!E:E,"Not Found")</f>
        <v>Burkefurt</v>
      </c>
      <c r="P630" s="8" t="str">
        <f t="array" ref="P630">XLOOKUP(D630,Product_Dim!A:A,Product_Dim!B:B,"Not Found")</f>
        <v>Bluetooth Car Audio System</v>
      </c>
      <c r="Q630" s="8" t="str">
        <f t="array" ref="Q630">XLOOKUP(D630,Product_Dim!A:A,Product_Dim!C:C,"Not Found")</f>
        <v>Electronics</v>
      </c>
      <c r="R630" s="8" t="str">
        <f t="array" ref="R630">XLOOKUP(E630,Store_Dim!A:A,Store_Dim!B:B,"Not Found")</f>
        <v>North</v>
      </c>
      <c r="S630" s="8" t="str">
        <f t="array" ref="S630">XLOOKUP(E630,Store_Dim!A:A,Store_Dim!D:D,"Not Found")</f>
        <v>Online</v>
      </c>
    </row>
    <row r="631" ht="14.25" customHeight="1">
      <c r="A631" s="8" t="s">
        <v>2584</v>
      </c>
      <c r="B631" s="12">
        <v>46109.0</v>
      </c>
      <c r="C631" s="8" t="s">
        <v>1149</v>
      </c>
      <c r="D631" s="8" t="s">
        <v>1839</v>
      </c>
      <c r="E631" s="8" t="s">
        <v>1899</v>
      </c>
      <c r="F631" s="8">
        <v>1.0</v>
      </c>
      <c r="G631" s="8">
        <v>92.83</v>
      </c>
      <c r="H631" s="8">
        <v>0.26</v>
      </c>
      <c r="I631" s="8">
        <f t="shared" si="1"/>
        <v>92.83</v>
      </c>
      <c r="J631" s="8">
        <f t="shared" si="2"/>
        <v>-23.8758</v>
      </c>
      <c r="K631" s="8" t="str">
        <f t="shared" si="3"/>
        <v>Mar</v>
      </c>
      <c r="L631" s="8">
        <f t="shared" si="4"/>
        <v>2026</v>
      </c>
      <c r="N631" s="8" t="str">
        <f t="array" ref="N631">XLOOKUP(C631,Customer_Dim!A:A,Customer_Dim!B:B,"Not Found")</f>
        <v>Joshua Smith DVM</v>
      </c>
      <c r="O631" s="8" t="str">
        <f t="array" ref="O631">XLOOKUP(C631,Customer_Dim!A:A,Customer_Dim!E:E,"Not Found")</f>
        <v>Melvinton</v>
      </c>
      <c r="P631" s="8" t="str">
        <f t="array" ref="P631">XLOOKUP(D631,Product_Dim!A:A,Product_Dim!B:B,"Not Found")</f>
        <v>Hydrating Face Cleanser</v>
      </c>
      <c r="Q631" s="8" t="str">
        <f t="array" ref="Q631">XLOOKUP(D631,Product_Dim!A:A,Product_Dim!C:C,"Not Found")</f>
        <v>Beauty</v>
      </c>
      <c r="R631" s="8" t="str">
        <f t="array" ref="R631">XLOOKUP(E631,Store_Dim!A:A,Store_Dim!B:B,"Not Found")</f>
        <v>East</v>
      </c>
      <c r="S631" s="8" t="str">
        <f t="array" ref="S631">XLOOKUP(E631,Store_Dim!A:A,Store_Dim!D:D,"Not Found")</f>
        <v>Flagship</v>
      </c>
    </row>
    <row r="632" ht="14.25" customHeight="1">
      <c r="A632" s="8" t="s">
        <v>2585</v>
      </c>
      <c r="B632" s="12">
        <v>46110.0</v>
      </c>
      <c r="C632" s="8" t="s">
        <v>1320</v>
      </c>
      <c r="D632" s="8" t="s">
        <v>1597</v>
      </c>
      <c r="E632" s="8" t="s">
        <v>1910</v>
      </c>
      <c r="F632" s="8">
        <v>4.0</v>
      </c>
      <c r="G632" s="8">
        <v>432.29</v>
      </c>
      <c r="H632" s="8">
        <v>0.16</v>
      </c>
      <c r="I632" s="8">
        <f t="shared" si="1"/>
        <v>1729.16</v>
      </c>
      <c r="J632" s="8">
        <f t="shared" si="2"/>
        <v>-276.5056</v>
      </c>
      <c r="K632" s="8" t="str">
        <f t="shared" si="3"/>
        <v>Mar</v>
      </c>
      <c r="L632" s="8">
        <f t="shared" si="4"/>
        <v>2026</v>
      </c>
      <c r="N632" s="8" t="str">
        <f t="array" ref="N632">XLOOKUP(C632,Customer_Dim!A:A,Customer_Dim!B:B,"Not Found")</f>
        <v>Dr. Tamara White MD</v>
      </c>
      <c r="O632" s="8" t="str">
        <f t="array" ref="O632">XLOOKUP(C632,Customer_Dim!A:A,Customer_Dim!E:E,"Not Found")</f>
        <v>New Benjamin</v>
      </c>
      <c r="P632" s="8" t="str">
        <f t="array" ref="P632">XLOOKUP(D632,Product_Dim!A:A,Product_Dim!B:B,"Not Found")</f>
        <v>Wireless Bluetooth Earbuds</v>
      </c>
      <c r="Q632" s="8" t="str">
        <f t="array" ref="Q632">XLOOKUP(D632,Product_Dim!A:A,Product_Dim!C:C,"Not Found")</f>
        <v>Electronics</v>
      </c>
      <c r="R632" s="8" t="str">
        <f t="array" ref="R632">XLOOKUP(E632,Store_Dim!A:A,Store_Dim!B:B,"Not Found")</f>
        <v>North</v>
      </c>
      <c r="S632" s="8" t="str">
        <f t="array" ref="S632">XLOOKUP(E632,Store_Dim!A:A,Store_Dim!D:D,"Not Found")</f>
        <v>Outlet</v>
      </c>
    </row>
    <row r="633" ht="14.25" customHeight="1">
      <c r="A633" s="8" t="s">
        <v>2586</v>
      </c>
      <c r="B633" s="12">
        <v>46111.0</v>
      </c>
      <c r="C633" s="8" t="s">
        <v>302</v>
      </c>
      <c r="D633" s="8" t="s">
        <v>1703</v>
      </c>
      <c r="E633" s="8" t="s">
        <v>1931</v>
      </c>
      <c r="F633" s="8">
        <v>2.0</v>
      </c>
      <c r="G633" s="8">
        <v>925.78</v>
      </c>
      <c r="H633" s="8">
        <v>0.14</v>
      </c>
      <c r="I633" s="8">
        <f t="shared" si="1"/>
        <v>1851.56</v>
      </c>
      <c r="J633" s="8">
        <f t="shared" si="2"/>
        <v>-259.0784</v>
      </c>
      <c r="K633" s="8" t="str">
        <f t="shared" si="3"/>
        <v>Mar</v>
      </c>
      <c r="L633" s="8">
        <f t="shared" si="4"/>
        <v>2026</v>
      </c>
      <c r="N633" s="8" t="str">
        <f t="array" ref="N633">XLOOKUP(C633,Customer_Dim!A:A,Customer_Dim!B:B,"Not Found")</f>
        <v>Jennifer Garcia</v>
      </c>
      <c r="O633" s="8" t="str">
        <f t="array" ref="O633">XLOOKUP(C633,Customer_Dim!A:A,Customer_Dim!E:E,"Not Found")</f>
        <v>New Sean</v>
      </c>
      <c r="P633" s="8" t="str">
        <f t="array" ref="P633">XLOOKUP(D633,Product_Dim!A:A,Product_Dim!B:B,"Not Found")</f>
        <v>Portable Power Bank</v>
      </c>
      <c r="Q633" s="8" t="str">
        <f t="array" ref="Q633">XLOOKUP(D633,Product_Dim!A:A,Product_Dim!C:C,"Not Found")</f>
        <v>Electronics</v>
      </c>
      <c r="R633" s="8" t="str">
        <f t="array" ref="R633">XLOOKUP(E633,Store_Dim!A:A,Store_Dim!B:B,"Not Found")</f>
        <v>East</v>
      </c>
      <c r="S633" s="8" t="str">
        <f t="array" ref="S633">XLOOKUP(E633,Store_Dim!A:A,Store_Dim!D:D,"Not Found")</f>
        <v>Flagship</v>
      </c>
    </row>
    <row r="634" ht="14.25" customHeight="1">
      <c r="A634" s="8" t="s">
        <v>2587</v>
      </c>
      <c r="B634" s="12">
        <v>46112.0</v>
      </c>
      <c r="C634" s="8" t="s">
        <v>1485</v>
      </c>
      <c r="D634" s="8" t="s">
        <v>1659</v>
      </c>
      <c r="E634" s="8" t="s">
        <v>1928</v>
      </c>
      <c r="F634" s="8">
        <v>2.0</v>
      </c>
      <c r="G634" s="8">
        <v>151.47</v>
      </c>
      <c r="H634" s="8">
        <v>0.21</v>
      </c>
      <c r="I634" s="8">
        <f t="shared" si="1"/>
        <v>302.94</v>
      </c>
      <c r="J634" s="8">
        <f t="shared" si="2"/>
        <v>-63.4074</v>
      </c>
      <c r="K634" s="8" t="str">
        <f t="shared" si="3"/>
        <v>Mar</v>
      </c>
      <c r="L634" s="8">
        <f t="shared" si="4"/>
        <v>2026</v>
      </c>
      <c r="N634" s="8" t="str">
        <f t="array" ref="N634">XLOOKUP(C634,Customer_Dim!A:A,Customer_Dim!B:B,"Not Found")</f>
        <v>Andrea Harris</v>
      </c>
      <c r="O634" s="8" t="str">
        <f t="array" ref="O634">XLOOKUP(C634,Customer_Dim!A:A,Customer_Dim!E:E,"Not Found")</f>
        <v>West Kelseyberg</v>
      </c>
      <c r="P634" s="8" t="str">
        <f t="array" ref="P634">XLOOKUP(D634,Product_Dim!A:A,Product_Dim!B:B,"Not Found")</f>
        <v>Women's Scarf Set</v>
      </c>
      <c r="Q634" s="8" t="str">
        <f t="array" ref="Q634">XLOOKUP(D634,Product_Dim!A:A,Product_Dim!C:C,"Not Found")</f>
        <v>Clothing</v>
      </c>
      <c r="R634" s="8" t="str">
        <f t="array" ref="R634">XLOOKUP(E634,Store_Dim!A:A,Store_Dim!B:B,"Not Found")</f>
        <v>South</v>
      </c>
      <c r="S634" s="8" t="str">
        <f t="array" ref="S634">XLOOKUP(E634,Store_Dim!A:A,Store_Dim!D:D,"Not Found")</f>
        <v>Online</v>
      </c>
    </row>
    <row r="635" ht="14.25" customHeight="1">
      <c r="A635" s="8" t="s">
        <v>2588</v>
      </c>
      <c r="B635" s="12">
        <v>46113.0</v>
      </c>
      <c r="C635" s="8" t="s">
        <v>1405</v>
      </c>
      <c r="D635" s="8" t="s">
        <v>1839</v>
      </c>
      <c r="E635" s="8" t="s">
        <v>1926</v>
      </c>
      <c r="F635" s="8">
        <v>1.0</v>
      </c>
      <c r="G635" s="8">
        <v>343.05</v>
      </c>
      <c r="H635" s="8">
        <v>0.28</v>
      </c>
      <c r="I635" s="8">
        <f t="shared" si="1"/>
        <v>343.05</v>
      </c>
      <c r="J635" s="8">
        <f t="shared" si="2"/>
        <v>-95.774</v>
      </c>
      <c r="K635" s="8" t="str">
        <f t="shared" si="3"/>
        <v>Apr</v>
      </c>
      <c r="L635" s="8">
        <f t="shared" si="4"/>
        <v>2026</v>
      </c>
      <c r="N635" s="8" t="str">
        <f t="array" ref="N635">XLOOKUP(C635,Customer_Dim!A:A,Customer_Dim!B:B,"Not Found")</f>
        <v>William Cortez</v>
      </c>
      <c r="O635" s="8" t="str">
        <f t="array" ref="O635">XLOOKUP(C635,Customer_Dim!A:A,Customer_Dim!E:E,"Not Found")</f>
        <v>Port Hannahport</v>
      </c>
      <c r="P635" s="8" t="str">
        <f t="array" ref="P635">XLOOKUP(D635,Product_Dim!A:A,Product_Dim!B:B,"Not Found")</f>
        <v>Hydrating Face Cleanser</v>
      </c>
      <c r="Q635" s="8" t="str">
        <f t="array" ref="Q635">XLOOKUP(D635,Product_Dim!A:A,Product_Dim!C:C,"Not Found")</f>
        <v>Beauty</v>
      </c>
      <c r="R635" s="8" t="str">
        <f t="array" ref="R635">XLOOKUP(E635,Store_Dim!A:A,Store_Dim!B:B,"Not Found")</f>
        <v>East</v>
      </c>
      <c r="S635" s="8" t="str">
        <f t="array" ref="S635">XLOOKUP(E635,Store_Dim!A:A,Store_Dim!D:D,"Not Found")</f>
        <v>Online</v>
      </c>
    </row>
    <row r="636" ht="14.25" customHeight="1">
      <c r="A636" s="8" t="s">
        <v>2589</v>
      </c>
      <c r="B636" s="12">
        <v>46114.0</v>
      </c>
      <c r="C636" s="8" t="s">
        <v>254</v>
      </c>
      <c r="D636" s="8" t="s">
        <v>1632</v>
      </c>
      <c r="E636" s="8" t="s">
        <v>1912</v>
      </c>
      <c r="F636" s="8">
        <v>1.0</v>
      </c>
      <c r="G636" s="8">
        <v>373.06</v>
      </c>
      <c r="H636" s="8">
        <v>0.11</v>
      </c>
      <c r="I636" s="8">
        <f t="shared" si="1"/>
        <v>373.06</v>
      </c>
      <c r="J636" s="8">
        <f t="shared" si="2"/>
        <v>-40.9266</v>
      </c>
      <c r="K636" s="8" t="str">
        <f t="shared" si="3"/>
        <v>Apr</v>
      </c>
      <c r="L636" s="8">
        <f t="shared" si="4"/>
        <v>2026</v>
      </c>
      <c r="N636" s="8" t="str">
        <f t="array" ref="N636">XLOOKUP(C636,Customer_Dim!A:A,Customer_Dim!B:B,"Not Found")</f>
        <v>Cody Diaz</v>
      </c>
      <c r="O636" s="8" t="str">
        <f t="array" ref="O636">XLOOKUP(C636,Customer_Dim!A:A,Customer_Dim!E:E,"Not Found")</f>
        <v>South Aaronside</v>
      </c>
      <c r="P636" s="8" t="str">
        <f t="array" ref="P636">XLOOKUP(D636,Product_Dim!A:A,Product_Dim!B:B,"Not Found")</f>
        <v>Soccer Training Cone Set</v>
      </c>
      <c r="Q636" s="8" t="str">
        <f t="array" ref="Q636">XLOOKUP(D636,Product_Dim!A:A,Product_Dim!C:C,"Not Found")</f>
        <v>Sports</v>
      </c>
      <c r="R636" s="8" t="str">
        <f t="array" ref="R636">XLOOKUP(E636,Store_Dim!A:A,Store_Dim!B:B,"Not Found")</f>
        <v>South</v>
      </c>
      <c r="S636" s="8" t="str">
        <f t="array" ref="S636">XLOOKUP(E636,Store_Dim!A:A,Store_Dim!D:D,"Not Found")</f>
        <v>Online</v>
      </c>
    </row>
    <row r="637" ht="14.25" customHeight="1">
      <c r="A637" s="8" t="s">
        <v>2590</v>
      </c>
      <c r="B637" s="12">
        <v>46115.0</v>
      </c>
      <c r="C637" s="8" t="s">
        <v>1294</v>
      </c>
      <c r="D637" s="8" t="s">
        <v>1635</v>
      </c>
      <c r="E637" s="8" t="s">
        <v>1933</v>
      </c>
      <c r="F637" s="8">
        <v>1.0</v>
      </c>
      <c r="G637" s="8">
        <v>124.98</v>
      </c>
      <c r="H637" s="8">
        <v>0.07</v>
      </c>
      <c r="I637" s="8">
        <f t="shared" si="1"/>
        <v>124.98</v>
      </c>
      <c r="J637" s="8">
        <f t="shared" si="2"/>
        <v>-8.6786</v>
      </c>
      <c r="K637" s="8" t="str">
        <f t="shared" si="3"/>
        <v>Apr</v>
      </c>
      <c r="L637" s="8">
        <f t="shared" si="4"/>
        <v>2026</v>
      </c>
      <c r="N637" s="8" t="str">
        <f t="array" ref="N637">XLOOKUP(C637,Customer_Dim!A:A,Customer_Dim!B:B,"Not Found")</f>
        <v>Katrina Perez</v>
      </c>
      <c r="O637" s="8" t="str">
        <f t="array" ref="O637">XLOOKUP(C637,Customer_Dim!A:A,Customer_Dim!E:E,"Not Found")</f>
        <v>West Rebecca</v>
      </c>
      <c r="P637" s="8" t="str">
        <f t="array" ref="P637">XLOOKUP(D637,Product_Dim!A:A,Product_Dim!B:B,"Not Found")</f>
        <v>Women's Denim Jeans</v>
      </c>
      <c r="Q637" s="8" t="str">
        <f t="array" ref="Q637">XLOOKUP(D637,Product_Dim!A:A,Product_Dim!C:C,"Not Found")</f>
        <v>Clothing</v>
      </c>
      <c r="R637" s="8" t="str">
        <f t="array" ref="R637">XLOOKUP(E637,Store_Dim!A:A,Store_Dim!B:B,"Not Found")</f>
        <v>North</v>
      </c>
      <c r="S637" s="8" t="str">
        <f t="array" ref="S637">XLOOKUP(E637,Store_Dim!A:A,Store_Dim!D:D,"Not Found")</f>
        <v>Flagship</v>
      </c>
    </row>
    <row r="638" ht="14.25" customHeight="1">
      <c r="A638" s="8" t="s">
        <v>2591</v>
      </c>
      <c r="B638" s="12">
        <v>46116.0</v>
      </c>
      <c r="C638" s="8" t="s">
        <v>881</v>
      </c>
      <c r="D638" s="8" t="s">
        <v>1809</v>
      </c>
      <c r="E638" s="8" t="s">
        <v>1941</v>
      </c>
      <c r="F638" s="8">
        <v>4.0</v>
      </c>
      <c r="G638" s="8">
        <v>221.49</v>
      </c>
      <c r="H638" s="8">
        <v>0.26</v>
      </c>
      <c r="I638" s="8">
        <f t="shared" si="1"/>
        <v>885.96</v>
      </c>
      <c r="J638" s="8">
        <f t="shared" si="2"/>
        <v>-230.0896</v>
      </c>
      <c r="K638" s="8" t="str">
        <f t="shared" si="3"/>
        <v>Apr</v>
      </c>
      <c r="L638" s="8">
        <f t="shared" si="4"/>
        <v>2026</v>
      </c>
      <c r="N638" s="8" t="str">
        <f t="array" ref="N638">XLOOKUP(C638,Customer_Dim!A:A,Customer_Dim!B:B,"Not Found")</f>
        <v>Adam Rowland</v>
      </c>
      <c r="O638" s="8" t="str">
        <f t="array" ref="O638">XLOOKUP(C638,Customer_Dim!A:A,Customer_Dim!E:E,"Not Found")</f>
        <v>Welchview</v>
      </c>
      <c r="P638" s="8" t="str">
        <f t="array" ref="P638">XLOOKUP(D638,Product_Dim!A:A,Product_Dim!B:B,"Not Found")</f>
        <v>Shin Guards – Adult</v>
      </c>
      <c r="Q638" s="8" t="str">
        <f t="array" ref="Q638">XLOOKUP(D638,Product_Dim!A:A,Product_Dim!C:C,"Not Found")</f>
        <v>Sports</v>
      </c>
      <c r="R638" s="8" t="str">
        <f t="array" ref="R638">XLOOKUP(E638,Store_Dim!A:A,Store_Dim!B:B,"Not Found")</f>
        <v>East</v>
      </c>
      <c r="S638" s="8" t="str">
        <f t="array" ref="S638">XLOOKUP(E638,Store_Dim!A:A,Store_Dim!D:D,"Not Found")</f>
        <v>Online</v>
      </c>
    </row>
    <row r="639" ht="14.25" customHeight="1">
      <c r="A639" s="8" t="s">
        <v>2592</v>
      </c>
      <c r="B639" s="12">
        <v>46117.0</v>
      </c>
      <c r="C639" s="8" t="s">
        <v>577</v>
      </c>
      <c r="D639" s="8" t="s">
        <v>1652</v>
      </c>
      <c r="E639" s="8" t="s">
        <v>1933</v>
      </c>
      <c r="F639" s="8">
        <v>1.0</v>
      </c>
      <c r="G639" s="8">
        <v>563.32</v>
      </c>
      <c r="H639" s="8">
        <v>0.01</v>
      </c>
      <c r="I639" s="8">
        <f t="shared" si="1"/>
        <v>563.32</v>
      </c>
      <c r="J639" s="8">
        <f t="shared" si="2"/>
        <v>-5.6232</v>
      </c>
      <c r="K639" s="8" t="str">
        <f t="shared" si="3"/>
        <v>Apr</v>
      </c>
      <c r="L639" s="8">
        <f t="shared" si="4"/>
        <v>2026</v>
      </c>
      <c r="N639" s="8" t="str">
        <f t="array" ref="N639">XLOOKUP(C639,Customer_Dim!A:A,Customer_Dim!B:B,"Not Found")</f>
        <v>Christopher Garcia DDS</v>
      </c>
      <c r="O639" s="8" t="str">
        <f t="array" ref="O639">XLOOKUP(C639,Customer_Dim!A:A,Customer_Dim!E:E,"Not Found")</f>
        <v>New Joseph</v>
      </c>
      <c r="P639" s="8" t="str">
        <f t="array" ref="P639">XLOOKUP(D639,Product_Dim!A:A,Product_Dim!B:B,"Not Found")</f>
        <v>Men's Formal Shirt</v>
      </c>
      <c r="Q639" s="8" t="str">
        <f t="array" ref="Q639">XLOOKUP(D639,Product_Dim!A:A,Product_Dim!C:C,"Not Found")</f>
        <v>Clothing</v>
      </c>
      <c r="R639" s="8" t="str">
        <f t="array" ref="R639">XLOOKUP(E639,Store_Dim!A:A,Store_Dim!B:B,"Not Found")</f>
        <v>North</v>
      </c>
      <c r="S639" s="8" t="str">
        <f t="array" ref="S639">XLOOKUP(E639,Store_Dim!A:A,Store_Dim!D:D,"Not Found")</f>
        <v>Flagship</v>
      </c>
    </row>
    <row r="640" ht="14.25" customHeight="1">
      <c r="A640" s="8" t="s">
        <v>2593</v>
      </c>
      <c r="B640" s="12">
        <v>46118.0</v>
      </c>
      <c r="C640" s="8" t="s">
        <v>1233</v>
      </c>
      <c r="D640" s="8" t="s">
        <v>1610</v>
      </c>
      <c r="E640" s="8" t="s">
        <v>1899</v>
      </c>
      <c r="F640" s="8">
        <v>1.0</v>
      </c>
      <c r="G640" s="8">
        <v>362.93</v>
      </c>
      <c r="H640" s="8">
        <v>0.27</v>
      </c>
      <c r="I640" s="8">
        <f t="shared" si="1"/>
        <v>362.93</v>
      </c>
      <c r="J640" s="8">
        <f t="shared" si="2"/>
        <v>-97.7211</v>
      </c>
      <c r="K640" s="8" t="str">
        <f t="shared" si="3"/>
        <v>Apr</v>
      </c>
      <c r="L640" s="8">
        <f t="shared" si="4"/>
        <v>2026</v>
      </c>
      <c r="N640" s="8" t="str">
        <f t="array" ref="N640">XLOOKUP(C640,Customer_Dim!A:A,Customer_Dim!B:B,"Not Found")</f>
        <v>Daniel Bell</v>
      </c>
      <c r="O640" s="8" t="str">
        <f t="array" ref="O640">XLOOKUP(C640,Customer_Dim!A:A,Customer_Dim!E:E,"Not Found")</f>
        <v>Deniseberg</v>
      </c>
      <c r="P640" s="8" t="str">
        <f t="array" ref="P640">XLOOKUP(D640,Product_Dim!A:A,Product_Dim!B:B,"Not Found")</f>
        <v>HD Smart TV Stick</v>
      </c>
      <c r="Q640" s="8" t="str">
        <f t="array" ref="Q640">XLOOKUP(D640,Product_Dim!A:A,Product_Dim!C:C,"Not Found")</f>
        <v>Electronics</v>
      </c>
      <c r="R640" s="8" t="str">
        <f t="array" ref="R640">XLOOKUP(E640,Store_Dim!A:A,Store_Dim!B:B,"Not Found")</f>
        <v>East</v>
      </c>
      <c r="S640" s="8" t="str">
        <f t="array" ref="S640">XLOOKUP(E640,Store_Dim!A:A,Store_Dim!D:D,"Not Found")</f>
        <v>Flagship</v>
      </c>
    </row>
    <row r="641" ht="14.25" customHeight="1">
      <c r="A641" s="8" t="s">
        <v>2594</v>
      </c>
      <c r="B641" s="12">
        <v>46119.0</v>
      </c>
      <c r="C641" s="8" t="s">
        <v>1071</v>
      </c>
      <c r="D641" s="8" t="s">
        <v>1610</v>
      </c>
      <c r="E641" s="8" t="s">
        <v>1933</v>
      </c>
      <c r="F641" s="8">
        <v>4.0</v>
      </c>
      <c r="G641" s="8">
        <v>369.22</v>
      </c>
      <c r="H641" s="8">
        <v>0.18</v>
      </c>
      <c r="I641" s="8">
        <f t="shared" si="1"/>
        <v>1476.88</v>
      </c>
      <c r="J641" s="8">
        <f t="shared" si="2"/>
        <v>-265.6584</v>
      </c>
      <c r="K641" s="8" t="str">
        <f t="shared" si="3"/>
        <v>Apr</v>
      </c>
      <c r="L641" s="8">
        <f t="shared" si="4"/>
        <v>2026</v>
      </c>
      <c r="N641" s="8" t="str">
        <f t="array" ref="N641">XLOOKUP(C641,Customer_Dim!A:A,Customer_Dim!B:B,"Not Found")</f>
        <v>John Jones</v>
      </c>
      <c r="O641" s="8" t="str">
        <f t="array" ref="O641">XLOOKUP(C641,Customer_Dim!A:A,Customer_Dim!E:E,"Not Found")</f>
        <v>North Michaelborough</v>
      </c>
      <c r="P641" s="8" t="str">
        <f t="array" ref="P641">XLOOKUP(D641,Product_Dim!A:A,Product_Dim!B:B,"Not Found")</f>
        <v>HD Smart TV Stick</v>
      </c>
      <c r="Q641" s="8" t="str">
        <f t="array" ref="Q641">XLOOKUP(D641,Product_Dim!A:A,Product_Dim!C:C,"Not Found")</f>
        <v>Electronics</v>
      </c>
      <c r="R641" s="8" t="str">
        <f t="array" ref="R641">XLOOKUP(E641,Store_Dim!A:A,Store_Dim!B:B,"Not Found")</f>
        <v>North</v>
      </c>
      <c r="S641" s="8" t="str">
        <f t="array" ref="S641">XLOOKUP(E641,Store_Dim!A:A,Store_Dim!D:D,"Not Found")</f>
        <v>Flagship</v>
      </c>
    </row>
    <row r="642" ht="14.25" customHeight="1">
      <c r="A642" s="8" t="s">
        <v>2595</v>
      </c>
      <c r="B642" s="12">
        <v>46120.0</v>
      </c>
      <c r="C642" s="8" t="s">
        <v>1291</v>
      </c>
      <c r="D642" s="8" t="s">
        <v>1878</v>
      </c>
      <c r="E642" s="8" t="s">
        <v>1932</v>
      </c>
      <c r="F642" s="8">
        <v>3.0</v>
      </c>
      <c r="G642" s="8">
        <v>950.83</v>
      </c>
      <c r="H642" s="8">
        <v>0.06</v>
      </c>
      <c r="I642" s="8">
        <f t="shared" si="1"/>
        <v>2852.49</v>
      </c>
      <c r="J642" s="8">
        <f t="shared" si="2"/>
        <v>-171.0894</v>
      </c>
      <c r="K642" s="8" t="str">
        <f t="shared" si="3"/>
        <v>Apr</v>
      </c>
      <c r="L642" s="8">
        <f t="shared" si="4"/>
        <v>2026</v>
      </c>
      <c r="N642" s="8" t="str">
        <f t="array" ref="N642">XLOOKUP(C642,Customer_Dim!A:A,Customer_Dim!B:B,"Not Found")</f>
        <v>Jackie Thompson</v>
      </c>
      <c r="O642" s="8" t="str">
        <f t="array" ref="O642">XLOOKUP(C642,Customer_Dim!A:A,Customer_Dim!E:E,"Not Found")</f>
        <v>South Edwin</v>
      </c>
      <c r="P642" s="8" t="str">
        <f t="array" ref="P642">XLOOKUP(D642,Product_Dim!A:A,Product_Dim!B:B,"Not Found")</f>
        <v>Women's Formal Blazer</v>
      </c>
      <c r="Q642" s="8" t="str">
        <f t="array" ref="Q642">XLOOKUP(D642,Product_Dim!A:A,Product_Dim!C:C,"Not Found")</f>
        <v>Clothing</v>
      </c>
      <c r="R642" s="8" t="str">
        <f t="array" ref="R642">XLOOKUP(E642,Store_Dim!A:A,Store_Dim!B:B,"Not Found")</f>
        <v>South</v>
      </c>
      <c r="S642" s="8" t="str">
        <f t="array" ref="S642">XLOOKUP(E642,Store_Dim!A:A,Store_Dim!D:D,"Not Found")</f>
        <v>Outlet</v>
      </c>
    </row>
    <row r="643" ht="14.25" customHeight="1">
      <c r="A643" s="8" t="s">
        <v>2596</v>
      </c>
      <c r="B643" s="12">
        <v>46121.0</v>
      </c>
      <c r="C643" s="8" t="s">
        <v>496</v>
      </c>
      <c r="D643" s="8" t="s">
        <v>1696</v>
      </c>
      <c r="E643" s="8" t="s">
        <v>1931</v>
      </c>
      <c r="F643" s="8">
        <v>3.0</v>
      </c>
      <c r="G643" s="8">
        <v>338.79</v>
      </c>
      <c r="H643" s="8">
        <v>0.01</v>
      </c>
      <c r="I643" s="8">
        <f t="shared" si="1"/>
        <v>1016.37</v>
      </c>
      <c r="J643" s="8">
        <f t="shared" si="2"/>
        <v>-10.1537</v>
      </c>
      <c r="K643" s="8" t="str">
        <f t="shared" si="3"/>
        <v>Apr</v>
      </c>
      <c r="L643" s="8">
        <f t="shared" si="4"/>
        <v>2026</v>
      </c>
      <c r="N643" s="8" t="str">
        <f t="array" ref="N643">XLOOKUP(C643,Customer_Dim!A:A,Customer_Dim!B:B,"Not Found")</f>
        <v>Carlos Skinner</v>
      </c>
      <c r="O643" s="8" t="str">
        <f t="array" ref="O643">XLOOKUP(C643,Customer_Dim!A:A,Customer_Dim!E:E,"Not Found")</f>
        <v>Dwaynemouth</v>
      </c>
      <c r="P643" s="8" t="str">
        <f t="array" ref="P643">XLOOKUP(D643,Product_Dim!A:A,Product_Dim!B:B,"Not Found")</f>
        <v>Men's Casual Sneakers</v>
      </c>
      <c r="Q643" s="8" t="str">
        <f t="array" ref="Q643">XLOOKUP(D643,Product_Dim!A:A,Product_Dim!C:C,"Not Found")</f>
        <v>Clothing</v>
      </c>
      <c r="R643" s="8" t="str">
        <f t="array" ref="R643">XLOOKUP(E643,Store_Dim!A:A,Store_Dim!B:B,"Not Found")</f>
        <v>East</v>
      </c>
      <c r="S643" s="8" t="str">
        <f t="array" ref="S643">XLOOKUP(E643,Store_Dim!A:A,Store_Dim!D:D,"Not Found")</f>
        <v>Flagship</v>
      </c>
    </row>
    <row r="644" ht="14.25" customHeight="1">
      <c r="A644" s="8" t="s">
        <v>2597</v>
      </c>
      <c r="B644" s="12">
        <v>46122.0</v>
      </c>
      <c r="C644" s="8" t="s">
        <v>505</v>
      </c>
      <c r="D644" s="8" t="s">
        <v>1860</v>
      </c>
      <c r="E644" s="8" t="s">
        <v>1903</v>
      </c>
      <c r="F644" s="8">
        <v>3.0</v>
      </c>
      <c r="G644" s="8">
        <v>853.32</v>
      </c>
      <c r="H644" s="8">
        <v>0.07</v>
      </c>
      <c r="I644" s="8">
        <f t="shared" si="1"/>
        <v>2559.96</v>
      </c>
      <c r="J644" s="8">
        <f t="shared" si="2"/>
        <v>-179.1272</v>
      </c>
      <c r="K644" s="8" t="str">
        <f t="shared" si="3"/>
        <v>Apr</v>
      </c>
      <c r="L644" s="8">
        <f t="shared" si="4"/>
        <v>2026</v>
      </c>
      <c r="N644" s="8" t="str">
        <f t="array" ref="N644">XLOOKUP(C644,Customer_Dim!A:A,Customer_Dim!B:B,"Not Found")</f>
        <v>Edward Rivera</v>
      </c>
      <c r="O644" s="8" t="str">
        <f t="array" ref="O644">XLOOKUP(C644,Customer_Dim!A:A,Customer_Dim!E:E,"Not Found")</f>
        <v>Chungmouth</v>
      </c>
      <c r="P644" s="8" t="str">
        <f t="array" ref="P644">XLOOKUP(D644,Product_Dim!A:A,Product_Dim!B:B,"Not Found")</f>
        <v>Gaming Mouse Pad XL</v>
      </c>
      <c r="Q644" s="8" t="str">
        <f t="array" ref="Q644">XLOOKUP(D644,Product_Dim!A:A,Product_Dim!C:C,"Not Found")</f>
        <v>Electronics</v>
      </c>
      <c r="R644" s="8" t="str">
        <f t="array" ref="R644">XLOOKUP(E644,Store_Dim!A:A,Store_Dim!B:B,"Not Found")</f>
        <v>North</v>
      </c>
      <c r="S644" s="8" t="str">
        <f t="array" ref="S644">XLOOKUP(E644,Store_Dim!A:A,Store_Dim!D:D,"Not Found")</f>
        <v>Flagship</v>
      </c>
    </row>
    <row r="645" ht="14.25" customHeight="1">
      <c r="A645" s="8" t="s">
        <v>2598</v>
      </c>
      <c r="B645" s="12">
        <v>46123.0</v>
      </c>
      <c r="C645" s="8" t="s">
        <v>514</v>
      </c>
      <c r="D645" s="8" t="s">
        <v>1818</v>
      </c>
      <c r="E645" s="8" t="s">
        <v>1917</v>
      </c>
      <c r="F645" s="8">
        <v>3.0</v>
      </c>
      <c r="G645" s="8">
        <v>89.78</v>
      </c>
      <c r="H645" s="8">
        <v>0.2</v>
      </c>
      <c r="I645" s="8">
        <f t="shared" si="1"/>
        <v>269.34</v>
      </c>
      <c r="J645" s="8">
        <f t="shared" si="2"/>
        <v>-53.668</v>
      </c>
      <c r="K645" s="8" t="str">
        <f t="shared" si="3"/>
        <v>Apr</v>
      </c>
      <c r="L645" s="8">
        <f t="shared" si="4"/>
        <v>2026</v>
      </c>
      <c r="N645" s="8" t="str">
        <f t="array" ref="N645">XLOOKUP(C645,Customer_Dim!A:A,Customer_Dim!B:B,"Not Found")</f>
        <v>Denise Griffin</v>
      </c>
      <c r="O645" s="8" t="str">
        <f t="array" ref="O645">XLOOKUP(C645,Customer_Dim!A:A,Customer_Dim!E:E,"Not Found")</f>
        <v>West Markhaven</v>
      </c>
      <c r="P645" s="8" t="str">
        <f t="array" ref="P645">XLOOKUP(D645,Product_Dim!A:A,Product_Dim!B:B,"Not Found")</f>
        <v>Wireless Mouse</v>
      </c>
      <c r="Q645" s="8" t="str">
        <f t="array" ref="Q645">XLOOKUP(D645,Product_Dim!A:A,Product_Dim!C:C,"Not Found")</f>
        <v>Electronics</v>
      </c>
      <c r="R645" s="8" t="str">
        <f t="array" ref="R645">XLOOKUP(E645,Store_Dim!A:A,Store_Dim!B:B,"Not Found")</f>
        <v>East</v>
      </c>
      <c r="S645" s="8" t="str">
        <f t="array" ref="S645">XLOOKUP(E645,Store_Dim!A:A,Store_Dim!D:D,"Not Found")</f>
        <v>Online</v>
      </c>
    </row>
    <row r="646" ht="14.25" customHeight="1">
      <c r="A646" s="8" t="s">
        <v>2599</v>
      </c>
      <c r="B646" s="12">
        <v>46124.0</v>
      </c>
      <c r="C646" s="8" t="s">
        <v>640</v>
      </c>
      <c r="D646" s="8" t="s">
        <v>1754</v>
      </c>
      <c r="E646" s="8" t="s">
        <v>1903</v>
      </c>
      <c r="F646" s="8">
        <v>1.0</v>
      </c>
      <c r="G646" s="8">
        <v>172.04</v>
      </c>
      <c r="H646" s="8">
        <v>0.04</v>
      </c>
      <c r="I646" s="8">
        <f t="shared" si="1"/>
        <v>172.04</v>
      </c>
      <c r="J646" s="8">
        <f t="shared" si="2"/>
        <v>-6.8416</v>
      </c>
      <c r="K646" s="8" t="str">
        <f t="shared" si="3"/>
        <v>Apr</v>
      </c>
      <c r="L646" s="8">
        <f t="shared" si="4"/>
        <v>2026</v>
      </c>
      <c r="N646" s="8" t="str">
        <f t="array" ref="N646">XLOOKUP(C646,Customer_Dim!A:A,Customer_Dim!B:B,"Not Found")</f>
        <v>Todd Poole</v>
      </c>
      <c r="O646" s="8" t="str">
        <f t="array" ref="O646">XLOOKUP(C646,Customer_Dim!A:A,Customer_Dim!E:E,"Not Found")</f>
        <v>Johnsonshire</v>
      </c>
      <c r="P646" s="8" t="str">
        <f t="array" ref="P646">XLOOKUP(D646,Product_Dim!A:A,Product_Dim!B:B,"Not Found")</f>
        <v>Ceramic Plant Pot</v>
      </c>
      <c r="Q646" s="8" t="str">
        <f t="array" ref="Q646">XLOOKUP(D646,Product_Dim!A:A,Product_Dim!C:C,"Not Found")</f>
        <v>Home</v>
      </c>
      <c r="R646" s="8" t="str">
        <f t="array" ref="R646">XLOOKUP(E646,Store_Dim!A:A,Store_Dim!B:B,"Not Found")</f>
        <v>North</v>
      </c>
      <c r="S646" s="8" t="str">
        <f t="array" ref="S646">XLOOKUP(E646,Store_Dim!A:A,Store_Dim!D:D,"Not Found")</f>
        <v>Flagship</v>
      </c>
    </row>
    <row r="647" ht="14.25" customHeight="1">
      <c r="A647" s="8" t="s">
        <v>2600</v>
      </c>
      <c r="B647" s="12">
        <v>46125.0</v>
      </c>
      <c r="C647" s="8" t="s">
        <v>1456</v>
      </c>
      <c r="D647" s="8" t="s">
        <v>1751</v>
      </c>
      <c r="E647" s="8" t="s">
        <v>1903</v>
      </c>
      <c r="F647" s="8">
        <v>1.0</v>
      </c>
      <c r="G647" s="8">
        <v>389.2</v>
      </c>
      <c r="H647" s="8">
        <v>0.05</v>
      </c>
      <c r="I647" s="8">
        <f t="shared" si="1"/>
        <v>389.2</v>
      </c>
      <c r="J647" s="8">
        <f t="shared" si="2"/>
        <v>-19.41</v>
      </c>
      <c r="K647" s="8" t="str">
        <f t="shared" si="3"/>
        <v>Apr</v>
      </c>
      <c r="L647" s="8">
        <f t="shared" si="4"/>
        <v>2026</v>
      </c>
      <c r="N647" s="8" t="str">
        <f t="array" ref="N647">XLOOKUP(C647,Customer_Dim!A:A,Customer_Dim!B:B,"Not Found")</f>
        <v>Michael Foley</v>
      </c>
      <c r="O647" s="8" t="str">
        <f t="array" ref="O647">XLOOKUP(C647,Customer_Dim!A:A,Customer_Dim!E:E,"Not Found")</f>
        <v>Oneillfurt</v>
      </c>
      <c r="P647" s="8" t="str">
        <f t="array" ref="P647">XLOOKUP(D647,Product_Dim!A:A,Product_Dim!B:B,"Not Found")</f>
        <v>Sports Stopwatch Pro</v>
      </c>
      <c r="Q647" s="8" t="str">
        <f t="array" ref="Q647">XLOOKUP(D647,Product_Dim!A:A,Product_Dim!C:C,"Not Found")</f>
        <v>Sports</v>
      </c>
      <c r="R647" s="8" t="str">
        <f t="array" ref="R647">XLOOKUP(E647,Store_Dim!A:A,Store_Dim!B:B,"Not Found")</f>
        <v>North</v>
      </c>
      <c r="S647" s="8" t="str">
        <f t="array" ref="S647">XLOOKUP(E647,Store_Dim!A:A,Store_Dim!D:D,"Not Found")</f>
        <v>Flagship</v>
      </c>
    </row>
    <row r="648" ht="14.25" customHeight="1">
      <c r="A648" s="8" t="s">
        <v>2601</v>
      </c>
      <c r="B648" s="12">
        <v>46126.0</v>
      </c>
      <c r="C648" s="8" t="s">
        <v>1438</v>
      </c>
      <c r="D648" s="8" t="s">
        <v>1821</v>
      </c>
      <c r="E648" s="8" t="s">
        <v>1931</v>
      </c>
      <c r="F648" s="8">
        <v>3.0</v>
      </c>
      <c r="G648" s="8">
        <v>865.96</v>
      </c>
      <c r="H648" s="8">
        <v>0.12</v>
      </c>
      <c r="I648" s="8">
        <f t="shared" si="1"/>
        <v>2597.88</v>
      </c>
      <c r="J648" s="8">
        <f t="shared" si="2"/>
        <v>-311.6256</v>
      </c>
      <c r="K648" s="8" t="str">
        <f t="shared" si="3"/>
        <v>Apr</v>
      </c>
      <c r="L648" s="8">
        <f t="shared" si="4"/>
        <v>2026</v>
      </c>
      <c r="N648" s="8" t="str">
        <f t="array" ref="N648">XLOOKUP(C648,Customer_Dim!A:A,Customer_Dim!B:B,"Not Found")</f>
        <v>Paul Cox</v>
      </c>
      <c r="O648" s="8" t="str">
        <f t="array" ref="O648">XLOOKUP(C648,Customer_Dim!A:A,Customer_Dim!E:E,"Not Found")</f>
        <v>East Julie</v>
      </c>
      <c r="P648" s="8" t="str">
        <f t="array" ref="P648">XLOOKUP(D648,Product_Dim!A:A,Product_Dim!B:B,"Not Found")</f>
        <v>WiFi Mesh Router</v>
      </c>
      <c r="Q648" s="8" t="str">
        <f t="array" ref="Q648">XLOOKUP(D648,Product_Dim!A:A,Product_Dim!C:C,"Not Found")</f>
        <v>Electronics</v>
      </c>
      <c r="R648" s="8" t="str">
        <f t="array" ref="R648">XLOOKUP(E648,Store_Dim!A:A,Store_Dim!B:B,"Not Found")</f>
        <v>East</v>
      </c>
      <c r="S648" s="8" t="str">
        <f t="array" ref="S648">XLOOKUP(E648,Store_Dim!A:A,Store_Dim!D:D,"Not Found")</f>
        <v>Flagship</v>
      </c>
    </row>
    <row r="649" ht="14.25" customHeight="1">
      <c r="A649" s="8" t="s">
        <v>2602</v>
      </c>
      <c r="B649" s="12">
        <v>46127.0</v>
      </c>
      <c r="C649" s="8" t="s">
        <v>574</v>
      </c>
      <c r="D649" s="8" t="s">
        <v>1638</v>
      </c>
      <c r="E649" s="8" t="s">
        <v>1903</v>
      </c>
      <c r="F649" s="8">
        <v>3.0</v>
      </c>
      <c r="G649" s="8">
        <v>79.95</v>
      </c>
      <c r="H649" s="8">
        <v>0.2</v>
      </c>
      <c r="I649" s="8">
        <f t="shared" si="1"/>
        <v>239.85</v>
      </c>
      <c r="J649" s="8">
        <f t="shared" si="2"/>
        <v>-47.77</v>
      </c>
      <c r="K649" s="8" t="str">
        <f t="shared" si="3"/>
        <v>Apr</v>
      </c>
      <c r="L649" s="8">
        <f t="shared" si="4"/>
        <v>2026</v>
      </c>
      <c r="N649" s="8" t="str">
        <f t="array" ref="N649">XLOOKUP(C649,Customer_Dim!A:A,Customer_Dim!B:B,"Not Found")</f>
        <v>Steve Mclaughlin</v>
      </c>
      <c r="O649" s="8" t="str">
        <f t="array" ref="O649">XLOOKUP(C649,Customer_Dim!A:A,Customer_Dim!E:E,"Not Found")</f>
        <v>Josephmouth</v>
      </c>
      <c r="P649" s="8" t="str">
        <f t="array" ref="P649">XLOOKUP(D649,Product_Dim!A:A,Product_Dim!B:B,"Not Found")</f>
        <v>Knee Support Brace</v>
      </c>
      <c r="Q649" s="8" t="str">
        <f t="array" ref="Q649">XLOOKUP(D649,Product_Dim!A:A,Product_Dim!C:C,"Not Found")</f>
        <v>Sports</v>
      </c>
      <c r="R649" s="8" t="str">
        <f t="array" ref="R649">XLOOKUP(E649,Store_Dim!A:A,Store_Dim!B:B,"Not Found")</f>
        <v>North</v>
      </c>
      <c r="S649" s="8" t="str">
        <f t="array" ref="S649">XLOOKUP(E649,Store_Dim!A:A,Store_Dim!D:D,"Not Found")</f>
        <v>Flagship</v>
      </c>
    </row>
    <row r="650" ht="14.25" customHeight="1">
      <c r="A650" s="8" t="s">
        <v>2603</v>
      </c>
      <c r="B650" s="12">
        <v>46128.0</v>
      </c>
      <c r="C650" s="8" t="s">
        <v>1206</v>
      </c>
      <c r="D650" s="8" t="s">
        <v>1662</v>
      </c>
      <c r="E650" s="8" t="s">
        <v>1919</v>
      </c>
      <c r="F650" s="8">
        <v>1.0</v>
      </c>
      <c r="G650" s="8">
        <v>566.5</v>
      </c>
      <c r="H650" s="8">
        <v>0.25</v>
      </c>
      <c r="I650" s="8">
        <f t="shared" si="1"/>
        <v>566.5</v>
      </c>
      <c r="J650" s="8">
        <f t="shared" si="2"/>
        <v>-141.375</v>
      </c>
      <c r="K650" s="8" t="str">
        <f t="shared" si="3"/>
        <v>Apr</v>
      </c>
      <c r="L650" s="8">
        <f t="shared" si="4"/>
        <v>2026</v>
      </c>
      <c r="N650" s="8" t="str">
        <f t="array" ref="N650">XLOOKUP(C650,Customer_Dim!A:A,Customer_Dim!B:B,"Not Found")</f>
        <v>Erika Padilla</v>
      </c>
      <c r="O650" s="8" t="str">
        <f t="array" ref="O650">XLOOKUP(C650,Customer_Dim!A:A,Customer_Dim!E:E,"Not Found")</f>
        <v>Andrewsland</v>
      </c>
      <c r="P650" s="8" t="str">
        <f t="array" ref="P650">XLOOKUP(D650,Product_Dim!A:A,Product_Dim!B:B,"Not Found")</f>
        <v>Wireless Bluetooth Speaker</v>
      </c>
      <c r="Q650" s="8" t="str">
        <f t="array" ref="Q650">XLOOKUP(D650,Product_Dim!A:A,Product_Dim!C:C,"Not Found")</f>
        <v>Electronics</v>
      </c>
      <c r="R650" s="8" t="str">
        <f t="array" ref="R650">XLOOKUP(E650,Store_Dim!A:A,Store_Dim!B:B,"Not Found")</f>
        <v>South</v>
      </c>
      <c r="S650" s="8" t="str">
        <f t="array" ref="S650">XLOOKUP(E650,Store_Dim!A:A,Store_Dim!D:D,"Not Found")</f>
        <v>Online</v>
      </c>
    </row>
    <row r="651" ht="14.25" customHeight="1">
      <c r="A651" s="8" t="s">
        <v>2604</v>
      </c>
      <c r="B651" s="12">
        <v>46129.0</v>
      </c>
      <c r="C651" s="8" t="s">
        <v>1268</v>
      </c>
      <c r="D651" s="8" t="s">
        <v>1645</v>
      </c>
      <c r="E651" s="8" t="s">
        <v>1899</v>
      </c>
      <c r="F651" s="8">
        <v>2.0</v>
      </c>
      <c r="G651" s="8">
        <v>347.95</v>
      </c>
      <c r="H651" s="8">
        <v>0.13</v>
      </c>
      <c r="I651" s="8">
        <f t="shared" si="1"/>
        <v>695.9</v>
      </c>
      <c r="J651" s="8">
        <f t="shared" si="2"/>
        <v>-90.337</v>
      </c>
      <c r="K651" s="8" t="str">
        <f t="shared" si="3"/>
        <v>Apr</v>
      </c>
      <c r="L651" s="8">
        <f t="shared" si="4"/>
        <v>2026</v>
      </c>
      <c r="N651" s="8" t="str">
        <f t="array" ref="N651">XLOOKUP(C651,Customer_Dim!A:A,Customer_Dim!B:B,"Not Found")</f>
        <v>Cassandra Perez</v>
      </c>
      <c r="O651" s="8" t="str">
        <f t="array" ref="O651">XLOOKUP(C651,Customer_Dim!A:A,Customer_Dim!E:E,"Not Found")</f>
        <v>Brandonville</v>
      </c>
      <c r="P651" s="8" t="str">
        <f t="array" ref="P651">XLOOKUP(D651,Product_Dim!A:A,Product_Dim!B:B,"Not Found")</f>
        <v>Multi-Purpose Storage Box</v>
      </c>
      <c r="Q651" s="8" t="str">
        <f t="array" ref="Q651">XLOOKUP(D651,Product_Dim!A:A,Product_Dim!C:C,"Not Found")</f>
        <v>Home</v>
      </c>
      <c r="R651" s="8" t="str">
        <f t="array" ref="R651">XLOOKUP(E651,Store_Dim!A:A,Store_Dim!B:B,"Not Found")</f>
        <v>East</v>
      </c>
      <c r="S651" s="8" t="str">
        <f t="array" ref="S651">XLOOKUP(E651,Store_Dim!A:A,Store_Dim!D:D,"Not Found")</f>
        <v>Flagship</v>
      </c>
    </row>
    <row r="652" ht="14.25" customHeight="1">
      <c r="A652" s="8" t="s">
        <v>2605</v>
      </c>
      <c r="B652" s="12">
        <v>46130.0</v>
      </c>
      <c r="C652" s="8" t="s">
        <v>693</v>
      </c>
      <c r="D652" s="8" t="s">
        <v>1763</v>
      </c>
      <c r="E652" s="8" t="s">
        <v>1910</v>
      </c>
      <c r="F652" s="8">
        <v>2.0</v>
      </c>
      <c r="G652" s="8">
        <v>250.83</v>
      </c>
      <c r="H652" s="8">
        <v>0.15</v>
      </c>
      <c r="I652" s="8">
        <f t="shared" si="1"/>
        <v>501.66</v>
      </c>
      <c r="J652" s="8">
        <f t="shared" si="2"/>
        <v>-75.099</v>
      </c>
      <c r="K652" s="8" t="str">
        <f t="shared" si="3"/>
        <v>Apr</v>
      </c>
      <c r="L652" s="8">
        <f t="shared" si="4"/>
        <v>2026</v>
      </c>
      <c r="N652" s="8" t="str">
        <f t="array" ref="N652">XLOOKUP(C652,Customer_Dim!A:A,Customer_Dim!B:B,"Not Found")</f>
        <v>Joan Johnson</v>
      </c>
      <c r="O652" s="8" t="str">
        <f t="array" ref="O652">XLOOKUP(C652,Customer_Dim!A:A,Customer_Dim!E:E,"Not Found")</f>
        <v>Lake Josephport</v>
      </c>
      <c r="P652" s="8" t="str">
        <f t="array" ref="P652">XLOOKUP(D652,Product_Dim!A:A,Product_Dim!B:B,"Not Found")</f>
        <v>Womens Cotton Scarf</v>
      </c>
      <c r="Q652" s="8" t="str">
        <f t="array" ref="Q652">XLOOKUP(D652,Product_Dim!A:A,Product_Dim!C:C,"Not Found")</f>
        <v>Clothing</v>
      </c>
      <c r="R652" s="8" t="str">
        <f t="array" ref="R652">XLOOKUP(E652,Store_Dim!A:A,Store_Dim!B:B,"Not Found")</f>
        <v>North</v>
      </c>
      <c r="S652" s="8" t="str">
        <f t="array" ref="S652">XLOOKUP(E652,Store_Dim!A:A,Store_Dim!D:D,"Not Found")</f>
        <v>Outlet</v>
      </c>
    </row>
    <row r="653" ht="14.25" customHeight="1">
      <c r="A653" s="8" t="s">
        <v>2606</v>
      </c>
      <c r="B653" s="12">
        <v>46131.0</v>
      </c>
      <c r="C653" s="8" t="s">
        <v>514</v>
      </c>
      <c r="D653" s="8" t="s">
        <v>1803</v>
      </c>
      <c r="E653" s="8" t="s">
        <v>1903</v>
      </c>
      <c r="F653" s="8">
        <v>1.0</v>
      </c>
      <c r="G653" s="8">
        <v>888.05</v>
      </c>
      <c r="H653" s="8">
        <v>0.2</v>
      </c>
      <c r="I653" s="8">
        <f t="shared" si="1"/>
        <v>888.05</v>
      </c>
      <c r="J653" s="8">
        <f t="shared" si="2"/>
        <v>-177.41</v>
      </c>
      <c r="K653" s="8" t="str">
        <f t="shared" si="3"/>
        <v>Apr</v>
      </c>
      <c r="L653" s="8">
        <f t="shared" si="4"/>
        <v>2026</v>
      </c>
      <c r="N653" s="8" t="str">
        <f t="array" ref="N653">XLOOKUP(C653,Customer_Dim!A:A,Customer_Dim!B:B,"Not Found")</f>
        <v>Denise Griffin</v>
      </c>
      <c r="O653" s="8" t="str">
        <f t="array" ref="O653">XLOOKUP(C653,Customer_Dim!A:A,Customer_Dim!E:E,"Not Found")</f>
        <v>West Markhaven</v>
      </c>
      <c r="P653" s="8" t="str">
        <f t="array" ref="P653">XLOOKUP(D653,Product_Dim!A:A,Product_Dim!B:B,"Not Found")</f>
        <v>Hair Repair Oil Treatment</v>
      </c>
      <c r="Q653" s="8" t="str">
        <f t="array" ref="Q653">XLOOKUP(D653,Product_Dim!A:A,Product_Dim!C:C,"Not Found")</f>
        <v>Beauty</v>
      </c>
      <c r="R653" s="8" t="str">
        <f t="array" ref="R653">XLOOKUP(E653,Store_Dim!A:A,Store_Dim!B:B,"Not Found")</f>
        <v>North</v>
      </c>
      <c r="S653" s="8" t="str">
        <f t="array" ref="S653">XLOOKUP(E653,Store_Dim!A:A,Store_Dim!D:D,"Not Found")</f>
        <v>Flagship</v>
      </c>
    </row>
    <row r="654" ht="14.25" customHeight="1">
      <c r="A654" s="8" t="s">
        <v>2607</v>
      </c>
      <c r="B654" s="12">
        <v>46132.0</v>
      </c>
      <c r="C654" s="8" t="s">
        <v>44</v>
      </c>
      <c r="D654" s="8" t="s">
        <v>1703</v>
      </c>
      <c r="E654" s="8" t="s">
        <v>1939</v>
      </c>
      <c r="F654" s="8">
        <v>2.0</v>
      </c>
      <c r="G654" s="8">
        <v>673.02</v>
      </c>
      <c r="H654" s="8">
        <v>0.11</v>
      </c>
      <c r="I654" s="8">
        <f t="shared" si="1"/>
        <v>1346.04</v>
      </c>
      <c r="J654" s="8">
        <f t="shared" si="2"/>
        <v>-147.9544</v>
      </c>
      <c r="K654" s="8" t="str">
        <f t="shared" si="3"/>
        <v>Apr</v>
      </c>
      <c r="L654" s="8">
        <f t="shared" si="4"/>
        <v>2026</v>
      </c>
      <c r="N654" s="8" t="str">
        <f t="array" ref="N654">XLOOKUP(C654,Customer_Dim!A:A,Customer_Dim!B:B,"Not Found")</f>
        <v>Amber Jackson</v>
      </c>
      <c r="O654" s="8" t="str">
        <f t="array" ref="O654">XLOOKUP(C654,Customer_Dim!A:A,Customer_Dim!E:E,"Not Found")</f>
        <v>Deborahborough</v>
      </c>
      <c r="P654" s="8" t="str">
        <f t="array" ref="P654">XLOOKUP(D654,Product_Dim!A:A,Product_Dim!B:B,"Not Found")</f>
        <v>Portable Power Bank</v>
      </c>
      <c r="Q654" s="8" t="str">
        <f t="array" ref="Q654">XLOOKUP(D654,Product_Dim!A:A,Product_Dim!C:C,"Not Found")</f>
        <v>Electronics</v>
      </c>
      <c r="R654" s="8" t="str">
        <f t="array" ref="R654">XLOOKUP(E654,Store_Dim!A:A,Store_Dim!B:B,"Not Found")</f>
        <v>East</v>
      </c>
      <c r="S654" s="8" t="str">
        <f t="array" ref="S654">XLOOKUP(E654,Store_Dim!A:A,Store_Dim!D:D,"Not Found")</f>
        <v>Flagship</v>
      </c>
    </row>
    <row r="655" ht="14.25" customHeight="1">
      <c r="A655" s="8" t="s">
        <v>2608</v>
      </c>
      <c r="B655" s="12">
        <v>46133.0</v>
      </c>
      <c r="C655" s="8" t="s">
        <v>1378</v>
      </c>
      <c r="D655" s="8" t="s">
        <v>1781</v>
      </c>
      <c r="E655" s="8" t="s">
        <v>1910</v>
      </c>
      <c r="F655" s="8">
        <v>2.0</v>
      </c>
      <c r="G655" s="8">
        <v>492.62</v>
      </c>
      <c r="H655" s="8">
        <v>0.26</v>
      </c>
      <c r="I655" s="8">
        <f t="shared" si="1"/>
        <v>985.24</v>
      </c>
      <c r="J655" s="8">
        <f t="shared" si="2"/>
        <v>-255.9024</v>
      </c>
      <c r="K655" s="8" t="str">
        <f t="shared" si="3"/>
        <v>Apr</v>
      </c>
      <c r="L655" s="8">
        <f t="shared" si="4"/>
        <v>2026</v>
      </c>
      <c r="N655" s="8" t="str">
        <f t="array" ref="N655">XLOOKUP(C655,Customer_Dim!A:A,Customer_Dim!B:B,"Not Found")</f>
        <v>Tammy Trevino</v>
      </c>
      <c r="O655" s="8" t="str">
        <f t="array" ref="O655">XLOOKUP(C655,Customer_Dim!A:A,Customer_Dim!E:E,"Not Found")</f>
        <v>Justinberg</v>
      </c>
      <c r="P655" s="8" t="str">
        <f t="array" ref="P655">XLOOKUP(D655,Product_Dim!A:A,Product_Dim!B:B,"Not Found")</f>
        <v>Matte Lipstick Set</v>
      </c>
      <c r="Q655" s="8" t="str">
        <f t="array" ref="Q655">XLOOKUP(D655,Product_Dim!A:A,Product_Dim!C:C,"Not Found")</f>
        <v>Beauty</v>
      </c>
      <c r="R655" s="8" t="str">
        <f t="array" ref="R655">XLOOKUP(E655,Store_Dim!A:A,Store_Dim!B:B,"Not Found")</f>
        <v>North</v>
      </c>
      <c r="S655" s="8" t="str">
        <f t="array" ref="S655">XLOOKUP(E655,Store_Dim!A:A,Store_Dim!D:D,"Not Found")</f>
        <v>Outlet</v>
      </c>
    </row>
    <row r="656" ht="14.25" customHeight="1">
      <c r="A656" s="8" t="s">
        <v>2609</v>
      </c>
      <c r="B656" s="12">
        <v>46134.0</v>
      </c>
      <c r="C656" s="8" t="s">
        <v>1191</v>
      </c>
      <c r="D656" s="8" t="s">
        <v>1845</v>
      </c>
      <c r="E656" s="8" t="s">
        <v>1910</v>
      </c>
      <c r="F656" s="8">
        <v>4.0</v>
      </c>
      <c r="G656" s="8">
        <v>986.93</v>
      </c>
      <c r="H656" s="8">
        <v>0.01</v>
      </c>
      <c r="I656" s="8">
        <f t="shared" si="1"/>
        <v>3947.72</v>
      </c>
      <c r="J656" s="8">
        <f t="shared" si="2"/>
        <v>-39.4672</v>
      </c>
      <c r="K656" s="8" t="str">
        <f t="shared" si="3"/>
        <v>Apr</v>
      </c>
      <c r="L656" s="8">
        <f t="shared" si="4"/>
        <v>2026</v>
      </c>
      <c r="N656" s="8" t="str">
        <f t="array" ref="N656">XLOOKUP(C656,Customer_Dim!A:A,Customer_Dim!B:B,"Not Found")</f>
        <v>Michele Burke</v>
      </c>
      <c r="O656" s="8" t="str">
        <f t="array" ref="O656">XLOOKUP(C656,Customer_Dim!A:A,Customer_Dim!E:E,"Not Found")</f>
        <v>Chambersberg</v>
      </c>
      <c r="P656" s="8" t="str">
        <f t="array" ref="P656">XLOOKUP(D656,Product_Dim!A:A,Product_Dim!B:B,"Not Found")</f>
        <v>Women's Beanie Hat</v>
      </c>
      <c r="Q656" s="8" t="str">
        <f t="array" ref="Q656">XLOOKUP(D656,Product_Dim!A:A,Product_Dim!C:C,"Not Found")</f>
        <v>Clothing</v>
      </c>
      <c r="R656" s="8" t="str">
        <f t="array" ref="R656">XLOOKUP(E656,Store_Dim!A:A,Store_Dim!B:B,"Not Found")</f>
        <v>North</v>
      </c>
      <c r="S656" s="8" t="str">
        <f t="array" ref="S656">XLOOKUP(E656,Store_Dim!A:A,Store_Dim!D:D,"Not Found")</f>
        <v>Outlet</v>
      </c>
    </row>
    <row r="657" ht="14.25" customHeight="1">
      <c r="A657" s="8" t="s">
        <v>2610</v>
      </c>
      <c r="B657" s="12">
        <v>46135.0</v>
      </c>
      <c r="C657" s="8" t="s">
        <v>1491</v>
      </c>
      <c r="D657" s="8" t="s">
        <v>1649</v>
      </c>
      <c r="E657" s="8" t="s">
        <v>1929</v>
      </c>
      <c r="F657" s="8">
        <v>4.0</v>
      </c>
      <c r="G657" s="8">
        <v>411.68</v>
      </c>
      <c r="H657" s="8">
        <v>0.06</v>
      </c>
      <c r="I657" s="8">
        <f t="shared" si="1"/>
        <v>1646.72</v>
      </c>
      <c r="J657" s="8">
        <f t="shared" si="2"/>
        <v>-98.7432</v>
      </c>
      <c r="K657" s="8" t="str">
        <f t="shared" si="3"/>
        <v>Apr</v>
      </c>
      <c r="L657" s="8">
        <f t="shared" si="4"/>
        <v>2026</v>
      </c>
      <c r="N657" s="8" t="str">
        <f t="array" ref="N657">XLOOKUP(C657,Customer_Dim!A:A,Customer_Dim!B:B,"Not Found")</f>
        <v>Dylan Gutierrez</v>
      </c>
      <c r="O657" s="8" t="str">
        <f t="array" ref="O657">XLOOKUP(C657,Customer_Dim!A:A,Customer_Dim!E:E,"Not Found")</f>
        <v>New Jamesview</v>
      </c>
      <c r="P657" s="8" t="str">
        <f t="array" ref="P657">XLOOKUP(D657,Product_Dim!A:A,Product_Dim!B:B,"Not Found")</f>
        <v>Carbon Fiber Tennis Racket</v>
      </c>
      <c r="Q657" s="8" t="str">
        <f t="array" ref="Q657">XLOOKUP(D657,Product_Dim!A:A,Product_Dim!C:C,"Not Found")</f>
        <v>Sports</v>
      </c>
      <c r="R657" s="8" t="str">
        <f t="array" ref="R657">XLOOKUP(E657,Store_Dim!A:A,Store_Dim!B:B,"Not Found")</f>
        <v>North</v>
      </c>
      <c r="S657" s="8" t="str">
        <f t="array" ref="S657">XLOOKUP(E657,Store_Dim!A:A,Store_Dim!D:D,"Not Found")</f>
        <v>Online</v>
      </c>
    </row>
    <row r="658" ht="14.25" customHeight="1">
      <c r="A658" s="8" t="s">
        <v>2611</v>
      </c>
      <c r="B658" s="12">
        <v>46136.0</v>
      </c>
      <c r="C658" s="8" t="s">
        <v>723</v>
      </c>
      <c r="D658" s="8" t="s">
        <v>1693</v>
      </c>
      <c r="E658" s="8" t="s">
        <v>1937</v>
      </c>
      <c r="F658" s="8">
        <v>2.0</v>
      </c>
      <c r="G658" s="8">
        <v>637.56</v>
      </c>
      <c r="H658" s="8">
        <v>0.05</v>
      </c>
      <c r="I658" s="8">
        <f t="shared" si="1"/>
        <v>1275.12</v>
      </c>
      <c r="J658" s="8">
        <f t="shared" si="2"/>
        <v>-63.706</v>
      </c>
      <c r="K658" s="8" t="str">
        <f t="shared" si="3"/>
        <v>Apr</v>
      </c>
      <c r="L658" s="8">
        <f t="shared" si="4"/>
        <v>2026</v>
      </c>
      <c r="N658" s="8" t="str">
        <f t="array" ref="N658">XLOOKUP(C658,Customer_Dim!A:A,Customer_Dim!B:B,"Not Found")</f>
        <v>Jordan Wells</v>
      </c>
      <c r="O658" s="8" t="str">
        <f t="array" ref="O658">XLOOKUP(C658,Customer_Dim!A:A,Customer_Dim!E:E,"Not Found")</f>
        <v>Phillipschester   </v>
      </c>
      <c r="P658" s="8" t="str">
        <f t="array" ref="P658">XLOOKUP(D658,Product_Dim!A:A,Product_Dim!B:B,"Not Found")</f>
        <v>Women's Summer Dress</v>
      </c>
      <c r="Q658" s="8" t="str">
        <f t="array" ref="Q658">XLOOKUP(D658,Product_Dim!A:A,Product_Dim!C:C,"Not Found")</f>
        <v>Clothing</v>
      </c>
      <c r="R658" s="8" t="str">
        <f t="array" ref="R658">XLOOKUP(E658,Store_Dim!A:A,Store_Dim!B:B,"Not Found")</f>
        <v>North</v>
      </c>
      <c r="S658" s="8" t="str">
        <f t="array" ref="S658">XLOOKUP(E658,Store_Dim!A:A,Store_Dim!D:D,"Not Found")</f>
        <v>Flagship</v>
      </c>
    </row>
    <row r="659" ht="14.25" customHeight="1">
      <c r="A659" s="8" t="s">
        <v>2612</v>
      </c>
      <c r="B659" s="12">
        <v>46137.0</v>
      </c>
      <c r="C659" s="8" t="s">
        <v>76</v>
      </c>
      <c r="D659" s="8" t="s">
        <v>1617</v>
      </c>
      <c r="E659" s="8" t="s">
        <v>1910</v>
      </c>
      <c r="F659" s="8">
        <v>3.0</v>
      </c>
      <c r="G659" s="8">
        <v>706.87</v>
      </c>
      <c r="H659" s="8">
        <v>0.27</v>
      </c>
      <c r="I659" s="8">
        <f t="shared" si="1"/>
        <v>2120.61</v>
      </c>
      <c r="J659" s="8">
        <f t="shared" si="2"/>
        <v>-572.2947</v>
      </c>
      <c r="K659" s="8" t="str">
        <f t="shared" si="3"/>
        <v>Apr</v>
      </c>
      <c r="L659" s="8">
        <f t="shared" si="4"/>
        <v>2026</v>
      </c>
      <c r="N659" s="8" t="str">
        <f t="array" ref="N659">XLOOKUP(C659,Customer_Dim!A:A,Customer_Dim!B:B,"Not Found")</f>
        <v>Ashley Cohen</v>
      </c>
      <c r="O659" s="8" t="str">
        <f t="array" ref="O659">XLOOKUP(C659,Customer_Dim!A:A,Customer_Dim!E:E,"Not Found")</f>
        <v>Lake Kristamouth</v>
      </c>
      <c r="P659" s="8" t="str">
        <f t="array" ref="P659">XLOOKUP(D659,Product_Dim!A:A,Product_Dim!B:B,"Not Found")</f>
        <v>USB-C Fast Charger</v>
      </c>
      <c r="Q659" s="8" t="str">
        <f t="array" ref="Q659">XLOOKUP(D659,Product_Dim!A:A,Product_Dim!C:C,"Not Found")</f>
        <v>Electronics</v>
      </c>
      <c r="R659" s="8" t="str">
        <f t="array" ref="R659">XLOOKUP(E659,Store_Dim!A:A,Store_Dim!B:B,"Not Found")</f>
        <v>North</v>
      </c>
      <c r="S659" s="8" t="str">
        <f t="array" ref="S659">XLOOKUP(E659,Store_Dim!A:A,Store_Dim!D:D,"Not Found")</f>
        <v>Outlet</v>
      </c>
    </row>
    <row r="660" ht="14.25" customHeight="1">
      <c r="A660" s="8" t="s">
        <v>2613</v>
      </c>
      <c r="B660" s="12">
        <v>46138.0</v>
      </c>
      <c r="C660" s="8" t="s">
        <v>218</v>
      </c>
      <c r="D660" s="8" t="s">
        <v>1624</v>
      </c>
      <c r="E660" s="8" t="s">
        <v>1917</v>
      </c>
      <c r="F660" s="8">
        <v>2.0</v>
      </c>
      <c r="G660" s="8">
        <v>884.48</v>
      </c>
      <c r="H660" s="8">
        <v>0.0</v>
      </c>
      <c r="I660" s="8">
        <f t="shared" si="1"/>
        <v>1768.96</v>
      </c>
      <c r="J660" s="8">
        <f t="shared" si="2"/>
        <v>0</v>
      </c>
      <c r="K660" s="8" t="str">
        <f t="shared" si="3"/>
        <v>Apr</v>
      </c>
      <c r="L660" s="8">
        <f t="shared" si="4"/>
        <v>2026</v>
      </c>
      <c r="N660" s="8" t="str">
        <f t="array" ref="N660">XLOOKUP(C660,Customer_Dim!A:A,Customer_Dim!B:B,"Not Found")</f>
        <v>Wayne Mcpherson</v>
      </c>
      <c r="O660" s="8" t="str">
        <f t="array" ref="O660">XLOOKUP(C660,Customer_Dim!A:A,Customer_Dim!E:E,"Not Found")</f>
        <v>Edwardsfort</v>
      </c>
      <c r="P660" s="8" t="str">
        <f t="array" ref="P660">XLOOKUP(D660,Product_Dim!A:A,Product_Dim!B:B,"Not Found")</f>
        <v>4K Home Projector</v>
      </c>
      <c r="Q660" s="8" t="str">
        <f t="array" ref="Q660">XLOOKUP(D660,Product_Dim!A:A,Product_Dim!C:C,"Not Found")</f>
        <v>Electronics</v>
      </c>
      <c r="R660" s="8" t="str">
        <f t="array" ref="R660">XLOOKUP(E660,Store_Dim!A:A,Store_Dim!B:B,"Not Found")</f>
        <v>East</v>
      </c>
      <c r="S660" s="8" t="str">
        <f t="array" ref="S660">XLOOKUP(E660,Store_Dim!A:A,Store_Dim!D:D,"Not Found")</f>
        <v>Online</v>
      </c>
    </row>
    <row r="661" ht="14.25" customHeight="1">
      <c r="A661" s="8" t="s">
        <v>2614</v>
      </c>
      <c r="B661" s="12">
        <v>46139.0</v>
      </c>
      <c r="C661" s="8" t="s">
        <v>191</v>
      </c>
      <c r="D661" s="8" t="s">
        <v>1866</v>
      </c>
      <c r="E661" s="8" t="s">
        <v>1912</v>
      </c>
      <c r="F661" s="8">
        <v>3.0</v>
      </c>
      <c r="G661" s="8">
        <v>718.23</v>
      </c>
      <c r="H661" s="8">
        <v>0.19</v>
      </c>
      <c r="I661" s="8">
        <f t="shared" si="1"/>
        <v>2154.69</v>
      </c>
      <c r="J661" s="8">
        <f t="shared" si="2"/>
        <v>-409.2011</v>
      </c>
      <c r="K661" s="8" t="str">
        <f t="shared" si="3"/>
        <v>Apr</v>
      </c>
      <c r="L661" s="8">
        <f t="shared" si="4"/>
        <v>2026</v>
      </c>
      <c r="N661" s="8" t="str">
        <f t="array" ref="N661">XLOOKUP(C661,Customer_Dim!A:A,Customer_Dim!B:B,"Not Found")</f>
        <v>Gina Knight</v>
      </c>
      <c r="O661" s="8" t="str">
        <f t="array" ref="O661">XLOOKUP(C661,Customer_Dim!A:A,Customer_Dim!E:E,"Not Found")</f>
        <v>Lake Roberthaven</v>
      </c>
      <c r="P661" s="8" t="str">
        <f t="array" ref="P661">XLOOKUP(D661,Product_Dim!A:A,Product_Dim!B:B,"Not Found")</f>
        <v>Microwave Oven</v>
      </c>
      <c r="Q661" s="8" t="str">
        <f t="array" ref="Q661">XLOOKUP(D661,Product_Dim!A:A,Product_Dim!C:C,"Not Found")</f>
        <v>Home</v>
      </c>
      <c r="R661" s="8" t="str">
        <f t="array" ref="R661">XLOOKUP(E661,Store_Dim!A:A,Store_Dim!B:B,"Not Found")</f>
        <v>South</v>
      </c>
      <c r="S661" s="8" t="str">
        <f t="array" ref="S661">XLOOKUP(E661,Store_Dim!A:A,Store_Dim!D:D,"Not Found")</f>
        <v>Online</v>
      </c>
    </row>
    <row r="662" ht="14.25" customHeight="1">
      <c r="A662" s="8" t="s">
        <v>2615</v>
      </c>
      <c r="B662" s="12">
        <v>46140.0</v>
      </c>
      <c r="C662" s="8" t="s">
        <v>607</v>
      </c>
      <c r="D662" s="8" t="s">
        <v>1860</v>
      </c>
      <c r="E662" s="8" t="s">
        <v>1939</v>
      </c>
      <c r="F662" s="8">
        <v>3.0</v>
      </c>
      <c r="G662" s="8">
        <v>107.44</v>
      </c>
      <c r="H662" s="8">
        <v>0.27</v>
      </c>
      <c r="I662" s="8">
        <f t="shared" si="1"/>
        <v>322.32</v>
      </c>
      <c r="J662" s="8">
        <f t="shared" si="2"/>
        <v>-86.7564</v>
      </c>
      <c r="K662" s="8" t="str">
        <f t="shared" si="3"/>
        <v>Apr</v>
      </c>
      <c r="L662" s="8">
        <f t="shared" si="4"/>
        <v>2026</v>
      </c>
      <c r="N662" s="8" t="str">
        <f t="array" ref="N662">XLOOKUP(C662,Customer_Dim!A:A,Customer_Dim!B:B,"Not Found")</f>
        <v>Wesley Thompson</v>
      </c>
      <c r="O662" s="8" t="str">
        <f t="array" ref="O662">XLOOKUP(C662,Customer_Dim!A:A,Customer_Dim!E:E,"Not Found")</f>
        <v>East Davidmouth</v>
      </c>
      <c r="P662" s="8" t="str">
        <f t="array" ref="P662">XLOOKUP(D662,Product_Dim!A:A,Product_Dim!B:B,"Not Found")</f>
        <v>Gaming Mouse Pad XL</v>
      </c>
      <c r="Q662" s="8" t="str">
        <f t="array" ref="Q662">XLOOKUP(D662,Product_Dim!A:A,Product_Dim!C:C,"Not Found")</f>
        <v>Electronics</v>
      </c>
      <c r="R662" s="8" t="str">
        <f t="array" ref="R662">XLOOKUP(E662,Store_Dim!A:A,Store_Dim!B:B,"Not Found")</f>
        <v>East</v>
      </c>
      <c r="S662" s="8" t="str">
        <f t="array" ref="S662">XLOOKUP(E662,Store_Dim!A:A,Store_Dim!D:D,"Not Found")</f>
        <v>Flagship</v>
      </c>
    </row>
    <row r="663" ht="14.25" customHeight="1">
      <c r="A663" s="8" t="s">
        <v>2616</v>
      </c>
      <c r="B663" s="12">
        <v>46141.0</v>
      </c>
      <c r="C663" s="8" t="s">
        <v>221</v>
      </c>
      <c r="D663" s="8" t="s">
        <v>1725</v>
      </c>
      <c r="E663" s="8" t="s">
        <v>1910</v>
      </c>
      <c r="F663" s="8">
        <v>4.0</v>
      </c>
      <c r="G663" s="8">
        <v>608.97</v>
      </c>
      <c r="H663" s="8">
        <v>0.14</v>
      </c>
      <c r="I663" s="8">
        <f t="shared" si="1"/>
        <v>2435.88</v>
      </c>
      <c r="J663" s="8">
        <f t="shared" si="2"/>
        <v>-340.8832</v>
      </c>
      <c r="K663" s="8" t="str">
        <f t="shared" si="3"/>
        <v>Apr</v>
      </c>
      <c r="L663" s="8">
        <f t="shared" si="4"/>
        <v>2026</v>
      </c>
      <c r="N663" s="8" t="str">
        <f t="array" ref="N663">XLOOKUP(C663,Customer_Dim!A:A,Customer_Dim!B:B,"Not Found")</f>
        <v>Christopher Sutton</v>
      </c>
      <c r="O663" s="8" t="str">
        <f t="array" ref="O663">XLOOKUP(C663,Customer_Dim!A:A,Customer_Dim!E:E,"Not Found")</f>
        <v>Deborahberg</v>
      </c>
      <c r="P663" s="8" t="str">
        <f t="array" ref="P663">XLOOKUP(D663,Product_Dim!A:A,Product_Dim!B:B,"Not Found")</f>
        <v>Men's Winter Jacket</v>
      </c>
      <c r="Q663" s="8" t="str">
        <f t="array" ref="Q663">XLOOKUP(D663,Product_Dim!A:A,Product_Dim!C:C,"Not Found")</f>
        <v>Clothing</v>
      </c>
      <c r="R663" s="8" t="str">
        <f t="array" ref="R663">XLOOKUP(E663,Store_Dim!A:A,Store_Dim!B:B,"Not Found")</f>
        <v>North</v>
      </c>
      <c r="S663" s="8" t="str">
        <f t="array" ref="S663">XLOOKUP(E663,Store_Dim!A:A,Store_Dim!D:D,"Not Found")</f>
        <v>Outlet</v>
      </c>
    </row>
    <row r="664" ht="14.25" customHeight="1">
      <c r="A664" s="8" t="s">
        <v>2617</v>
      </c>
      <c r="B664" s="12">
        <v>46142.0</v>
      </c>
      <c r="C664" s="8" t="s">
        <v>1125</v>
      </c>
      <c r="D664" s="8" t="s">
        <v>1772</v>
      </c>
      <c r="E664" s="8" t="s">
        <v>1917</v>
      </c>
      <c r="F664" s="8">
        <v>3.0</v>
      </c>
      <c r="G664" s="8">
        <v>260.46</v>
      </c>
      <c r="H664" s="8">
        <v>0.09</v>
      </c>
      <c r="I664" s="8">
        <f t="shared" si="1"/>
        <v>781.38</v>
      </c>
      <c r="J664" s="8">
        <f t="shared" si="2"/>
        <v>-70.2342</v>
      </c>
      <c r="K664" s="8" t="str">
        <f t="shared" si="3"/>
        <v>Apr</v>
      </c>
      <c r="L664" s="8">
        <f t="shared" si="4"/>
        <v>2026</v>
      </c>
      <c r="N664" s="8" t="str">
        <f t="array" ref="N664">XLOOKUP(C664,Customer_Dim!A:A,Customer_Dim!B:B,"Not Found")</f>
        <v>Ryan Torres</v>
      </c>
      <c r="O664" s="8" t="str">
        <f t="array" ref="O664">XLOOKUP(C664,Customer_Dim!A:A,Customer_Dim!E:E,"Not Found")</f>
        <v>Guerreroport</v>
      </c>
      <c r="P664" s="8" t="str">
        <f t="array" ref="P664">XLOOKUP(D664,Product_Dim!A:A,Product_Dim!B:B,"Not Found")</f>
        <v>Tennis Ball 3-Pack</v>
      </c>
      <c r="Q664" s="8" t="str">
        <f t="array" ref="Q664">XLOOKUP(D664,Product_Dim!A:A,Product_Dim!C:C,"Not Found")</f>
        <v>Sports</v>
      </c>
      <c r="R664" s="8" t="str">
        <f t="array" ref="R664">XLOOKUP(E664,Store_Dim!A:A,Store_Dim!B:B,"Not Found")</f>
        <v>East</v>
      </c>
      <c r="S664" s="8" t="str">
        <f t="array" ref="S664">XLOOKUP(E664,Store_Dim!A:A,Store_Dim!D:D,"Not Found")</f>
        <v>Online</v>
      </c>
    </row>
    <row r="665" ht="14.25" customHeight="1">
      <c r="A665" s="8" t="s">
        <v>2618</v>
      </c>
      <c r="B665" s="12">
        <v>46143.0</v>
      </c>
      <c r="C665" s="8" t="s">
        <v>436</v>
      </c>
      <c r="D665" s="8" t="s">
        <v>1649</v>
      </c>
      <c r="E665" s="8" t="s">
        <v>1917</v>
      </c>
      <c r="F665" s="8">
        <v>1.0</v>
      </c>
      <c r="G665" s="8">
        <v>747.03</v>
      </c>
      <c r="H665" s="8">
        <v>0.01</v>
      </c>
      <c r="I665" s="8">
        <f t="shared" si="1"/>
        <v>747.03</v>
      </c>
      <c r="J665" s="8">
        <f t="shared" si="2"/>
        <v>-7.4603</v>
      </c>
      <c r="K665" s="8" t="str">
        <f t="shared" si="3"/>
        <v>May</v>
      </c>
      <c r="L665" s="8">
        <f t="shared" si="4"/>
        <v>2026</v>
      </c>
      <c r="N665" s="8" t="str">
        <f t="array" ref="N665">XLOOKUP(C665,Customer_Dim!A:A,Customer_Dim!B:B,"Not Found")</f>
        <v>Erin Hopkins</v>
      </c>
      <c r="O665" s="8" t="str">
        <f t="array" ref="O665">XLOOKUP(C665,Customer_Dim!A:A,Customer_Dim!E:E,"Not Found")</f>
        <v>North Sabrina</v>
      </c>
      <c r="P665" s="8" t="str">
        <f t="array" ref="P665">XLOOKUP(D665,Product_Dim!A:A,Product_Dim!B:B,"Not Found")</f>
        <v>Carbon Fiber Tennis Racket</v>
      </c>
      <c r="Q665" s="8" t="str">
        <f t="array" ref="Q665">XLOOKUP(D665,Product_Dim!A:A,Product_Dim!C:C,"Not Found")</f>
        <v>Sports</v>
      </c>
      <c r="R665" s="8" t="str">
        <f t="array" ref="R665">XLOOKUP(E665,Store_Dim!A:A,Store_Dim!B:B,"Not Found")</f>
        <v>East</v>
      </c>
      <c r="S665" s="8" t="str">
        <f t="array" ref="S665">XLOOKUP(E665,Store_Dim!A:A,Store_Dim!D:D,"Not Found")</f>
        <v>Online</v>
      </c>
    </row>
    <row r="666" ht="14.25" customHeight="1">
      <c r="A666" s="8" t="s">
        <v>2619</v>
      </c>
      <c r="B666" s="12">
        <v>46144.0</v>
      </c>
      <c r="C666" s="8" t="s">
        <v>1273</v>
      </c>
      <c r="D666" s="8" t="s">
        <v>1989</v>
      </c>
      <c r="E666" s="8" t="s">
        <v>1921</v>
      </c>
      <c r="F666" s="8">
        <v>4.0</v>
      </c>
      <c r="G666" s="8">
        <v>700.88</v>
      </c>
      <c r="H666" s="8">
        <v>0.23</v>
      </c>
      <c r="I666" s="8">
        <f t="shared" si="1"/>
        <v>2803.52</v>
      </c>
      <c r="J666" s="8">
        <f t="shared" si="2"/>
        <v>-644.5796</v>
      </c>
      <c r="K666" s="8" t="str">
        <f t="shared" si="3"/>
        <v>May</v>
      </c>
      <c r="L666" s="8">
        <f t="shared" si="4"/>
        <v>2026</v>
      </c>
      <c r="N666" s="8" t="str">
        <f t="array" ref="N666">XLOOKUP(C666,Customer_Dim!A:A,Customer_Dim!B:B,"Not Found")</f>
        <v>David Ross</v>
      </c>
      <c r="O666" s="8" t="str">
        <f t="array" ref="O666">XLOOKUP(C666,Customer_Dim!A:A,Customer_Dim!E:E,"Not Found")</f>
        <v>South Angela</v>
      </c>
      <c r="P666" s="8" t="str">
        <f t="array" ref="P666">XLOOKUP(D666,Product_Dim!A:A,Product_Dim!B:B,"Not Found")</f>
        <v>Not Found</v>
      </c>
      <c r="Q666" s="8" t="str">
        <f t="array" ref="Q666">XLOOKUP(D666,Product_Dim!A:A,Product_Dim!C:C,"Not Found")</f>
        <v>Not Found</v>
      </c>
      <c r="R666" s="8" t="str">
        <f t="array" ref="R666">XLOOKUP(E666,Store_Dim!A:A,Store_Dim!B:B,"Not Found")</f>
        <v>West</v>
      </c>
      <c r="S666" s="8" t="str">
        <f t="array" ref="S666">XLOOKUP(E666,Store_Dim!A:A,Store_Dim!D:D,"Not Found")</f>
        <v>Online</v>
      </c>
    </row>
    <row r="667" ht="14.25" customHeight="1">
      <c r="A667" s="8" t="s">
        <v>2620</v>
      </c>
      <c r="B667" s="12">
        <v>46145.0</v>
      </c>
      <c r="C667" s="8" t="s">
        <v>195</v>
      </c>
      <c r="D667" s="8" t="s">
        <v>1875</v>
      </c>
      <c r="E667" s="8" t="s">
        <v>1932</v>
      </c>
      <c r="F667" s="8">
        <v>4.0</v>
      </c>
      <c r="G667" s="8">
        <v>20.09</v>
      </c>
      <c r="H667" s="8">
        <v>0.16</v>
      </c>
      <c r="I667" s="8">
        <f t="shared" si="1"/>
        <v>80.36</v>
      </c>
      <c r="J667" s="8">
        <f t="shared" si="2"/>
        <v>-12.6976</v>
      </c>
      <c r="K667" s="8" t="str">
        <f t="shared" si="3"/>
        <v>May</v>
      </c>
      <c r="L667" s="8">
        <f t="shared" si="4"/>
        <v>2026</v>
      </c>
      <c r="N667" s="8" t="str">
        <f t="array" ref="N667">XLOOKUP(C667,Customer_Dim!A:A,Customer_Dim!B:B,"Not Found")</f>
        <v>April Mullins</v>
      </c>
      <c r="O667" s="8" t="str">
        <f t="array" ref="O667">XLOOKUP(C667,Customer_Dim!A:A,Customer_Dim!E:E,"Not Found")</f>
        <v>Dawsonbury</v>
      </c>
      <c r="P667" s="8" t="str">
        <f t="array" ref="P667">XLOOKUP(D667,Product_Dim!A:A,Product_Dim!B:B,"Not Found")</f>
        <v>Sports Stopwatch Basic</v>
      </c>
      <c r="Q667" s="8" t="str">
        <f t="array" ref="Q667">XLOOKUP(D667,Product_Dim!A:A,Product_Dim!C:C,"Not Found")</f>
        <v>Sports</v>
      </c>
      <c r="R667" s="8" t="str">
        <f t="array" ref="R667">XLOOKUP(E667,Store_Dim!A:A,Store_Dim!B:B,"Not Found")</f>
        <v>South</v>
      </c>
      <c r="S667" s="8" t="str">
        <f t="array" ref="S667">XLOOKUP(E667,Store_Dim!A:A,Store_Dim!D:D,"Not Found")</f>
        <v>Outlet</v>
      </c>
    </row>
    <row r="668" ht="14.25" customHeight="1">
      <c r="A668" s="8" t="s">
        <v>2621</v>
      </c>
      <c r="B668" s="12">
        <v>46146.0</v>
      </c>
      <c r="C668" s="8" t="s">
        <v>240</v>
      </c>
      <c r="D668" s="8" t="s">
        <v>1696</v>
      </c>
      <c r="E668" s="8" t="s">
        <v>1928</v>
      </c>
      <c r="F668" s="8">
        <v>3.0</v>
      </c>
      <c r="G668" s="8">
        <v>917.64</v>
      </c>
      <c r="H668" s="8">
        <v>0.24</v>
      </c>
      <c r="I668" s="8">
        <f t="shared" si="1"/>
        <v>2752.92</v>
      </c>
      <c r="J668" s="8">
        <f t="shared" si="2"/>
        <v>-660.4608</v>
      </c>
      <c r="K668" s="8" t="str">
        <f t="shared" si="3"/>
        <v>May</v>
      </c>
      <c r="L668" s="8">
        <f t="shared" si="4"/>
        <v>2026</v>
      </c>
      <c r="N668" s="8" t="str">
        <f t="array" ref="N668">XLOOKUP(C668,Customer_Dim!A:A,Customer_Dim!B:B,"Not Found")</f>
        <v>James Bean</v>
      </c>
      <c r="O668" s="8" t="str">
        <f t="array" ref="O668">XLOOKUP(C668,Customer_Dim!A:A,Customer_Dim!E:E,"Not Found")</f>
        <v>Stevensonton</v>
      </c>
      <c r="P668" s="8" t="str">
        <f t="array" ref="P668">XLOOKUP(D668,Product_Dim!A:A,Product_Dim!B:B,"Not Found")</f>
        <v>Men's Casual Sneakers</v>
      </c>
      <c r="Q668" s="8" t="str">
        <f t="array" ref="Q668">XLOOKUP(D668,Product_Dim!A:A,Product_Dim!C:C,"Not Found")</f>
        <v>Clothing</v>
      </c>
      <c r="R668" s="8" t="str">
        <f t="array" ref="R668">XLOOKUP(E668,Store_Dim!A:A,Store_Dim!B:B,"Not Found")</f>
        <v>South</v>
      </c>
      <c r="S668" s="8" t="str">
        <f t="array" ref="S668">XLOOKUP(E668,Store_Dim!A:A,Store_Dim!D:D,"Not Found")</f>
        <v>Online</v>
      </c>
    </row>
    <row r="669" ht="14.25" customHeight="1">
      <c r="A669" s="8" t="s">
        <v>2622</v>
      </c>
      <c r="B669" s="12">
        <v>46147.0</v>
      </c>
      <c r="C669" s="8" t="s">
        <v>205</v>
      </c>
      <c r="D669" s="8" t="s">
        <v>1645</v>
      </c>
      <c r="E669" s="8" t="s">
        <v>1899</v>
      </c>
      <c r="F669" s="8">
        <v>1.0</v>
      </c>
      <c r="G669" s="8">
        <v>242.08</v>
      </c>
      <c r="H669" s="8">
        <v>0.18</v>
      </c>
      <c r="I669" s="8">
        <f t="shared" si="1"/>
        <v>242.08</v>
      </c>
      <c r="J669" s="8">
        <f t="shared" si="2"/>
        <v>-43.3944</v>
      </c>
      <c r="K669" s="8" t="str">
        <f t="shared" si="3"/>
        <v>May</v>
      </c>
      <c r="L669" s="8">
        <f t="shared" si="4"/>
        <v>2026</v>
      </c>
      <c r="N669" s="8" t="str">
        <f t="array" ref="N669">XLOOKUP(C669,Customer_Dim!A:A,Customer_Dim!B:B,"Not Found")</f>
        <v>Sarah Rodgers</v>
      </c>
      <c r="O669" s="8" t="str">
        <f t="array" ref="O669">XLOOKUP(C669,Customer_Dim!A:A,Customer_Dim!E:E,"Not Found")</f>
        <v>New Julia</v>
      </c>
      <c r="P669" s="8" t="str">
        <f t="array" ref="P669">XLOOKUP(D669,Product_Dim!A:A,Product_Dim!B:B,"Not Found")</f>
        <v>Multi-Purpose Storage Box</v>
      </c>
      <c r="Q669" s="8" t="str">
        <f t="array" ref="Q669">XLOOKUP(D669,Product_Dim!A:A,Product_Dim!C:C,"Not Found")</f>
        <v>Home</v>
      </c>
      <c r="R669" s="8" t="str">
        <f t="array" ref="R669">XLOOKUP(E669,Store_Dim!A:A,Store_Dim!B:B,"Not Found")</f>
        <v>East</v>
      </c>
      <c r="S669" s="8" t="str">
        <f t="array" ref="S669">XLOOKUP(E669,Store_Dim!A:A,Store_Dim!D:D,"Not Found")</f>
        <v>Flagship</v>
      </c>
    </row>
    <row r="670" ht="14.25" customHeight="1">
      <c r="A670" s="8" t="s">
        <v>2623</v>
      </c>
      <c r="B670" s="12">
        <v>46148.0</v>
      </c>
      <c r="C670" s="8" t="s">
        <v>224</v>
      </c>
      <c r="D670" s="8" t="s">
        <v>1778</v>
      </c>
      <c r="E670" s="8" t="s">
        <v>1919</v>
      </c>
      <c r="F670" s="8">
        <v>1.0</v>
      </c>
      <c r="G670" s="8">
        <v>536.68</v>
      </c>
      <c r="H670" s="8">
        <v>0.27</v>
      </c>
      <c r="I670" s="8">
        <f t="shared" si="1"/>
        <v>536.68</v>
      </c>
      <c r="J670" s="8">
        <f t="shared" si="2"/>
        <v>-144.6336</v>
      </c>
      <c r="K670" s="8" t="str">
        <f t="shared" si="3"/>
        <v>May</v>
      </c>
      <c r="L670" s="8">
        <f t="shared" si="4"/>
        <v>2026</v>
      </c>
      <c r="N670" s="8" t="str">
        <f t="array" ref="N670">XLOOKUP(C670,Customer_Dim!A:A,Customer_Dim!B:B,"Not Found")</f>
        <v>Jay Patel</v>
      </c>
      <c r="O670" s="8" t="str">
        <f t="array" ref="O670">XLOOKUP(C670,Customer_Dim!A:A,Customer_Dim!E:E,"Not Found")</f>
        <v>Morrisbury</v>
      </c>
      <c r="P670" s="8" t="str">
        <f t="array" ref="P670">XLOOKUP(D670,Product_Dim!A:A,Product_Dim!B:B,"Not Found")</f>
        <v>Organic Sunscreen Lotion</v>
      </c>
      <c r="Q670" s="8" t="str">
        <f t="array" ref="Q670">XLOOKUP(D670,Product_Dim!A:A,Product_Dim!C:C,"Not Found")</f>
        <v>Beauty</v>
      </c>
      <c r="R670" s="8" t="str">
        <f t="array" ref="R670">XLOOKUP(E670,Store_Dim!A:A,Store_Dim!B:B,"Not Found")</f>
        <v>South</v>
      </c>
      <c r="S670" s="8" t="str">
        <f t="array" ref="S670">XLOOKUP(E670,Store_Dim!A:A,Store_Dim!D:D,"Not Found")</f>
        <v>Online</v>
      </c>
    </row>
    <row r="671" ht="14.25" customHeight="1">
      <c r="A671" s="8" t="s">
        <v>2624</v>
      </c>
      <c r="B671" s="12">
        <v>46149.0</v>
      </c>
      <c r="C671" s="8" t="s">
        <v>348</v>
      </c>
      <c r="D671" s="8" t="s">
        <v>1671</v>
      </c>
      <c r="E671" s="8" t="s">
        <v>1912</v>
      </c>
      <c r="F671" s="8">
        <v>2.0</v>
      </c>
      <c r="G671" s="8">
        <v>145.18</v>
      </c>
      <c r="H671" s="8">
        <v>0.26</v>
      </c>
      <c r="I671" s="8">
        <f t="shared" si="1"/>
        <v>290.36</v>
      </c>
      <c r="J671" s="8">
        <f t="shared" si="2"/>
        <v>-75.2336</v>
      </c>
      <c r="K671" s="8" t="str">
        <f t="shared" si="3"/>
        <v>May</v>
      </c>
      <c r="L671" s="8">
        <f t="shared" si="4"/>
        <v>2026</v>
      </c>
      <c r="N671" s="8" t="str">
        <f t="array" ref="N671">XLOOKUP(C671,Customer_Dim!A:A,Customer_Dim!B:B,"Not Found")</f>
        <v>David Patterson</v>
      </c>
      <c r="O671" s="8" t="str">
        <f t="array" ref="O671">XLOOKUP(C671,Customer_Dim!A:A,Customer_Dim!E:E,"Not Found")</f>
        <v>New Amyport</v>
      </c>
      <c r="P671" s="8" t="str">
        <f t="array" ref="P671">XLOOKUP(D671,Product_Dim!A:A,Product_Dim!B:B,"Not Found")</f>
        <v>Fabric Sofa Throw Blanket</v>
      </c>
      <c r="Q671" s="8" t="str">
        <f t="array" ref="Q671">XLOOKUP(D671,Product_Dim!A:A,Product_Dim!C:C,"Not Found")</f>
        <v>Home</v>
      </c>
      <c r="R671" s="8" t="str">
        <f t="array" ref="R671">XLOOKUP(E671,Store_Dim!A:A,Store_Dim!B:B,"Not Found")</f>
        <v>South</v>
      </c>
      <c r="S671" s="8" t="str">
        <f t="array" ref="S671">XLOOKUP(E671,Store_Dim!A:A,Store_Dim!D:D,"Not Found")</f>
        <v>Online</v>
      </c>
    </row>
    <row r="672" ht="14.25" customHeight="1">
      <c r="A672" s="8" t="s">
        <v>2625</v>
      </c>
      <c r="B672" s="12">
        <v>46150.0</v>
      </c>
      <c r="C672" s="8" t="s">
        <v>730</v>
      </c>
      <c r="D672" s="8" t="s">
        <v>1790</v>
      </c>
      <c r="E672" s="8" t="s">
        <v>1912</v>
      </c>
      <c r="F672" s="8">
        <v>2.0</v>
      </c>
      <c r="G672" s="8">
        <v>132.77</v>
      </c>
      <c r="H672" s="8">
        <v>0.13</v>
      </c>
      <c r="I672" s="8">
        <f t="shared" si="1"/>
        <v>265.54</v>
      </c>
      <c r="J672" s="8">
        <f t="shared" si="2"/>
        <v>-34.3902</v>
      </c>
      <c r="K672" s="8" t="str">
        <f t="shared" si="3"/>
        <v>May</v>
      </c>
      <c r="L672" s="8">
        <f t="shared" si="4"/>
        <v>2026</v>
      </c>
      <c r="N672" s="8" t="str">
        <f t="array" ref="N672">XLOOKUP(C672,Customer_Dim!A:A,Customer_Dim!B:B,"Not Found")</f>
        <v>Lisa Young</v>
      </c>
      <c r="O672" s="8" t="str">
        <f t="array" ref="O672">XLOOKUP(C672,Customer_Dim!A:A,Customer_Dim!E:E,"Not Found")</f>
        <v>Maybury</v>
      </c>
      <c r="P672" s="8" t="str">
        <f t="array" ref="P672">XLOOKUP(D672,Product_Dim!A:A,Product_Dim!B:B,"Not Found")</f>
        <v>Smart LED Light Strip</v>
      </c>
      <c r="Q672" s="8" t="str">
        <f t="array" ref="Q672">XLOOKUP(D672,Product_Dim!A:A,Product_Dim!C:C,"Not Found")</f>
        <v>Electronics</v>
      </c>
      <c r="R672" s="8" t="str">
        <f t="array" ref="R672">XLOOKUP(E672,Store_Dim!A:A,Store_Dim!B:B,"Not Found")</f>
        <v>South</v>
      </c>
      <c r="S672" s="8" t="str">
        <f t="array" ref="S672">XLOOKUP(E672,Store_Dim!A:A,Store_Dim!D:D,"Not Found")</f>
        <v>Online</v>
      </c>
    </row>
    <row r="673" ht="14.25" customHeight="1">
      <c r="A673" s="8" t="s">
        <v>2626</v>
      </c>
      <c r="B673" s="12">
        <v>46151.0</v>
      </c>
      <c r="C673" s="8" t="s">
        <v>72</v>
      </c>
      <c r="D673" s="8" t="s">
        <v>1710</v>
      </c>
      <c r="E673" s="8" t="s">
        <v>1924</v>
      </c>
      <c r="F673" s="8">
        <v>4.0</v>
      </c>
      <c r="G673" s="8">
        <v>682.11</v>
      </c>
      <c r="H673" s="8">
        <v>0.14</v>
      </c>
      <c r="I673" s="8">
        <f t="shared" si="1"/>
        <v>2728.44</v>
      </c>
      <c r="J673" s="8">
        <f t="shared" si="2"/>
        <v>-381.8416</v>
      </c>
      <c r="K673" s="8" t="str">
        <f t="shared" si="3"/>
        <v>May</v>
      </c>
      <c r="L673" s="8">
        <f t="shared" si="4"/>
        <v>2026</v>
      </c>
      <c r="N673" s="8" t="str">
        <f t="array" ref="N673">XLOOKUP(C673,Customer_Dim!A:A,Customer_Dim!B:B,"Not Found")</f>
        <v>Nathan Hernandez</v>
      </c>
      <c r="O673" s="8" t="str">
        <f t="array" ref="O673">XLOOKUP(C673,Customer_Dim!A:A,Customer_Dim!E:E,"Not Found")</f>
        <v>New Becky</v>
      </c>
      <c r="P673" s="8" t="str">
        <f t="array" ref="P673">XLOOKUP(D673,Product_Dim!A:A,Product_Dim!B:B,"Not Found")</f>
        <v>Yoga Exercise Mat</v>
      </c>
      <c r="Q673" s="8" t="str">
        <f t="array" ref="Q673">XLOOKUP(D673,Product_Dim!A:A,Product_Dim!C:C,"Not Found")</f>
        <v>Sports</v>
      </c>
      <c r="R673" s="8" t="str">
        <f t="array" ref="R673">XLOOKUP(E673,Store_Dim!A:A,Store_Dim!B:B,"Not Found")</f>
        <v>South</v>
      </c>
      <c r="S673" s="8" t="str">
        <f t="array" ref="S673">XLOOKUP(E673,Store_Dim!A:A,Store_Dim!D:D,"Not Found")</f>
        <v>Flagship</v>
      </c>
    </row>
    <row r="674" ht="14.25" customHeight="1">
      <c r="A674" s="8" t="s">
        <v>2627</v>
      </c>
      <c r="B674" s="12">
        <v>46152.0</v>
      </c>
      <c r="C674" s="8" t="s">
        <v>1511</v>
      </c>
      <c r="D674" s="8" t="s">
        <v>1707</v>
      </c>
      <c r="E674" s="8" t="s">
        <v>1937</v>
      </c>
      <c r="F674" s="8">
        <v>4.0</v>
      </c>
      <c r="G674" s="8">
        <v>502.95</v>
      </c>
      <c r="H674" s="8">
        <v>0.14</v>
      </c>
      <c r="I674" s="8">
        <f t="shared" si="1"/>
        <v>2011.8</v>
      </c>
      <c r="J674" s="8">
        <f t="shared" si="2"/>
        <v>-281.512</v>
      </c>
      <c r="K674" s="8" t="str">
        <f t="shared" si="3"/>
        <v>May</v>
      </c>
      <c r="L674" s="8">
        <f t="shared" si="4"/>
        <v>2026</v>
      </c>
      <c r="N674" s="8" t="str">
        <f t="array" ref="N674">XLOOKUP(C674,Customer_Dim!A:A,Customer_Dim!B:B,"Not Found")</f>
        <v>Eric Lee</v>
      </c>
      <c r="O674" s="8" t="str">
        <f t="array" ref="O674">XLOOKUP(C674,Customer_Dim!A:A,Customer_Dim!E:E,"Not Found")</f>
        <v>Lake April</v>
      </c>
      <c r="P674" s="8" t="str">
        <f t="array" ref="P674">XLOOKUP(D674,Product_Dim!A:A,Product_Dim!B:B,"Not Found")</f>
        <v>Noise-Canceling Headphones</v>
      </c>
      <c r="Q674" s="8" t="str">
        <f t="array" ref="Q674">XLOOKUP(D674,Product_Dim!A:A,Product_Dim!C:C,"Not Found")</f>
        <v>Electronics</v>
      </c>
      <c r="R674" s="8" t="str">
        <f t="array" ref="R674">XLOOKUP(E674,Store_Dim!A:A,Store_Dim!B:B,"Not Found")</f>
        <v>North</v>
      </c>
      <c r="S674" s="8" t="str">
        <f t="array" ref="S674">XLOOKUP(E674,Store_Dim!A:A,Store_Dim!D:D,"Not Found")</f>
        <v>Flagship</v>
      </c>
    </row>
    <row r="675" ht="14.25" customHeight="1">
      <c r="A675" s="8" t="s">
        <v>2628</v>
      </c>
      <c r="B675" s="12">
        <v>46153.0</v>
      </c>
      <c r="C675" s="8" t="s">
        <v>767</v>
      </c>
      <c r="D675" s="8" t="s">
        <v>1696</v>
      </c>
      <c r="E675" s="8" t="s">
        <v>1935</v>
      </c>
      <c r="F675" s="8">
        <v>2.0</v>
      </c>
      <c r="G675" s="8">
        <v>472.08</v>
      </c>
      <c r="H675" s="8">
        <v>0.07</v>
      </c>
      <c r="I675" s="8">
        <f t="shared" si="1"/>
        <v>944.16</v>
      </c>
      <c r="J675" s="8">
        <f t="shared" si="2"/>
        <v>-66.0212</v>
      </c>
      <c r="K675" s="8" t="str">
        <f t="shared" si="3"/>
        <v>May</v>
      </c>
      <c r="L675" s="8">
        <f t="shared" si="4"/>
        <v>2026</v>
      </c>
      <c r="N675" s="8" t="str">
        <f t="array" ref="N675">XLOOKUP(C675,Customer_Dim!A:A,Customer_Dim!B:B,"Not Found")</f>
        <v>Nathaniel Hill</v>
      </c>
      <c r="O675" s="8" t="str">
        <f t="array" ref="O675">XLOOKUP(C675,Customer_Dim!A:A,Customer_Dim!E:E,"Not Found")</f>
        <v>Lake Mark</v>
      </c>
      <c r="P675" s="8" t="str">
        <f t="array" ref="P675">XLOOKUP(D675,Product_Dim!A:A,Product_Dim!B:B,"Not Found")</f>
        <v>Men's Casual Sneakers</v>
      </c>
      <c r="Q675" s="8" t="str">
        <f t="array" ref="Q675">XLOOKUP(D675,Product_Dim!A:A,Product_Dim!C:C,"Not Found")</f>
        <v>Clothing</v>
      </c>
      <c r="R675" s="8" t="str">
        <f t="array" ref="R675">XLOOKUP(E675,Store_Dim!A:A,Store_Dim!B:B,"Not Found")</f>
        <v>West</v>
      </c>
      <c r="S675" s="8" t="str">
        <f t="array" ref="S675">XLOOKUP(E675,Store_Dim!A:A,Store_Dim!D:D,"Not Found")</f>
        <v>Flagship</v>
      </c>
    </row>
    <row r="676" ht="14.25" customHeight="1">
      <c r="A676" s="8" t="s">
        <v>2629</v>
      </c>
      <c r="B676" s="12">
        <v>46154.0</v>
      </c>
      <c r="C676" s="8" t="s">
        <v>1474</v>
      </c>
      <c r="D676" s="8" t="s">
        <v>1760</v>
      </c>
      <c r="E676" s="8" t="s">
        <v>1937</v>
      </c>
      <c r="F676" s="8">
        <v>2.0</v>
      </c>
      <c r="G676" s="8">
        <v>218.11</v>
      </c>
      <c r="H676" s="8">
        <v>0.02</v>
      </c>
      <c r="I676" s="8">
        <f t="shared" si="1"/>
        <v>436.22</v>
      </c>
      <c r="J676" s="8">
        <f t="shared" si="2"/>
        <v>-8.7044</v>
      </c>
      <c r="K676" s="8" t="str">
        <f t="shared" si="3"/>
        <v>May</v>
      </c>
      <c r="L676" s="8">
        <f t="shared" si="4"/>
        <v>2026</v>
      </c>
      <c r="N676" s="8" t="str">
        <f t="array" ref="N676">XLOOKUP(C676,Customer_Dim!A:A,Customer_Dim!B:B,"Not Found")</f>
        <v>Laura Mathews</v>
      </c>
      <c r="O676" s="8" t="str">
        <f t="array" ref="O676">XLOOKUP(C676,Customer_Dim!A:A,Customer_Dim!E:E,"Not Found")</f>
        <v>Chambersfurt</v>
      </c>
      <c r="P676" s="8" t="str">
        <f t="array" ref="P676">XLOOKUP(D676,Product_Dim!A:A,Product_Dim!B:B,"Not Found")</f>
        <v>Foam Roller</v>
      </c>
      <c r="Q676" s="8" t="str">
        <f t="array" ref="Q676">XLOOKUP(D676,Product_Dim!A:A,Product_Dim!C:C,"Not Found")</f>
        <v>Sports</v>
      </c>
      <c r="R676" s="8" t="str">
        <f t="array" ref="R676">XLOOKUP(E676,Store_Dim!A:A,Store_Dim!B:B,"Not Found")</f>
        <v>North</v>
      </c>
      <c r="S676" s="8" t="str">
        <f t="array" ref="S676">XLOOKUP(E676,Store_Dim!A:A,Store_Dim!D:D,"Not Found")</f>
        <v>Flagship</v>
      </c>
    </row>
    <row r="677" ht="14.25" customHeight="1">
      <c r="A677" s="8" t="s">
        <v>2630</v>
      </c>
      <c r="B677" s="12">
        <v>46155.0</v>
      </c>
      <c r="C677" s="8" t="s">
        <v>224</v>
      </c>
      <c r="D677" s="8" t="s">
        <v>1567</v>
      </c>
      <c r="E677" s="8" t="s">
        <v>1917</v>
      </c>
      <c r="F677" s="8">
        <v>4.0</v>
      </c>
      <c r="G677" s="8">
        <v>845.58</v>
      </c>
      <c r="H677" s="8">
        <v>0.06</v>
      </c>
      <c r="I677" s="8">
        <f t="shared" si="1"/>
        <v>3382.32</v>
      </c>
      <c r="J677" s="8">
        <f t="shared" si="2"/>
        <v>-202.8792</v>
      </c>
      <c r="K677" s="8" t="str">
        <f t="shared" si="3"/>
        <v>May</v>
      </c>
      <c r="L677" s="8">
        <f t="shared" si="4"/>
        <v>2026</v>
      </c>
      <c r="N677" s="8" t="str">
        <f t="array" ref="N677">XLOOKUP(C677,Customer_Dim!A:A,Customer_Dim!B:B,"Not Found")</f>
        <v>Jay Patel</v>
      </c>
      <c r="O677" s="8" t="str">
        <f t="array" ref="O677">XLOOKUP(C677,Customer_Dim!A:A,Customer_Dim!E:E,"Not Found")</f>
        <v>Morrisbury</v>
      </c>
      <c r="P677" s="8" t="str">
        <f t="array" ref="P677">XLOOKUP(D677,Product_Dim!A:A,Product_Dim!B:B,"Not Found")</f>
        <v>Men's Graphic T-Shirt</v>
      </c>
      <c r="Q677" s="8" t="str">
        <f t="array" ref="Q677">XLOOKUP(D677,Product_Dim!A:A,Product_Dim!C:C,"Not Found")</f>
        <v>Clothing</v>
      </c>
      <c r="R677" s="8" t="str">
        <f t="array" ref="R677">XLOOKUP(E677,Store_Dim!A:A,Store_Dim!B:B,"Not Found")</f>
        <v>East</v>
      </c>
      <c r="S677" s="8" t="str">
        <f t="array" ref="S677">XLOOKUP(E677,Store_Dim!A:A,Store_Dim!D:D,"Not Found")</f>
        <v>Online</v>
      </c>
    </row>
    <row r="678" ht="14.25" customHeight="1">
      <c r="A678" s="8" t="s">
        <v>2631</v>
      </c>
      <c r="B678" s="12">
        <v>46156.0</v>
      </c>
      <c r="C678" s="8" t="s">
        <v>452</v>
      </c>
      <c r="D678" s="8" t="s">
        <v>1830</v>
      </c>
      <c r="E678" s="8" t="s">
        <v>1906</v>
      </c>
      <c r="F678" s="8">
        <v>2.0</v>
      </c>
      <c r="G678" s="8">
        <v>111.28</v>
      </c>
      <c r="H678" s="8">
        <v>0.14</v>
      </c>
      <c r="I678" s="8">
        <f t="shared" si="1"/>
        <v>222.56</v>
      </c>
      <c r="J678" s="8">
        <f t="shared" si="2"/>
        <v>-31.0184</v>
      </c>
      <c r="K678" s="8" t="str">
        <f t="shared" si="3"/>
        <v>May</v>
      </c>
      <c r="L678" s="8">
        <f t="shared" si="4"/>
        <v>2026</v>
      </c>
      <c r="N678" s="8" t="str">
        <f t="array" ref="N678">XLOOKUP(C678,Customer_Dim!A:A,Customer_Dim!B:B,"Not Found")</f>
        <v>Susan Mcdonald</v>
      </c>
      <c r="O678" s="8" t="str">
        <f t="array" ref="O678">XLOOKUP(C678,Customer_Dim!A:A,Customer_Dim!E:E,"Not Found")</f>
        <v>East Ellen</v>
      </c>
      <c r="P678" s="8" t="str">
        <f t="array" ref="P678">XLOOKUP(D678,Product_Dim!A:A,Product_Dim!B:B,"Not Found")</f>
        <v>Wall-Mounted Spice Rack</v>
      </c>
      <c r="Q678" s="8" t="str">
        <f t="array" ref="Q678">XLOOKUP(D678,Product_Dim!A:A,Product_Dim!C:C,"Not Found")</f>
        <v>Home</v>
      </c>
      <c r="R678" s="8" t="str">
        <f t="array" ref="R678">XLOOKUP(E678,Store_Dim!A:A,Store_Dim!B:B,"Not Found")</f>
        <v>South</v>
      </c>
      <c r="S678" s="8" t="str">
        <f t="array" ref="S678">XLOOKUP(E678,Store_Dim!A:A,Store_Dim!D:D,"Not Found")</f>
        <v>Outlet</v>
      </c>
    </row>
    <row r="679" ht="14.25" customHeight="1">
      <c r="A679" s="8" t="s">
        <v>2632</v>
      </c>
      <c r="B679" s="12">
        <v>46157.0</v>
      </c>
      <c r="C679" s="8" t="s">
        <v>597</v>
      </c>
      <c r="D679" s="8" t="s">
        <v>1766</v>
      </c>
      <c r="E679" s="8" t="s">
        <v>1932</v>
      </c>
      <c r="F679" s="8">
        <v>2.0</v>
      </c>
      <c r="G679" s="8">
        <v>37.21</v>
      </c>
      <c r="H679" s="8">
        <v>0.19</v>
      </c>
      <c r="I679" s="8">
        <f t="shared" si="1"/>
        <v>74.42</v>
      </c>
      <c r="J679" s="8">
        <f t="shared" si="2"/>
        <v>-13.9498</v>
      </c>
      <c r="K679" s="8" t="str">
        <f t="shared" si="3"/>
        <v>May</v>
      </c>
      <c r="L679" s="8">
        <f t="shared" si="4"/>
        <v>2026</v>
      </c>
      <c r="N679" s="8" t="str">
        <f t="array" ref="N679">XLOOKUP(C679,Customer_Dim!A:A,Customer_Dim!B:B,"Not Found")</f>
        <v>Curtis Lam</v>
      </c>
      <c r="O679" s="8" t="str">
        <f t="array" ref="O679">XLOOKUP(C679,Customer_Dim!A:A,Customer_Dim!E:E,"Not Found")</f>
        <v>Butlerberg</v>
      </c>
      <c r="P679" s="8" t="str">
        <f t="array" ref="P679">XLOOKUP(D679,Product_Dim!A:A,Product_Dim!B:B,"Not Found")</f>
        <v>Men's Hair Styling Gel</v>
      </c>
      <c r="Q679" s="8" t="str">
        <f t="array" ref="Q679">XLOOKUP(D679,Product_Dim!A:A,Product_Dim!C:C,"Not Found")</f>
        <v>Beauty</v>
      </c>
      <c r="R679" s="8" t="str">
        <f t="array" ref="R679">XLOOKUP(E679,Store_Dim!A:A,Store_Dim!B:B,"Not Found")</f>
        <v>South</v>
      </c>
      <c r="S679" s="8" t="str">
        <f t="array" ref="S679">XLOOKUP(E679,Store_Dim!A:A,Store_Dim!D:D,"Not Found")</f>
        <v>Outlet</v>
      </c>
    </row>
    <row r="680" ht="14.25" customHeight="1">
      <c r="A680" s="8" t="s">
        <v>2633</v>
      </c>
      <c r="B680" s="12">
        <v>46158.0</v>
      </c>
      <c r="C680" s="8" t="s">
        <v>1311</v>
      </c>
      <c r="D680" s="8" t="s">
        <v>1775</v>
      </c>
      <c r="E680" s="8" t="s">
        <v>1931</v>
      </c>
      <c r="F680" s="8">
        <v>1.0</v>
      </c>
      <c r="G680" s="8">
        <v>331.73</v>
      </c>
      <c r="H680" s="8">
        <v>0.04</v>
      </c>
      <c r="I680" s="8">
        <f t="shared" si="1"/>
        <v>331.73</v>
      </c>
      <c r="J680" s="8">
        <f t="shared" si="2"/>
        <v>-13.2292</v>
      </c>
      <c r="K680" s="8" t="str">
        <f t="shared" si="3"/>
        <v>May</v>
      </c>
      <c r="L680" s="8">
        <f t="shared" si="4"/>
        <v>2026</v>
      </c>
      <c r="N680" s="8" t="str">
        <f t="array" ref="N680">XLOOKUP(C680,Customer_Dim!A:A,Customer_Dim!B:B,"Not Found")</f>
        <v>Karen King</v>
      </c>
      <c r="O680" s="8" t="str">
        <f t="array" ref="O680">XLOOKUP(C680,Customer_Dim!A:A,Customer_Dim!E:E,"Not Found")</f>
        <v>Kimburgh</v>
      </c>
      <c r="P680" s="8" t="str">
        <f t="array" ref="P680">XLOOKUP(D680,Product_Dim!A:A,Product_Dim!B:B,"Not Found")</f>
        <v>Laptop Cooling Pad</v>
      </c>
      <c r="Q680" s="8" t="str">
        <f t="array" ref="Q680">XLOOKUP(D680,Product_Dim!A:A,Product_Dim!C:C,"Not Found")</f>
        <v>Electronics</v>
      </c>
      <c r="R680" s="8" t="str">
        <f t="array" ref="R680">XLOOKUP(E680,Store_Dim!A:A,Store_Dim!B:B,"Not Found")</f>
        <v>East</v>
      </c>
      <c r="S680" s="8" t="str">
        <f t="array" ref="S680">XLOOKUP(E680,Store_Dim!A:A,Store_Dim!D:D,"Not Found")</f>
        <v>Flagship</v>
      </c>
    </row>
    <row r="681" ht="14.25" customHeight="1">
      <c r="A681" s="8" t="s">
        <v>2634</v>
      </c>
      <c r="B681" s="12">
        <v>46159.0</v>
      </c>
      <c r="C681" s="8" t="s">
        <v>1155</v>
      </c>
      <c r="D681" s="8" t="s">
        <v>1800</v>
      </c>
      <c r="E681" s="8" t="s">
        <v>1929</v>
      </c>
      <c r="F681" s="8">
        <v>3.0</v>
      </c>
      <c r="G681" s="8">
        <v>306.71</v>
      </c>
      <c r="H681" s="8">
        <v>0.09</v>
      </c>
      <c r="I681" s="8">
        <f t="shared" si="1"/>
        <v>920.13</v>
      </c>
      <c r="J681" s="8">
        <f t="shared" si="2"/>
        <v>-82.7217</v>
      </c>
      <c r="K681" s="8" t="str">
        <f t="shared" si="3"/>
        <v>May</v>
      </c>
      <c r="L681" s="8">
        <f t="shared" si="4"/>
        <v>2026</v>
      </c>
      <c r="N681" s="8" t="str">
        <f t="array" ref="N681">XLOOKUP(C681,Customer_Dim!A:A,Customer_Dim!B:B,"Not Found")</f>
        <v>Chloe Aguilar</v>
      </c>
      <c r="O681" s="8" t="str">
        <f t="array" ref="O681">XLOOKUP(C681,Customer_Dim!A:A,Customer_Dim!E:E,"Not Found")</f>
        <v>Lake Johnside</v>
      </c>
      <c r="P681" s="8" t="str">
        <f t="array" ref="P681">XLOOKUP(D681,Product_Dim!A:A,Product_Dim!B:B,"Not Found")</f>
        <v>Kitchen Storage Rack</v>
      </c>
      <c r="Q681" s="8" t="str">
        <f t="array" ref="Q681">XLOOKUP(D681,Product_Dim!A:A,Product_Dim!C:C,"Not Found")</f>
        <v>Home</v>
      </c>
      <c r="R681" s="8" t="str">
        <f t="array" ref="R681">XLOOKUP(E681,Store_Dim!A:A,Store_Dim!B:B,"Not Found")</f>
        <v>North</v>
      </c>
      <c r="S681" s="8" t="str">
        <f t="array" ref="S681">XLOOKUP(E681,Store_Dim!A:A,Store_Dim!D:D,"Not Found")</f>
        <v>Online</v>
      </c>
    </row>
    <row r="682" ht="14.25" customHeight="1">
      <c r="A682" s="8" t="s">
        <v>2635</v>
      </c>
      <c r="B682" s="12">
        <v>46160.0</v>
      </c>
      <c r="C682" s="8" t="s">
        <v>875</v>
      </c>
      <c r="D682" s="8" t="s">
        <v>1659</v>
      </c>
      <c r="E682" s="8" t="s">
        <v>1917</v>
      </c>
      <c r="F682" s="8">
        <v>4.0</v>
      </c>
      <c r="G682" s="8">
        <v>484.92</v>
      </c>
      <c r="H682" s="8">
        <v>0.28</v>
      </c>
      <c r="I682" s="8">
        <f t="shared" si="1"/>
        <v>1939.68</v>
      </c>
      <c r="J682" s="8">
        <f t="shared" si="2"/>
        <v>-542.8304</v>
      </c>
      <c r="K682" s="8" t="str">
        <f t="shared" si="3"/>
        <v>May</v>
      </c>
      <c r="L682" s="8">
        <f t="shared" si="4"/>
        <v>2026</v>
      </c>
      <c r="N682" s="8" t="str">
        <f t="array" ref="N682">XLOOKUP(C682,Customer_Dim!A:A,Customer_Dim!B:B,"Not Found")</f>
        <v>Brian Garcia</v>
      </c>
      <c r="O682" s="8" t="str">
        <f t="array" ref="O682">XLOOKUP(C682,Customer_Dim!A:A,Customer_Dim!E:E,"Not Found")</f>
        <v>Ramosmouth</v>
      </c>
      <c r="P682" s="8" t="str">
        <f t="array" ref="P682">XLOOKUP(D682,Product_Dim!A:A,Product_Dim!B:B,"Not Found")</f>
        <v>Women's Scarf Set</v>
      </c>
      <c r="Q682" s="8" t="str">
        <f t="array" ref="Q682">XLOOKUP(D682,Product_Dim!A:A,Product_Dim!C:C,"Not Found")</f>
        <v>Clothing</v>
      </c>
      <c r="R682" s="8" t="str">
        <f t="array" ref="R682">XLOOKUP(E682,Store_Dim!A:A,Store_Dim!B:B,"Not Found")</f>
        <v>East</v>
      </c>
      <c r="S682" s="8" t="str">
        <f t="array" ref="S682">XLOOKUP(E682,Store_Dim!A:A,Store_Dim!D:D,"Not Found")</f>
        <v>Online</v>
      </c>
    </row>
    <row r="683" ht="14.25" customHeight="1">
      <c r="A683" s="8" t="s">
        <v>2636</v>
      </c>
      <c r="B683" s="12">
        <v>46161.0</v>
      </c>
      <c r="C683" s="8" t="s">
        <v>178</v>
      </c>
      <c r="D683" s="8" t="s">
        <v>1739</v>
      </c>
      <c r="E683" s="8" t="s">
        <v>1915</v>
      </c>
      <c r="F683" s="8">
        <v>2.0</v>
      </c>
      <c r="G683" s="8">
        <v>42.04</v>
      </c>
      <c r="H683" s="8">
        <v>0.07</v>
      </c>
      <c r="I683" s="8">
        <f t="shared" si="1"/>
        <v>84.08</v>
      </c>
      <c r="J683" s="8">
        <f t="shared" si="2"/>
        <v>-5.8156</v>
      </c>
      <c r="K683" s="8" t="str">
        <f t="shared" si="3"/>
        <v>May</v>
      </c>
      <c r="L683" s="8">
        <f t="shared" si="4"/>
        <v>2026</v>
      </c>
      <c r="N683" s="8" t="str">
        <f t="array" ref="N683">XLOOKUP(C683,Customer_Dim!A:A,Customer_Dim!B:B,"Not Found")</f>
        <v>Joseph Snow</v>
      </c>
      <c r="O683" s="8" t="str">
        <f t="array" ref="O683">XLOOKUP(C683,Customer_Dim!A:A,Customer_Dim!E:E,"Not Found")</f>
        <v>South Michaelfort</v>
      </c>
      <c r="P683" s="8" t="str">
        <f t="array" ref="P683">XLOOKUP(D683,Product_Dim!A:A,Product_Dim!B:B,"Not Found")</f>
        <v>Boxing Hand Wraps</v>
      </c>
      <c r="Q683" s="8" t="str">
        <f t="array" ref="Q683">XLOOKUP(D683,Product_Dim!A:A,Product_Dim!C:C,"Not Found")</f>
        <v>Sports</v>
      </c>
      <c r="R683" s="8" t="str">
        <f t="array" ref="R683">XLOOKUP(E683,Store_Dim!A:A,Store_Dim!B:B,"Not Found")</f>
        <v>North</v>
      </c>
      <c r="S683" s="8" t="str">
        <f t="array" ref="S683">XLOOKUP(E683,Store_Dim!A:A,Store_Dim!D:D,"Not Found")</f>
        <v>Outlet</v>
      </c>
    </row>
    <row r="684" ht="14.25" customHeight="1">
      <c r="A684" s="8" t="s">
        <v>2637</v>
      </c>
      <c r="B684" s="12">
        <v>46162.0</v>
      </c>
      <c r="C684" s="8" t="s">
        <v>908</v>
      </c>
      <c r="D684" s="8" t="s">
        <v>1754</v>
      </c>
      <c r="E684" s="8" t="s">
        <v>1917</v>
      </c>
      <c r="F684" s="8">
        <v>3.0</v>
      </c>
      <c r="G684" s="8">
        <v>599.48</v>
      </c>
      <c r="H684" s="8">
        <v>0.22</v>
      </c>
      <c r="I684" s="8">
        <f t="shared" si="1"/>
        <v>1798.44</v>
      </c>
      <c r="J684" s="8">
        <f t="shared" si="2"/>
        <v>-395.4368</v>
      </c>
      <c r="K684" s="8" t="str">
        <f t="shared" si="3"/>
        <v>May</v>
      </c>
      <c r="L684" s="8">
        <f t="shared" si="4"/>
        <v>2026</v>
      </c>
      <c r="N684" s="8" t="str">
        <f t="array" ref="N684">XLOOKUP(C684,Customer_Dim!A:A,Customer_Dim!B:B,"Not Found")</f>
        <v>Brittany Watson</v>
      </c>
      <c r="O684" s="8" t="str">
        <f t="array" ref="O684">XLOOKUP(C684,Customer_Dim!A:A,Customer_Dim!E:E,"Not Found")</f>
        <v>North Joshualand</v>
      </c>
      <c r="P684" s="8" t="str">
        <f t="array" ref="P684">XLOOKUP(D684,Product_Dim!A:A,Product_Dim!B:B,"Not Found")</f>
        <v>Ceramic Plant Pot</v>
      </c>
      <c r="Q684" s="8" t="str">
        <f t="array" ref="Q684">XLOOKUP(D684,Product_Dim!A:A,Product_Dim!C:C,"Not Found")</f>
        <v>Home</v>
      </c>
      <c r="R684" s="8" t="str">
        <f t="array" ref="R684">XLOOKUP(E684,Store_Dim!A:A,Store_Dim!B:B,"Not Found")</f>
        <v>East</v>
      </c>
      <c r="S684" s="8" t="str">
        <f t="array" ref="S684">XLOOKUP(E684,Store_Dim!A:A,Store_Dim!D:D,"Not Found")</f>
        <v>Online</v>
      </c>
    </row>
    <row r="685" ht="14.25" customHeight="1">
      <c r="A685" s="8" t="s">
        <v>2638</v>
      </c>
      <c r="B685" s="12">
        <v>46163.0</v>
      </c>
      <c r="C685" s="8" t="s">
        <v>1134</v>
      </c>
      <c r="D685" s="8" t="s">
        <v>1632</v>
      </c>
      <c r="E685" s="8" t="s">
        <v>1903</v>
      </c>
      <c r="F685" s="8">
        <v>3.0</v>
      </c>
      <c r="G685" s="8">
        <v>401.42</v>
      </c>
      <c r="H685" s="8">
        <v>0.01</v>
      </c>
      <c r="I685" s="8">
        <f t="shared" si="1"/>
        <v>1204.26</v>
      </c>
      <c r="J685" s="8">
        <f t="shared" si="2"/>
        <v>-12.0326</v>
      </c>
      <c r="K685" s="8" t="str">
        <f t="shared" si="3"/>
        <v>May</v>
      </c>
      <c r="L685" s="8">
        <f t="shared" si="4"/>
        <v>2026</v>
      </c>
      <c r="N685" s="8" t="str">
        <f t="array" ref="N685">XLOOKUP(C685,Customer_Dim!A:A,Customer_Dim!B:B,"Not Found")</f>
        <v>Manuel Castillo</v>
      </c>
      <c r="O685" s="8" t="str">
        <f t="array" ref="O685">XLOOKUP(C685,Customer_Dim!A:A,Customer_Dim!E:E,"Not Found")</f>
        <v>Nealview</v>
      </c>
      <c r="P685" s="8" t="str">
        <f t="array" ref="P685">XLOOKUP(D685,Product_Dim!A:A,Product_Dim!B:B,"Not Found")</f>
        <v>Soccer Training Cone Set</v>
      </c>
      <c r="Q685" s="8" t="str">
        <f t="array" ref="Q685">XLOOKUP(D685,Product_Dim!A:A,Product_Dim!C:C,"Not Found")</f>
        <v>Sports</v>
      </c>
      <c r="R685" s="8" t="str">
        <f t="array" ref="R685">XLOOKUP(E685,Store_Dim!A:A,Store_Dim!B:B,"Not Found")</f>
        <v>North</v>
      </c>
      <c r="S685" s="8" t="str">
        <f t="array" ref="S685">XLOOKUP(E685,Store_Dim!A:A,Store_Dim!D:D,"Not Found")</f>
        <v>Flagship</v>
      </c>
    </row>
    <row r="686" ht="14.25" customHeight="1">
      <c r="A686" s="8" t="s">
        <v>2639</v>
      </c>
      <c r="B686" s="12">
        <v>46164.0</v>
      </c>
      <c r="C686" s="8" t="s">
        <v>643</v>
      </c>
      <c r="D686" s="8" t="s">
        <v>1725</v>
      </c>
      <c r="E686" s="8" t="s">
        <v>1921</v>
      </c>
      <c r="F686" s="8">
        <v>4.0</v>
      </c>
      <c r="G686" s="8">
        <v>442.54</v>
      </c>
      <c r="H686" s="8">
        <v>0.06</v>
      </c>
      <c r="I686" s="8">
        <f t="shared" si="1"/>
        <v>1770.16</v>
      </c>
      <c r="J686" s="8">
        <f t="shared" si="2"/>
        <v>-106.1496</v>
      </c>
      <c r="K686" s="8" t="str">
        <f t="shared" si="3"/>
        <v>May</v>
      </c>
      <c r="L686" s="8">
        <f t="shared" si="4"/>
        <v>2026</v>
      </c>
      <c r="N686" s="8" t="str">
        <f t="array" ref="N686">XLOOKUP(C686,Customer_Dim!A:A,Customer_Dim!B:B,"Not Found")</f>
        <v>Jacob Wood</v>
      </c>
      <c r="O686" s="8" t="str">
        <f t="array" ref="O686">XLOOKUP(C686,Customer_Dim!A:A,Customer_Dim!E:E,"Not Found")</f>
        <v>Lake Samanthafort</v>
      </c>
      <c r="P686" s="8" t="str">
        <f t="array" ref="P686">XLOOKUP(D686,Product_Dim!A:A,Product_Dim!B:B,"Not Found")</f>
        <v>Men's Winter Jacket</v>
      </c>
      <c r="Q686" s="8" t="str">
        <f t="array" ref="Q686">XLOOKUP(D686,Product_Dim!A:A,Product_Dim!C:C,"Not Found")</f>
        <v>Clothing</v>
      </c>
      <c r="R686" s="8" t="str">
        <f t="array" ref="R686">XLOOKUP(E686,Store_Dim!A:A,Store_Dim!B:B,"Not Found")</f>
        <v>West</v>
      </c>
      <c r="S686" s="8" t="str">
        <f t="array" ref="S686">XLOOKUP(E686,Store_Dim!A:A,Store_Dim!D:D,"Not Found")</f>
        <v>Online</v>
      </c>
    </row>
    <row r="687" ht="14.25" customHeight="1">
      <c r="A687" s="8" t="s">
        <v>2640</v>
      </c>
      <c r="B687" s="12">
        <v>46165.0</v>
      </c>
      <c r="C687" s="8" t="s">
        <v>1424</v>
      </c>
      <c r="D687" s="8" t="s">
        <v>1854</v>
      </c>
      <c r="E687" s="8" t="s">
        <v>1931</v>
      </c>
      <c r="F687" s="8">
        <v>4.0</v>
      </c>
      <c r="G687" s="8">
        <v>451.41</v>
      </c>
      <c r="H687" s="8">
        <v>0.06</v>
      </c>
      <c r="I687" s="8">
        <f t="shared" si="1"/>
        <v>1805.64</v>
      </c>
      <c r="J687" s="8">
        <f t="shared" si="2"/>
        <v>-108.2784</v>
      </c>
      <c r="K687" s="8" t="str">
        <f t="shared" si="3"/>
        <v>May</v>
      </c>
      <c r="L687" s="8">
        <f t="shared" si="4"/>
        <v>2026</v>
      </c>
      <c r="N687" s="8" t="str">
        <f t="array" ref="N687">XLOOKUP(C687,Customer_Dim!A:A,Customer_Dim!B:B,"Not Found")</f>
        <v>Julie Powell</v>
      </c>
      <c r="O687" s="8" t="str">
        <f t="array" ref="O687">XLOOKUP(C687,Customer_Dim!A:A,Customer_Dim!E:E,"Not Found")</f>
        <v>South Barbara</v>
      </c>
      <c r="P687" s="8" t="str">
        <f t="array" ref="P687">XLOOKUP(D687,Product_Dim!A:A,Product_Dim!B:B,"Not Found")</f>
        <v>Sports Wrist Sweatbands</v>
      </c>
      <c r="Q687" s="8" t="str">
        <f t="array" ref="Q687">XLOOKUP(D687,Product_Dim!A:A,Product_Dim!C:C,"Not Found")</f>
        <v>Sports</v>
      </c>
      <c r="R687" s="8" t="str">
        <f t="array" ref="R687">XLOOKUP(E687,Store_Dim!A:A,Store_Dim!B:B,"Not Found")</f>
        <v>East</v>
      </c>
      <c r="S687" s="8" t="str">
        <f t="array" ref="S687">XLOOKUP(E687,Store_Dim!A:A,Store_Dim!D:D,"Not Found")</f>
        <v>Flagship</v>
      </c>
    </row>
    <row r="688" ht="14.25" customHeight="1">
      <c r="A688" s="8" t="s">
        <v>2641</v>
      </c>
      <c r="B688" s="12">
        <v>46166.0</v>
      </c>
      <c r="C688" s="8" t="s">
        <v>861</v>
      </c>
      <c r="D688" s="8" t="s">
        <v>1863</v>
      </c>
      <c r="E688" s="8" t="s">
        <v>1924</v>
      </c>
      <c r="F688" s="8">
        <v>4.0</v>
      </c>
      <c r="G688" s="8">
        <v>547.21</v>
      </c>
      <c r="H688" s="8">
        <v>0.25</v>
      </c>
      <c r="I688" s="8">
        <f t="shared" si="1"/>
        <v>2188.84</v>
      </c>
      <c r="J688" s="8">
        <f t="shared" si="2"/>
        <v>-546.96</v>
      </c>
      <c r="K688" s="8" t="str">
        <f t="shared" si="3"/>
        <v>May</v>
      </c>
      <c r="L688" s="8">
        <f t="shared" si="4"/>
        <v>2026</v>
      </c>
      <c r="N688" s="8" t="str">
        <f t="array" ref="N688">XLOOKUP(C688,Customer_Dim!A:A,Customer_Dim!B:B,"Not Found")</f>
        <v>Tracy Kelly</v>
      </c>
      <c r="O688" s="8" t="str">
        <f t="array" ref="O688">XLOOKUP(C688,Customer_Dim!A:A,Customer_Dim!E:E,"Not Found")</f>
        <v>West Jamieport</v>
      </c>
      <c r="P688" s="8" t="str">
        <f t="array" ref="P688">XLOOKUP(D688,Product_Dim!A:A,Product_Dim!B:B,"Not Found")</f>
        <v>Women's High Heels</v>
      </c>
      <c r="Q688" s="8" t="str">
        <f t="array" ref="Q688">XLOOKUP(D688,Product_Dim!A:A,Product_Dim!C:C,"Not Found")</f>
        <v>Clothing</v>
      </c>
      <c r="R688" s="8" t="str">
        <f t="array" ref="R688">XLOOKUP(E688,Store_Dim!A:A,Store_Dim!B:B,"Not Found")</f>
        <v>South</v>
      </c>
      <c r="S688" s="8" t="str">
        <f t="array" ref="S688">XLOOKUP(E688,Store_Dim!A:A,Store_Dim!D:D,"Not Found")</f>
        <v>Flagship</v>
      </c>
    </row>
    <row r="689" ht="14.25" customHeight="1">
      <c r="A689" s="8" t="s">
        <v>2642</v>
      </c>
      <c r="B689" s="12">
        <v>46167.0</v>
      </c>
      <c r="C689" s="8" t="s">
        <v>675</v>
      </c>
      <c r="D689" s="8" t="s">
        <v>1851</v>
      </c>
      <c r="E689" s="8" t="s">
        <v>1912</v>
      </c>
      <c r="F689" s="8">
        <v>1.0</v>
      </c>
      <c r="G689" s="8">
        <v>979.28</v>
      </c>
      <c r="H689" s="8">
        <v>0.2</v>
      </c>
      <c r="I689" s="8">
        <f t="shared" si="1"/>
        <v>979.28</v>
      </c>
      <c r="J689" s="8">
        <f t="shared" si="2"/>
        <v>-195.656</v>
      </c>
      <c r="K689" s="8" t="str">
        <f t="shared" si="3"/>
        <v>May</v>
      </c>
      <c r="L689" s="8">
        <f t="shared" si="4"/>
        <v>2026</v>
      </c>
      <c r="N689" s="8" t="str">
        <f t="array" ref="N689">XLOOKUP(C689,Customer_Dim!A:A,Customer_Dim!B:B,"Not Found")</f>
        <v>Sarah Brady</v>
      </c>
      <c r="O689" s="8" t="str">
        <f t="array" ref="O689">XLOOKUP(C689,Customer_Dim!A:A,Customer_Dim!E:E,"Not Found")</f>
        <v>Johnsonland</v>
      </c>
      <c r="P689" s="8" t="str">
        <f t="array" ref="P689">XLOOKUP(D689,Product_Dim!A:A,Product_Dim!B:B,"Not Found")</f>
        <v>LED Bedside Lamp</v>
      </c>
      <c r="Q689" s="8" t="str">
        <f t="array" ref="Q689">XLOOKUP(D689,Product_Dim!A:A,Product_Dim!C:C,"Not Found")</f>
        <v>Home</v>
      </c>
      <c r="R689" s="8" t="str">
        <f t="array" ref="R689">XLOOKUP(E689,Store_Dim!A:A,Store_Dim!B:B,"Not Found")</f>
        <v>South</v>
      </c>
      <c r="S689" s="8" t="str">
        <f t="array" ref="S689">XLOOKUP(E689,Store_Dim!A:A,Store_Dim!D:D,"Not Found")</f>
        <v>Online</v>
      </c>
    </row>
    <row r="690" ht="14.25" customHeight="1">
      <c r="A690" s="8" t="s">
        <v>2643</v>
      </c>
      <c r="B690" s="12">
        <v>46168.0</v>
      </c>
      <c r="C690" s="8" t="s">
        <v>1447</v>
      </c>
      <c r="D690" s="8" t="s">
        <v>1757</v>
      </c>
      <c r="E690" s="8" t="s">
        <v>1919</v>
      </c>
      <c r="F690" s="8">
        <v>4.0</v>
      </c>
      <c r="G690" s="8">
        <v>263.59</v>
      </c>
      <c r="H690" s="8">
        <v>0.04</v>
      </c>
      <c r="I690" s="8">
        <f t="shared" si="1"/>
        <v>1054.36</v>
      </c>
      <c r="J690" s="8">
        <f t="shared" si="2"/>
        <v>-42.1344</v>
      </c>
      <c r="K690" s="8" t="str">
        <f t="shared" si="3"/>
        <v>May</v>
      </c>
      <c r="L690" s="8">
        <f t="shared" si="4"/>
        <v>2026</v>
      </c>
      <c r="N690" s="8" t="str">
        <f t="array" ref="N690">XLOOKUP(C690,Customer_Dim!A:A,Customer_Dim!B:B,"Not Found")</f>
        <v>David Pierce</v>
      </c>
      <c r="O690" s="8" t="str">
        <f t="array" ref="O690">XLOOKUP(C690,Customer_Dim!A:A,Customer_Dim!E:E,"Not Found")</f>
        <v>Grayland</v>
      </c>
      <c r="P690" s="8" t="str">
        <f t="array" ref="P690">XLOOKUP(D690,Product_Dim!A:A,Product_Dim!B:B,"Not Found")</f>
        <v>Premium Blanket Throw</v>
      </c>
      <c r="Q690" s="8" t="str">
        <f t="array" ref="Q690">XLOOKUP(D690,Product_Dim!A:A,Product_Dim!C:C,"Not Found")</f>
        <v>Home</v>
      </c>
      <c r="R690" s="8" t="str">
        <f t="array" ref="R690">XLOOKUP(E690,Store_Dim!A:A,Store_Dim!B:B,"Not Found")</f>
        <v>South</v>
      </c>
      <c r="S690" s="8" t="str">
        <f t="array" ref="S690">XLOOKUP(E690,Store_Dim!A:A,Store_Dim!D:D,"Not Found")</f>
        <v>Online</v>
      </c>
    </row>
    <row r="691" ht="14.25" customHeight="1">
      <c r="A691" s="8" t="s">
        <v>2644</v>
      </c>
      <c r="B691" s="12">
        <v>46169.0</v>
      </c>
      <c r="C691" s="8" t="s">
        <v>26</v>
      </c>
      <c r="D691" s="8" t="s">
        <v>1751</v>
      </c>
      <c r="E691" s="8" t="s">
        <v>1915</v>
      </c>
      <c r="F691" s="8">
        <v>1.0</v>
      </c>
      <c r="G691" s="8">
        <v>692.75</v>
      </c>
      <c r="H691" s="8">
        <v>0.11</v>
      </c>
      <c r="I691" s="8">
        <f t="shared" si="1"/>
        <v>692.75</v>
      </c>
      <c r="J691" s="8">
        <f t="shared" si="2"/>
        <v>-76.0925</v>
      </c>
      <c r="K691" s="8" t="str">
        <f t="shared" si="3"/>
        <v>May</v>
      </c>
      <c r="L691" s="8">
        <f t="shared" si="4"/>
        <v>2026</v>
      </c>
      <c r="N691" s="8" t="str">
        <f t="array" ref="N691">XLOOKUP(C691,Customer_Dim!A:A,Customer_Dim!B:B,"Not Found")</f>
        <v>dr. Benjamin Price</v>
      </c>
      <c r="O691" s="8" t="str">
        <f t="array" ref="O691">XLOOKUP(C691,Customer_Dim!A:A,Customer_Dim!E:E,"Not Found")</f>
        <v>Kylebury</v>
      </c>
      <c r="P691" s="8" t="str">
        <f t="array" ref="P691">XLOOKUP(D691,Product_Dim!A:A,Product_Dim!B:B,"Not Found")</f>
        <v>Sports Stopwatch Pro</v>
      </c>
      <c r="Q691" s="8" t="str">
        <f t="array" ref="Q691">XLOOKUP(D691,Product_Dim!A:A,Product_Dim!C:C,"Not Found")</f>
        <v>Sports</v>
      </c>
      <c r="R691" s="8" t="str">
        <f t="array" ref="R691">XLOOKUP(E691,Store_Dim!A:A,Store_Dim!B:B,"Not Found")</f>
        <v>North</v>
      </c>
      <c r="S691" s="8" t="str">
        <f t="array" ref="S691">XLOOKUP(E691,Store_Dim!A:A,Store_Dim!D:D,"Not Found")</f>
        <v>Outlet</v>
      </c>
    </row>
    <row r="692" ht="14.25" customHeight="1">
      <c r="A692" s="8" t="s">
        <v>2645</v>
      </c>
      <c r="B692" s="12">
        <v>46170.0</v>
      </c>
      <c r="C692" s="8" t="s">
        <v>556</v>
      </c>
      <c r="D692" s="8" t="s">
        <v>1778</v>
      </c>
      <c r="E692" s="8" t="s">
        <v>1910</v>
      </c>
      <c r="F692" s="8">
        <v>3.0</v>
      </c>
      <c r="G692" s="8">
        <v>142.83</v>
      </c>
      <c r="H692" s="8">
        <v>0.01</v>
      </c>
      <c r="I692" s="8">
        <f t="shared" si="1"/>
        <v>428.49</v>
      </c>
      <c r="J692" s="8">
        <f t="shared" si="2"/>
        <v>-4.2749</v>
      </c>
      <c r="K692" s="8" t="str">
        <f t="shared" si="3"/>
        <v>May</v>
      </c>
      <c r="L692" s="8">
        <f t="shared" si="4"/>
        <v>2026</v>
      </c>
      <c r="N692" s="8" t="str">
        <f t="array" ref="N692">XLOOKUP(C692,Customer_Dim!A:A,Customer_Dim!B:B,"Not Found")</f>
        <v>Joseph Jones</v>
      </c>
      <c r="O692" s="8" t="str">
        <f t="array" ref="O692">XLOOKUP(C692,Customer_Dim!A:A,Customer_Dim!E:E,"Not Found")</f>
        <v>North Matthew</v>
      </c>
      <c r="P692" s="8" t="str">
        <f t="array" ref="P692">XLOOKUP(D692,Product_Dim!A:A,Product_Dim!B:B,"Not Found")</f>
        <v>Organic Sunscreen Lotion</v>
      </c>
      <c r="Q692" s="8" t="str">
        <f t="array" ref="Q692">XLOOKUP(D692,Product_Dim!A:A,Product_Dim!C:C,"Not Found")</f>
        <v>Beauty</v>
      </c>
      <c r="R692" s="8" t="str">
        <f t="array" ref="R692">XLOOKUP(E692,Store_Dim!A:A,Store_Dim!B:B,"Not Found")</f>
        <v>North</v>
      </c>
      <c r="S692" s="8" t="str">
        <f t="array" ref="S692">XLOOKUP(E692,Store_Dim!A:A,Store_Dim!D:D,"Not Found")</f>
        <v>Outlet</v>
      </c>
    </row>
    <row r="693" ht="14.25" customHeight="1">
      <c r="A693" s="8" t="s">
        <v>2646</v>
      </c>
      <c r="B693" s="12">
        <v>46171.0</v>
      </c>
      <c r="C693" s="8" t="s">
        <v>439</v>
      </c>
      <c r="D693" s="8" t="s">
        <v>1649</v>
      </c>
      <c r="E693" s="8" t="s">
        <v>1906</v>
      </c>
      <c r="F693" s="8">
        <v>2.0</v>
      </c>
      <c r="G693" s="8">
        <v>419.25</v>
      </c>
      <c r="H693" s="8">
        <v>0.17</v>
      </c>
      <c r="I693" s="8">
        <f t="shared" si="1"/>
        <v>838.5</v>
      </c>
      <c r="J693" s="8">
        <f t="shared" si="2"/>
        <v>-142.375</v>
      </c>
      <c r="K693" s="8" t="str">
        <f t="shared" si="3"/>
        <v>May</v>
      </c>
      <c r="L693" s="8">
        <f t="shared" si="4"/>
        <v>2026</v>
      </c>
      <c r="N693" s="8" t="str">
        <f t="array" ref="N693">XLOOKUP(C693,Customer_Dim!A:A,Customer_Dim!B:B,"Not Found")</f>
        <v>Donald Lee</v>
      </c>
      <c r="O693" s="8" t="str">
        <f t="array" ref="O693">XLOOKUP(C693,Customer_Dim!A:A,Customer_Dim!E:E,"Not Found")</f>
        <v>Wongberg</v>
      </c>
      <c r="P693" s="8" t="str">
        <f t="array" ref="P693">XLOOKUP(D693,Product_Dim!A:A,Product_Dim!B:B,"Not Found")</f>
        <v>Carbon Fiber Tennis Racket</v>
      </c>
      <c r="Q693" s="8" t="str">
        <f t="array" ref="Q693">XLOOKUP(D693,Product_Dim!A:A,Product_Dim!C:C,"Not Found")</f>
        <v>Sports</v>
      </c>
      <c r="R693" s="8" t="str">
        <f t="array" ref="R693">XLOOKUP(E693,Store_Dim!A:A,Store_Dim!B:B,"Not Found")</f>
        <v>South</v>
      </c>
      <c r="S693" s="8" t="str">
        <f t="array" ref="S693">XLOOKUP(E693,Store_Dim!A:A,Store_Dim!D:D,"Not Found")</f>
        <v>Outlet</v>
      </c>
    </row>
    <row r="694" ht="14.25" customHeight="1">
      <c r="A694" s="8" t="s">
        <v>2647</v>
      </c>
      <c r="B694" s="12">
        <v>46172.0</v>
      </c>
      <c r="C694" s="8" t="s">
        <v>785</v>
      </c>
      <c r="D694" s="8" t="s">
        <v>1662</v>
      </c>
      <c r="E694" s="8" t="s">
        <v>1941</v>
      </c>
      <c r="F694" s="8">
        <v>2.0</v>
      </c>
      <c r="G694" s="8">
        <v>800.84</v>
      </c>
      <c r="H694" s="8">
        <v>0.27</v>
      </c>
      <c r="I694" s="8">
        <f t="shared" si="1"/>
        <v>1601.68</v>
      </c>
      <c r="J694" s="8">
        <f t="shared" si="2"/>
        <v>-432.1836</v>
      </c>
      <c r="K694" s="8" t="str">
        <f t="shared" si="3"/>
        <v>May</v>
      </c>
      <c r="L694" s="8">
        <f t="shared" si="4"/>
        <v>2026</v>
      </c>
      <c r="N694" s="8" t="str">
        <f t="array" ref="N694">XLOOKUP(C694,Customer_Dim!A:A,Customer_Dim!B:B,"Not Found")</f>
        <v>William Hull</v>
      </c>
      <c r="O694" s="8" t="str">
        <f t="array" ref="O694">XLOOKUP(C694,Customer_Dim!A:A,Customer_Dim!E:E,"Not Found")</f>
        <v>Heathfort</v>
      </c>
      <c r="P694" s="8" t="str">
        <f t="array" ref="P694">XLOOKUP(D694,Product_Dim!A:A,Product_Dim!B:B,"Not Found")</f>
        <v>Wireless Bluetooth Speaker</v>
      </c>
      <c r="Q694" s="8" t="str">
        <f t="array" ref="Q694">XLOOKUP(D694,Product_Dim!A:A,Product_Dim!C:C,"Not Found")</f>
        <v>Electronics</v>
      </c>
      <c r="R694" s="8" t="str">
        <f t="array" ref="R694">XLOOKUP(E694,Store_Dim!A:A,Store_Dim!B:B,"Not Found")</f>
        <v>East</v>
      </c>
      <c r="S694" s="8" t="str">
        <f t="array" ref="S694">XLOOKUP(E694,Store_Dim!A:A,Store_Dim!D:D,"Not Found")</f>
        <v>Online</v>
      </c>
    </row>
    <row r="695" ht="14.25" customHeight="1">
      <c r="A695" s="8" t="s">
        <v>2648</v>
      </c>
      <c r="B695" s="12">
        <v>46173.0</v>
      </c>
      <c r="C695" s="8" t="s">
        <v>20</v>
      </c>
      <c r="D695" s="8" t="s">
        <v>1732</v>
      </c>
      <c r="E695" s="8" t="s">
        <v>1906</v>
      </c>
      <c r="F695" s="8">
        <v>1.0</v>
      </c>
      <c r="G695" s="8">
        <v>301.24</v>
      </c>
      <c r="H695" s="8">
        <v>0.11</v>
      </c>
      <c r="I695" s="8">
        <f t="shared" si="1"/>
        <v>301.24</v>
      </c>
      <c r="J695" s="8">
        <f t="shared" si="2"/>
        <v>-33.0264</v>
      </c>
      <c r="K695" s="8" t="str">
        <f t="shared" si="3"/>
        <v>May</v>
      </c>
      <c r="L695" s="8">
        <f t="shared" si="4"/>
        <v>2026</v>
      </c>
      <c r="N695" s="8" t="str">
        <f t="array" ref="N695">XLOOKUP(C695,Customer_Dim!A:A,Customer_Dim!B:B,"Not Found")</f>
        <v>Eugene Nelson</v>
      </c>
      <c r="O695" s="8" t="str">
        <f t="array" ref="O695">XLOOKUP(C695,Customer_Dim!A:A,Customer_Dim!E:E,"Not Found")</f>
        <v>Phillipsmouth</v>
      </c>
      <c r="P695" s="8" t="str">
        <f t="array" ref="P695">XLOOKUP(D695,Product_Dim!A:A,Product_Dim!B:B,"Not Found")</f>
        <v>Car Dashboard Phone Holder</v>
      </c>
      <c r="Q695" s="8" t="str">
        <f t="array" ref="Q695">XLOOKUP(D695,Product_Dim!A:A,Product_Dim!C:C,"Not Found")</f>
        <v>Electronics</v>
      </c>
      <c r="R695" s="8" t="str">
        <f t="array" ref="R695">XLOOKUP(E695,Store_Dim!A:A,Store_Dim!B:B,"Not Found")</f>
        <v>South</v>
      </c>
      <c r="S695" s="8" t="str">
        <f t="array" ref="S695">XLOOKUP(E695,Store_Dim!A:A,Store_Dim!D:D,"Not Found")</f>
        <v>Outlet</v>
      </c>
    </row>
    <row r="696" ht="14.25" customHeight="1">
      <c r="A696" s="8" t="s">
        <v>2649</v>
      </c>
      <c r="B696" s="12">
        <v>46174.0</v>
      </c>
      <c r="C696" s="8" t="s">
        <v>929</v>
      </c>
      <c r="D696" s="8" t="s">
        <v>1845</v>
      </c>
      <c r="E696" s="8" t="s">
        <v>1915</v>
      </c>
      <c r="F696" s="8">
        <v>2.0</v>
      </c>
      <c r="G696" s="8">
        <v>701.49</v>
      </c>
      <c r="H696" s="8">
        <v>0.09</v>
      </c>
      <c r="I696" s="8">
        <f t="shared" si="1"/>
        <v>1402.98</v>
      </c>
      <c r="J696" s="8">
        <f t="shared" si="2"/>
        <v>-126.1782</v>
      </c>
      <c r="K696" s="8" t="str">
        <f t="shared" si="3"/>
        <v>Jun</v>
      </c>
      <c r="L696" s="8">
        <f t="shared" si="4"/>
        <v>2026</v>
      </c>
      <c r="N696" s="8" t="str">
        <f t="array" ref="N696">XLOOKUP(C696,Customer_Dim!A:A,Customer_Dim!B:B,"Not Found")</f>
        <v>Misty Ferguson</v>
      </c>
      <c r="O696" s="8" t="str">
        <f t="array" ref="O696">XLOOKUP(C696,Customer_Dim!A:A,Customer_Dim!E:E,"Not Found")</f>
        <v>North Joseside</v>
      </c>
      <c r="P696" s="8" t="str">
        <f t="array" ref="P696">XLOOKUP(D696,Product_Dim!A:A,Product_Dim!B:B,"Not Found")</f>
        <v>Women's Beanie Hat</v>
      </c>
      <c r="Q696" s="8" t="str">
        <f t="array" ref="Q696">XLOOKUP(D696,Product_Dim!A:A,Product_Dim!C:C,"Not Found")</f>
        <v>Clothing</v>
      </c>
      <c r="R696" s="8" t="str">
        <f t="array" ref="R696">XLOOKUP(E696,Store_Dim!A:A,Store_Dim!B:B,"Not Found")</f>
        <v>North</v>
      </c>
      <c r="S696" s="8" t="str">
        <f t="array" ref="S696">XLOOKUP(E696,Store_Dim!A:A,Store_Dim!D:D,"Not Found")</f>
        <v>Outlet</v>
      </c>
    </row>
    <row r="697" ht="14.25" customHeight="1">
      <c r="A697" s="8" t="s">
        <v>2650</v>
      </c>
      <c r="B697" s="12">
        <v>46175.0</v>
      </c>
      <c r="C697" s="8" t="s">
        <v>1116</v>
      </c>
      <c r="D697" s="8" t="s">
        <v>1662</v>
      </c>
      <c r="E697" s="8" t="s">
        <v>1926</v>
      </c>
      <c r="F697" s="8">
        <v>4.0</v>
      </c>
      <c r="G697" s="8">
        <v>413.48</v>
      </c>
      <c r="H697" s="8">
        <v>0.02</v>
      </c>
      <c r="I697" s="8">
        <f t="shared" si="1"/>
        <v>1653.92</v>
      </c>
      <c r="J697" s="8">
        <f t="shared" si="2"/>
        <v>-33.0584</v>
      </c>
      <c r="K697" s="8" t="str">
        <f t="shared" si="3"/>
        <v>Jun</v>
      </c>
      <c r="L697" s="8">
        <f t="shared" si="4"/>
        <v>2026</v>
      </c>
      <c r="N697" s="8" t="str">
        <f t="array" ref="N697">XLOOKUP(C697,Customer_Dim!A:A,Customer_Dim!B:B,"Not Found")</f>
        <v>Jeffrey Mccarthy</v>
      </c>
      <c r="O697" s="8" t="str">
        <f t="array" ref="O697">XLOOKUP(C697,Customer_Dim!A:A,Customer_Dim!E:E,"Not Found")</f>
        <v>North Samuel</v>
      </c>
      <c r="P697" s="8" t="str">
        <f t="array" ref="P697">XLOOKUP(D697,Product_Dim!A:A,Product_Dim!B:B,"Not Found")</f>
        <v>Wireless Bluetooth Speaker</v>
      </c>
      <c r="Q697" s="8" t="str">
        <f t="array" ref="Q697">XLOOKUP(D697,Product_Dim!A:A,Product_Dim!C:C,"Not Found")</f>
        <v>Electronics</v>
      </c>
      <c r="R697" s="8" t="str">
        <f t="array" ref="R697">XLOOKUP(E697,Store_Dim!A:A,Store_Dim!B:B,"Not Found")</f>
        <v>East</v>
      </c>
      <c r="S697" s="8" t="str">
        <f t="array" ref="S697">XLOOKUP(E697,Store_Dim!A:A,Store_Dim!D:D,"Not Found")</f>
        <v>Online</v>
      </c>
    </row>
    <row r="698" ht="14.25" customHeight="1">
      <c r="A698" s="8" t="s">
        <v>2651</v>
      </c>
      <c r="B698" s="12">
        <v>46176.0</v>
      </c>
      <c r="C698" s="8" t="s">
        <v>658</v>
      </c>
      <c r="D698" s="8" t="s">
        <v>1597</v>
      </c>
      <c r="E698" s="8" t="s">
        <v>1903</v>
      </c>
      <c r="F698" s="8">
        <v>4.0</v>
      </c>
      <c r="G698" s="8">
        <v>167.83</v>
      </c>
      <c r="H698" s="8">
        <v>0.15</v>
      </c>
      <c r="I698" s="8">
        <f t="shared" si="1"/>
        <v>671.32</v>
      </c>
      <c r="J698" s="8">
        <f t="shared" si="2"/>
        <v>-100.548</v>
      </c>
      <c r="K698" s="8" t="str">
        <f t="shared" si="3"/>
        <v>Jun</v>
      </c>
      <c r="L698" s="8">
        <f t="shared" si="4"/>
        <v>2026</v>
      </c>
      <c r="N698" s="8" t="str">
        <f t="array" ref="N698">XLOOKUP(C698,Customer_Dim!A:A,Customer_Dim!B:B,"Not Found")</f>
        <v>Andrea Jacobs</v>
      </c>
      <c r="O698" s="8" t="str">
        <f t="array" ref="O698">XLOOKUP(C698,Customer_Dim!A:A,Customer_Dim!E:E,"Not Found")</f>
        <v>Christopherland</v>
      </c>
      <c r="P698" s="8" t="str">
        <f t="array" ref="P698">XLOOKUP(D698,Product_Dim!A:A,Product_Dim!B:B,"Not Found")</f>
        <v>Wireless Bluetooth Earbuds</v>
      </c>
      <c r="Q698" s="8" t="str">
        <f t="array" ref="Q698">XLOOKUP(D698,Product_Dim!A:A,Product_Dim!C:C,"Not Found")</f>
        <v>Electronics</v>
      </c>
      <c r="R698" s="8" t="str">
        <f t="array" ref="R698">XLOOKUP(E698,Store_Dim!A:A,Store_Dim!B:B,"Not Found")</f>
        <v>North</v>
      </c>
      <c r="S698" s="8" t="str">
        <f t="array" ref="S698">XLOOKUP(E698,Store_Dim!A:A,Store_Dim!D:D,"Not Found")</f>
        <v>Flagship</v>
      </c>
    </row>
    <row r="699" ht="14.25" customHeight="1">
      <c r="A699" s="8" t="s">
        <v>2652</v>
      </c>
      <c r="B699" s="12">
        <v>46177.0</v>
      </c>
      <c r="C699" s="8" t="s">
        <v>484</v>
      </c>
      <c r="D699" s="8" t="s">
        <v>1624</v>
      </c>
      <c r="E699" s="8" t="s">
        <v>1939</v>
      </c>
      <c r="F699" s="8">
        <v>2.0</v>
      </c>
      <c r="G699" s="8">
        <v>669.12</v>
      </c>
      <c r="H699" s="8">
        <v>0.22</v>
      </c>
      <c r="I699" s="8">
        <f t="shared" si="1"/>
        <v>1338.24</v>
      </c>
      <c r="J699" s="8">
        <f t="shared" si="2"/>
        <v>-294.1928</v>
      </c>
      <c r="K699" s="8" t="str">
        <f t="shared" si="3"/>
        <v>Jun</v>
      </c>
      <c r="L699" s="8">
        <f t="shared" si="4"/>
        <v>2026</v>
      </c>
      <c r="N699" s="8" t="str">
        <f t="array" ref="N699">XLOOKUP(C699,Customer_Dim!A:A,Customer_Dim!B:B,"Not Found")</f>
        <v>Brian Holder</v>
      </c>
      <c r="O699" s="8" t="str">
        <f t="array" ref="O699">XLOOKUP(C699,Customer_Dim!A:A,Customer_Dim!E:E,"Not Found")</f>
        <v>Port Travis</v>
      </c>
      <c r="P699" s="8" t="str">
        <f t="array" ref="P699">XLOOKUP(D699,Product_Dim!A:A,Product_Dim!B:B,"Not Found")</f>
        <v>4K Home Projector</v>
      </c>
      <c r="Q699" s="8" t="str">
        <f t="array" ref="Q699">XLOOKUP(D699,Product_Dim!A:A,Product_Dim!C:C,"Not Found")</f>
        <v>Electronics</v>
      </c>
      <c r="R699" s="8" t="str">
        <f t="array" ref="R699">XLOOKUP(E699,Store_Dim!A:A,Store_Dim!B:B,"Not Found")</f>
        <v>East</v>
      </c>
      <c r="S699" s="8" t="str">
        <f t="array" ref="S699">XLOOKUP(E699,Store_Dim!A:A,Store_Dim!D:D,"Not Found")</f>
        <v>Flagship</v>
      </c>
    </row>
    <row r="700" ht="14.25" customHeight="1">
      <c r="A700" s="8" t="s">
        <v>2653</v>
      </c>
      <c r="B700" s="12">
        <v>46178.0</v>
      </c>
      <c r="C700" s="8" t="s">
        <v>163</v>
      </c>
      <c r="D700" s="8" t="s">
        <v>1696</v>
      </c>
      <c r="E700" s="8" t="s">
        <v>1919</v>
      </c>
      <c r="F700" s="8">
        <v>3.0</v>
      </c>
      <c r="G700" s="8">
        <v>346.77</v>
      </c>
      <c r="H700" s="8">
        <v>0.18</v>
      </c>
      <c r="I700" s="8">
        <f t="shared" si="1"/>
        <v>1040.31</v>
      </c>
      <c r="J700" s="8">
        <f t="shared" si="2"/>
        <v>-187.0758</v>
      </c>
      <c r="K700" s="8" t="str">
        <f t="shared" si="3"/>
        <v>Jun</v>
      </c>
      <c r="L700" s="8">
        <f t="shared" si="4"/>
        <v>2026</v>
      </c>
      <c r="N700" s="8" t="str">
        <f t="array" ref="N700">XLOOKUP(C700,Customer_Dim!A:A,Customer_Dim!B:B,"Not Found")</f>
        <v>Tonya Reynolds</v>
      </c>
      <c r="O700" s="8" t="str">
        <f t="array" ref="O700">XLOOKUP(C700,Customer_Dim!A:A,Customer_Dim!E:E,"Not Found")</f>
        <v>Darleneton</v>
      </c>
      <c r="P700" s="8" t="str">
        <f t="array" ref="P700">XLOOKUP(D700,Product_Dim!A:A,Product_Dim!B:B,"Not Found")</f>
        <v>Men's Casual Sneakers</v>
      </c>
      <c r="Q700" s="8" t="str">
        <f t="array" ref="Q700">XLOOKUP(D700,Product_Dim!A:A,Product_Dim!C:C,"Not Found")</f>
        <v>Clothing</v>
      </c>
      <c r="R700" s="8" t="str">
        <f t="array" ref="R700">XLOOKUP(E700,Store_Dim!A:A,Store_Dim!B:B,"Not Found")</f>
        <v>South</v>
      </c>
      <c r="S700" s="8" t="str">
        <f t="array" ref="S700">XLOOKUP(E700,Store_Dim!A:A,Store_Dim!D:D,"Not Found")</f>
        <v>Online</v>
      </c>
    </row>
    <row r="701" ht="14.25" customHeight="1">
      <c r="A701" s="8" t="s">
        <v>2654</v>
      </c>
      <c r="B701" s="12">
        <v>46179.0</v>
      </c>
      <c r="C701" s="8" t="s">
        <v>231</v>
      </c>
      <c r="D701" s="8" t="s">
        <v>1652</v>
      </c>
      <c r="E701" s="8" t="s">
        <v>1941</v>
      </c>
      <c r="F701" s="8">
        <v>3.0</v>
      </c>
      <c r="G701" s="8">
        <v>648.33</v>
      </c>
      <c r="H701" s="8">
        <v>0.2</v>
      </c>
      <c r="I701" s="8">
        <f t="shared" si="1"/>
        <v>1944.99</v>
      </c>
      <c r="J701" s="8">
        <f t="shared" si="2"/>
        <v>-388.798</v>
      </c>
      <c r="K701" s="8" t="str">
        <f t="shared" si="3"/>
        <v>Jun</v>
      </c>
      <c r="L701" s="8">
        <f t="shared" si="4"/>
        <v>2026</v>
      </c>
      <c r="N701" s="8" t="str">
        <f t="array" ref="N701">XLOOKUP(C701,Customer_Dim!A:A,Customer_Dim!B:B,"Not Found")</f>
        <v>Alyssa Vargas</v>
      </c>
      <c r="O701" s="8" t="str">
        <f t="array" ref="O701">XLOOKUP(C701,Customer_Dim!A:A,Customer_Dim!E:E,"Not Found")</f>
        <v>New Kathrynland</v>
      </c>
      <c r="P701" s="8" t="str">
        <f t="array" ref="P701">XLOOKUP(D701,Product_Dim!A:A,Product_Dim!B:B,"Not Found")</f>
        <v>Men's Formal Shirt</v>
      </c>
      <c r="Q701" s="8" t="str">
        <f t="array" ref="Q701">XLOOKUP(D701,Product_Dim!A:A,Product_Dim!C:C,"Not Found")</f>
        <v>Clothing</v>
      </c>
      <c r="R701" s="8" t="str">
        <f t="array" ref="R701">XLOOKUP(E701,Store_Dim!A:A,Store_Dim!B:B,"Not Found")</f>
        <v>East</v>
      </c>
      <c r="S701" s="8" t="str">
        <f t="array" ref="S701">XLOOKUP(E701,Store_Dim!A:A,Store_Dim!D:D,"Not Found")</f>
        <v>Online</v>
      </c>
    </row>
    <row r="702" ht="14.25" customHeight="1">
      <c r="A702" s="8" t="s">
        <v>2655</v>
      </c>
      <c r="B702" s="12">
        <v>46180.0</v>
      </c>
      <c r="C702" s="8" t="s">
        <v>920</v>
      </c>
      <c r="D702" s="8" t="s">
        <v>1587</v>
      </c>
      <c r="E702" s="8" t="s">
        <v>1906</v>
      </c>
      <c r="F702" s="8">
        <v>4.0</v>
      </c>
      <c r="G702" s="8">
        <v>254.94</v>
      </c>
      <c r="H702" s="8">
        <v>0.06</v>
      </c>
      <c r="I702" s="8">
        <f t="shared" si="1"/>
        <v>1019.76</v>
      </c>
      <c r="J702" s="8">
        <f t="shared" si="2"/>
        <v>-61.1256</v>
      </c>
      <c r="K702" s="8" t="str">
        <f t="shared" si="3"/>
        <v>Jun</v>
      </c>
      <c r="L702" s="8">
        <f t="shared" si="4"/>
        <v>2026</v>
      </c>
      <c r="N702" s="8" t="str">
        <f t="array" ref="N702">XLOOKUP(C702,Customer_Dim!A:A,Customer_Dim!B:B,"Not Found")</f>
        <v>Donna Guerra</v>
      </c>
      <c r="O702" s="8" t="str">
        <f t="array" ref="O702">XLOOKUP(C702,Customer_Dim!A:A,Customer_Dim!E:E,"Not Found")</f>
        <v>North Robert</v>
      </c>
      <c r="P702" s="8" t="str">
        <f t="array" ref="P702">XLOOKUP(D702,Product_Dim!A:A,Product_Dim!B:B,"Not Found")</f>
        <v>Herbal Face Moisturizer</v>
      </c>
      <c r="Q702" s="8" t="str">
        <f t="array" ref="Q702">XLOOKUP(D702,Product_Dim!A:A,Product_Dim!C:C,"Not Found")</f>
        <v>Beauty</v>
      </c>
      <c r="R702" s="8" t="str">
        <f t="array" ref="R702">XLOOKUP(E702,Store_Dim!A:A,Store_Dim!B:B,"Not Found")</f>
        <v>South</v>
      </c>
      <c r="S702" s="8" t="str">
        <f t="array" ref="S702">XLOOKUP(E702,Store_Dim!A:A,Store_Dim!D:D,"Not Found")</f>
        <v>Outlet</v>
      </c>
    </row>
    <row r="703" ht="14.25" customHeight="1">
      <c r="A703" s="8" t="s">
        <v>2656</v>
      </c>
      <c r="B703" s="12">
        <v>46181.0</v>
      </c>
      <c r="C703" s="8" t="s">
        <v>1077</v>
      </c>
      <c r="D703" s="8" t="s">
        <v>1833</v>
      </c>
      <c r="E703" s="8" t="s">
        <v>1912</v>
      </c>
      <c r="F703" s="8">
        <v>1.0</v>
      </c>
      <c r="G703" s="8">
        <v>445.5</v>
      </c>
      <c r="H703" s="8">
        <v>0.28</v>
      </c>
      <c r="I703" s="8">
        <f t="shared" si="1"/>
        <v>445.5</v>
      </c>
      <c r="J703" s="8">
        <f t="shared" si="2"/>
        <v>-124.46</v>
      </c>
      <c r="K703" s="8" t="str">
        <f t="shared" si="3"/>
        <v>Jun</v>
      </c>
      <c r="L703" s="8">
        <f t="shared" si="4"/>
        <v>2026</v>
      </c>
      <c r="N703" s="8" t="str">
        <f t="array" ref="N703">XLOOKUP(C703,Customer_Dim!A:A,Customer_Dim!B:B,"Not Found")</f>
        <v>Jasmine Snyder</v>
      </c>
      <c r="O703" s="8" t="str">
        <f t="array" ref="O703">XLOOKUP(C703,Customer_Dim!A:A,Customer_Dim!E:E,"Not Found")</f>
        <v>Hudsonfort</v>
      </c>
      <c r="P703" s="8" t="str">
        <f t="array" ref="P703">XLOOKUP(D703,Product_Dim!A:A,Product_Dim!B:B,"Not Found")</f>
        <v>Badminton Racket Set</v>
      </c>
      <c r="Q703" s="8" t="str">
        <f t="array" ref="Q703">XLOOKUP(D703,Product_Dim!A:A,Product_Dim!C:C,"Not Found")</f>
        <v>Sports</v>
      </c>
      <c r="R703" s="8" t="str">
        <f t="array" ref="R703">XLOOKUP(E703,Store_Dim!A:A,Store_Dim!B:B,"Not Found")</f>
        <v>South</v>
      </c>
      <c r="S703" s="8" t="str">
        <f t="array" ref="S703">XLOOKUP(E703,Store_Dim!A:A,Store_Dim!D:D,"Not Found")</f>
        <v>Online</v>
      </c>
    </row>
    <row r="704" ht="14.25" customHeight="1">
      <c r="A704" s="8" t="s">
        <v>2657</v>
      </c>
      <c r="B704" s="12">
        <v>46182.0</v>
      </c>
      <c r="C704" s="8" t="s">
        <v>730</v>
      </c>
      <c r="D704" s="8" t="s">
        <v>1860</v>
      </c>
      <c r="E704" s="8" t="s">
        <v>1912</v>
      </c>
      <c r="F704" s="8">
        <v>1.0</v>
      </c>
      <c r="G704" s="8">
        <v>900.94</v>
      </c>
      <c r="H704" s="8">
        <v>0.1</v>
      </c>
      <c r="I704" s="8">
        <f t="shared" si="1"/>
        <v>900.94</v>
      </c>
      <c r="J704" s="8">
        <f t="shared" si="2"/>
        <v>-89.994</v>
      </c>
      <c r="K704" s="8" t="str">
        <f t="shared" si="3"/>
        <v>Jun</v>
      </c>
      <c r="L704" s="8">
        <f t="shared" si="4"/>
        <v>2026</v>
      </c>
      <c r="N704" s="8" t="str">
        <f t="array" ref="N704">XLOOKUP(C704,Customer_Dim!A:A,Customer_Dim!B:B,"Not Found")</f>
        <v>Lisa Young</v>
      </c>
      <c r="O704" s="8" t="str">
        <f t="array" ref="O704">XLOOKUP(C704,Customer_Dim!A:A,Customer_Dim!E:E,"Not Found")</f>
        <v>Maybury</v>
      </c>
      <c r="P704" s="8" t="str">
        <f t="array" ref="P704">XLOOKUP(D704,Product_Dim!A:A,Product_Dim!B:B,"Not Found")</f>
        <v>Gaming Mouse Pad XL</v>
      </c>
      <c r="Q704" s="8" t="str">
        <f t="array" ref="Q704">XLOOKUP(D704,Product_Dim!A:A,Product_Dim!C:C,"Not Found")</f>
        <v>Electronics</v>
      </c>
      <c r="R704" s="8" t="str">
        <f t="array" ref="R704">XLOOKUP(E704,Store_Dim!A:A,Store_Dim!B:B,"Not Found")</f>
        <v>South</v>
      </c>
      <c r="S704" s="8" t="str">
        <f t="array" ref="S704">XLOOKUP(E704,Store_Dim!A:A,Store_Dim!D:D,"Not Found")</f>
        <v>Online</v>
      </c>
    </row>
    <row r="705" ht="14.25" customHeight="1">
      <c r="A705" s="8" t="s">
        <v>2658</v>
      </c>
      <c r="B705" s="12">
        <v>46183.0</v>
      </c>
      <c r="C705" s="8" t="s">
        <v>655</v>
      </c>
      <c r="D705" s="8" t="s">
        <v>1624</v>
      </c>
      <c r="E705" s="8" t="s">
        <v>1935</v>
      </c>
      <c r="F705" s="8">
        <v>3.0</v>
      </c>
      <c r="G705" s="8">
        <v>262.69</v>
      </c>
      <c r="H705" s="8">
        <v>0.04</v>
      </c>
      <c r="I705" s="8">
        <f t="shared" si="1"/>
        <v>788.07</v>
      </c>
      <c r="J705" s="8">
        <f t="shared" si="2"/>
        <v>-31.4828</v>
      </c>
      <c r="K705" s="8" t="str">
        <f t="shared" si="3"/>
        <v>Jun</v>
      </c>
      <c r="L705" s="8">
        <f t="shared" si="4"/>
        <v>2026</v>
      </c>
      <c r="N705" s="8" t="str">
        <f t="array" ref="N705">XLOOKUP(C705,Customer_Dim!A:A,Customer_Dim!B:B,"Not Found")</f>
        <v>Megan Greer</v>
      </c>
      <c r="O705" s="8" t="str">
        <f t="array" ref="O705">XLOOKUP(C705,Customer_Dim!A:A,Customer_Dim!E:E,"Not Found")</f>
        <v>West John</v>
      </c>
      <c r="P705" s="8" t="str">
        <f t="array" ref="P705">XLOOKUP(D705,Product_Dim!A:A,Product_Dim!B:B,"Not Found")</f>
        <v>4K Home Projector</v>
      </c>
      <c r="Q705" s="8" t="str">
        <f t="array" ref="Q705">XLOOKUP(D705,Product_Dim!A:A,Product_Dim!C:C,"Not Found")</f>
        <v>Electronics</v>
      </c>
      <c r="R705" s="8" t="str">
        <f t="array" ref="R705">XLOOKUP(E705,Store_Dim!A:A,Store_Dim!B:B,"Not Found")</f>
        <v>West</v>
      </c>
      <c r="S705" s="8" t="str">
        <f t="array" ref="S705">XLOOKUP(E705,Store_Dim!A:A,Store_Dim!D:D,"Not Found")</f>
        <v>Flagship</v>
      </c>
    </row>
    <row r="706" ht="14.25" customHeight="1">
      <c r="A706" s="8" t="s">
        <v>2659</v>
      </c>
      <c r="B706" s="12">
        <v>46184.0</v>
      </c>
      <c r="C706" s="8" t="s">
        <v>1500</v>
      </c>
      <c r="D706" s="8" t="s">
        <v>1793</v>
      </c>
      <c r="E706" s="8" t="s">
        <v>1906</v>
      </c>
      <c r="F706" s="8">
        <v>3.0</v>
      </c>
      <c r="G706" s="8">
        <v>212.72</v>
      </c>
      <c r="H706" s="8">
        <v>0.22</v>
      </c>
      <c r="I706" s="8">
        <f t="shared" si="1"/>
        <v>638.16</v>
      </c>
      <c r="J706" s="8">
        <f t="shared" si="2"/>
        <v>-140.1752</v>
      </c>
      <c r="K706" s="8" t="str">
        <f t="shared" si="3"/>
        <v>Jun</v>
      </c>
      <c r="L706" s="8">
        <f t="shared" si="4"/>
        <v>2026</v>
      </c>
      <c r="N706" s="8" t="str">
        <f t="array" ref="N706">XLOOKUP(C706,Customer_Dim!A:A,Customer_Dim!B:B,"Not Found")</f>
        <v>Sheri Joyce</v>
      </c>
      <c r="O706" s="8" t="str">
        <f t="array" ref="O706">XLOOKUP(C706,Customer_Dim!A:A,Customer_Dim!E:E,"Not Found")</f>
        <v>West Tylerfort</v>
      </c>
      <c r="P706" s="8" t="str">
        <f t="array" ref="P706">XLOOKUP(D706,Product_Dim!A:A,Product_Dim!B:B,"Not Found")</f>
        <v>Wooden Nightstand</v>
      </c>
      <c r="Q706" s="8" t="str">
        <f t="array" ref="Q706">XLOOKUP(D706,Product_Dim!A:A,Product_Dim!C:C,"Not Found")</f>
        <v>Home</v>
      </c>
      <c r="R706" s="8" t="str">
        <f t="array" ref="R706">XLOOKUP(E706,Store_Dim!A:A,Store_Dim!B:B,"Not Found")</f>
        <v>South</v>
      </c>
      <c r="S706" s="8" t="str">
        <f t="array" ref="S706">XLOOKUP(E706,Store_Dim!A:A,Store_Dim!D:D,"Not Found")</f>
        <v>Outlet</v>
      </c>
    </row>
    <row r="707" ht="14.25" customHeight="1">
      <c r="A707" s="8" t="s">
        <v>2660</v>
      </c>
      <c r="B707" s="12">
        <v>46185.0</v>
      </c>
      <c r="C707" s="8" t="s">
        <v>520</v>
      </c>
      <c r="D707" s="8" t="s">
        <v>1655</v>
      </c>
      <c r="E707" s="8" t="s">
        <v>1939</v>
      </c>
      <c r="F707" s="8">
        <v>4.0</v>
      </c>
      <c r="G707" s="8">
        <v>757.9</v>
      </c>
      <c r="H707" s="8">
        <v>0.22</v>
      </c>
      <c r="I707" s="8">
        <f t="shared" si="1"/>
        <v>3031.6</v>
      </c>
      <c r="J707" s="8">
        <f t="shared" si="2"/>
        <v>-666.732</v>
      </c>
      <c r="K707" s="8" t="str">
        <f t="shared" si="3"/>
        <v>Jun</v>
      </c>
      <c r="L707" s="8">
        <f t="shared" si="4"/>
        <v>2026</v>
      </c>
      <c r="N707" s="8" t="str">
        <f t="array" ref="N707">XLOOKUP(C707,Customer_Dim!A:A,Customer_Dim!B:B,"Not Found")</f>
        <v>Michael Davies</v>
      </c>
      <c r="O707" s="8" t="str">
        <f t="array" ref="O707">XLOOKUP(C707,Customer_Dim!A:A,Customer_Dim!E:E,"Not Found")</f>
        <v>Lake Stevenfort</v>
      </c>
      <c r="P707" s="8" t="str">
        <f t="array" ref="P707">XLOOKUP(D707,Product_Dim!A:A,Product_Dim!B:B,"Not Found")</f>
        <v>Foldable Camping Chair</v>
      </c>
      <c r="Q707" s="8" t="str">
        <f t="array" ref="Q707">XLOOKUP(D707,Product_Dim!A:A,Product_Dim!C:C,"Not Found")</f>
        <v>Sports</v>
      </c>
      <c r="R707" s="8" t="str">
        <f t="array" ref="R707">XLOOKUP(E707,Store_Dim!A:A,Store_Dim!B:B,"Not Found")</f>
        <v>East</v>
      </c>
      <c r="S707" s="8" t="str">
        <f t="array" ref="S707">XLOOKUP(E707,Store_Dim!A:A,Store_Dim!D:D,"Not Found")</f>
        <v>Flagship</v>
      </c>
    </row>
    <row r="708" ht="14.25" customHeight="1">
      <c r="A708" s="8" t="s">
        <v>2661</v>
      </c>
      <c r="B708" s="12">
        <v>46186.0</v>
      </c>
      <c r="C708" s="8" t="s">
        <v>87</v>
      </c>
      <c r="D708" s="8" t="s">
        <v>1830</v>
      </c>
      <c r="E708" s="8" t="s">
        <v>1937</v>
      </c>
      <c r="F708" s="8">
        <v>1.0</v>
      </c>
      <c r="G708" s="8">
        <v>846.04</v>
      </c>
      <c r="H708" s="8">
        <v>0.08</v>
      </c>
      <c r="I708" s="8">
        <f t="shared" si="1"/>
        <v>846.04</v>
      </c>
      <c r="J708" s="8">
        <f t="shared" si="2"/>
        <v>-67.6032</v>
      </c>
      <c r="K708" s="8" t="str">
        <f t="shared" si="3"/>
        <v>Jun</v>
      </c>
      <c r="L708" s="8">
        <f t="shared" si="4"/>
        <v>2026</v>
      </c>
      <c r="N708" s="8" t="str">
        <f t="array" ref="N708">XLOOKUP(C708,Customer_Dim!A:A,Customer_Dim!B:B,"Not Found")</f>
        <v>Adam Cruz</v>
      </c>
      <c r="O708" s="8" t="str">
        <f t="array" ref="O708">XLOOKUP(C708,Customer_Dim!A:A,Customer_Dim!E:E,"Not Found")</f>
        <v>Brandonville</v>
      </c>
      <c r="P708" s="8" t="str">
        <f t="array" ref="P708">XLOOKUP(D708,Product_Dim!A:A,Product_Dim!B:B,"Not Found")</f>
        <v>Wall-Mounted Spice Rack</v>
      </c>
      <c r="Q708" s="8" t="str">
        <f t="array" ref="Q708">XLOOKUP(D708,Product_Dim!A:A,Product_Dim!C:C,"Not Found")</f>
        <v>Home</v>
      </c>
      <c r="R708" s="8" t="str">
        <f t="array" ref="R708">XLOOKUP(E708,Store_Dim!A:A,Store_Dim!B:B,"Not Found")</f>
        <v>North</v>
      </c>
      <c r="S708" s="8" t="str">
        <f t="array" ref="S708">XLOOKUP(E708,Store_Dim!A:A,Store_Dim!D:D,"Not Found")</f>
        <v>Flagship</v>
      </c>
    </row>
    <row r="709" ht="14.25" customHeight="1">
      <c r="A709" s="8" t="s">
        <v>2662</v>
      </c>
      <c r="B709" s="12">
        <v>46187.0</v>
      </c>
      <c r="C709" s="8" t="s">
        <v>544</v>
      </c>
      <c r="D709" s="8" t="s">
        <v>1700</v>
      </c>
      <c r="E709" s="8" t="s">
        <v>1919</v>
      </c>
      <c r="F709" s="8">
        <v>3.0</v>
      </c>
      <c r="G709" s="8">
        <v>179.7</v>
      </c>
      <c r="H709" s="8">
        <v>0.17</v>
      </c>
      <c r="I709" s="8">
        <f t="shared" si="1"/>
        <v>539.1</v>
      </c>
      <c r="J709" s="8">
        <f t="shared" si="2"/>
        <v>-91.477</v>
      </c>
      <c r="K709" s="8" t="str">
        <f t="shared" si="3"/>
        <v>Jun</v>
      </c>
      <c r="L709" s="8">
        <f t="shared" si="4"/>
        <v>2026</v>
      </c>
      <c r="N709" s="8" t="str">
        <f t="array" ref="N709">XLOOKUP(C709,Customer_Dim!A:A,Customer_Dim!B:B,"Not Found")</f>
        <v>Brian Choi</v>
      </c>
      <c r="O709" s="8" t="str">
        <f t="array" ref="O709">XLOOKUP(C709,Customer_Dim!A:A,Customer_Dim!E:E,"Not Found")</f>
        <v>Floydton</v>
      </c>
      <c r="P709" s="8" t="str">
        <f t="array" ref="P709">XLOOKUP(D709,Product_Dim!A:A,Product_Dim!B:B,"Not Found")</f>
        <v>Sports Water Hydration Pack</v>
      </c>
      <c r="Q709" s="8" t="str">
        <f t="array" ref="Q709">XLOOKUP(D709,Product_Dim!A:A,Product_Dim!C:C,"Not Found")</f>
        <v>Sports</v>
      </c>
      <c r="R709" s="8" t="str">
        <f t="array" ref="R709">XLOOKUP(E709,Store_Dim!A:A,Store_Dim!B:B,"Not Found")</f>
        <v>South</v>
      </c>
      <c r="S709" s="8" t="str">
        <f t="array" ref="S709">XLOOKUP(E709,Store_Dim!A:A,Store_Dim!D:D,"Not Found")</f>
        <v>Online</v>
      </c>
    </row>
    <row r="710" ht="14.25" customHeight="1">
      <c r="A710" s="8" t="s">
        <v>2663</v>
      </c>
      <c r="B710" s="12">
        <v>46188.0</v>
      </c>
      <c r="C710" s="8" t="s">
        <v>1396</v>
      </c>
      <c r="D710" s="8" t="s">
        <v>1677</v>
      </c>
      <c r="E710" s="8" t="s">
        <v>1912</v>
      </c>
      <c r="F710" s="8">
        <v>4.0</v>
      </c>
      <c r="G710" s="8">
        <v>681.08</v>
      </c>
      <c r="H710" s="8">
        <v>0.0</v>
      </c>
      <c r="I710" s="8">
        <f t="shared" si="1"/>
        <v>2724.32</v>
      </c>
      <c r="J710" s="8">
        <f t="shared" si="2"/>
        <v>0</v>
      </c>
      <c r="K710" s="8" t="str">
        <f t="shared" si="3"/>
        <v>Jun</v>
      </c>
      <c r="L710" s="8">
        <f t="shared" si="4"/>
        <v>2026</v>
      </c>
      <c r="N710" s="8" t="str">
        <f t="array" ref="N710">XLOOKUP(C710,Customer_Dim!A:A,Customer_Dim!B:B,"Not Found")</f>
        <v>Shannon Turner</v>
      </c>
      <c r="O710" s="8" t="str">
        <f t="array" ref="O710">XLOOKUP(C710,Customer_Dim!A:A,Customer_Dim!E:E,"Not Found")</f>
        <v>West Jorge</v>
      </c>
      <c r="P710" s="8" t="str">
        <f t="array" ref="P710">XLOOKUP(D710,Product_Dim!A:A,Product_Dim!B:B,"Not Found")</f>
        <v>Basketball</v>
      </c>
      <c r="Q710" s="8" t="str">
        <f t="array" ref="Q710">XLOOKUP(D710,Product_Dim!A:A,Product_Dim!C:C,"Not Found")</f>
        <v>Sports</v>
      </c>
      <c r="R710" s="8" t="str">
        <f t="array" ref="R710">XLOOKUP(E710,Store_Dim!A:A,Store_Dim!B:B,"Not Found")</f>
        <v>South</v>
      </c>
      <c r="S710" s="8" t="str">
        <f t="array" ref="S710">XLOOKUP(E710,Store_Dim!A:A,Store_Dim!D:D,"Not Found")</f>
        <v>Online</v>
      </c>
    </row>
    <row r="711" ht="14.25" customHeight="1">
      <c r="A711" s="8" t="s">
        <v>2664</v>
      </c>
      <c r="B711" s="12">
        <v>46189.0</v>
      </c>
      <c r="C711" s="8" t="s">
        <v>1270</v>
      </c>
      <c r="D711" s="8" t="s">
        <v>1579</v>
      </c>
      <c r="E711" s="8" t="s">
        <v>1919</v>
      </c>
      <c r="F711" s="8">
        <v>4.0</v>
      </c>
      <c r="G711" s="8">
        <v>723.44</v>
      </c>
      <c r="H711" s="8">
        <v>0.14</v>
      </c>
      <c r="I711" s="8">
        <f t="shared" si="1"/>
        <v>2893.76</v>
      </c>
      <c r="J711" s="8">
        <f t="shared" si="2"/>
        <v>-404.9864</v>
      </c>
      <c r="K711" s="8" t="str">
        <f t="shared" si="3"/>
        <v>Jun</v>
      </c>
      <c r="L711" s="8">
        <f t="shared" si="4"/>
        <v>2026</v>
      </c>
      <c r="N711" s="8" t="str">
        <f t="array" ref="N711">XLOOKUP(C711,Customer_Dim!A:A,Customer_Dim!B:B,"Not Found")</f>
        <v>Justin Ingram</v>
      </c>
      <c r="O711" s="8" t="str">
        <f t="array" ref="O711">XLOOKUP(C711,Customer_Dim!A:A,Customer_Dim!E:E,"Not Found")</f>
        <v>Lake Lisaland</v>
      </c>
      <c r="P711" s="8" t="str">
        <f t="array" ref="P711">XLOOKUP(D711,Product_Dim!A:A,Product_Dim!B:B,"Not Found")</f>
        <v>Women's Yoga Pants</v>
      </c>
      <c r="Q711" s="8" t="str">
        <f t="array" ref="Q711">XLOOKUP(D711,Product_Dim!A:A,Product_Dim!C:C,"Not Found")</f>
        <v>Clothing</v>
      </c>
      <c r="R711" s="8" t="str">
        <f t="array" ref="R711">XLOOKUP(E711,Store_Dim!A:A,Store_Dim!B:B,"Not Found")</f>
        <v>South</v>
      </c>
      <c r="S711" s="8" t="str">
        <f t="array" ref="S711">XLOOKUP(E711,Store_Dim!A:A,Store_Dim!D:D,"Not Found")</f>
        <v>Online</v>
      </c>
    </row>
    <row r="712" ht="14.25" customHeight="1">
      <c r="A712" s="8" t="s">
        <v>2665</v>
      </c>
      <c r="B712" s="12">
        <v>46190.0</v>
      </c>
      <c r="C712" s="8" t="s">
        <v>446</v>
      </c>
      <c r="D712" s="8" t="s">
        <v>1677</v>
      </c>
      <c r="E712" s="8" t="s">
        <v>1932</v>
      </c>
      <c r="F712" s="8">
        <v>4.0</v>
      </c>
      <c r="G712" s="8">
        <v>471.89</v>
      </c>
      <c r="H712" s="8">
        <v>0.12</v>
      </c>
      <c r="I712" s="8">
        <f t="shared" si="1"/>
        <v>1887.56</v>
      </c>
      <c r="J712" s="8">
        <f t="shared" si="2"/>
        <v>-226.3872</v>
      </c>
      <c r="K712" s="8" t="str">
        <f t="shared" si="3"/>
        <v>Jun</v>
      </c>
      <c r="L712" s="8">
        <f t="shared" si="4"/>
        <v>2026</v>
      </c>
      <c r="N712" s="8" t="str">
        <f t="array" ref="N712">XLOOKUP(C712,Customer_Dim!A:A,Customer_Dim!B:B,"Not Found")</f>
        <v>James Wolfe</v>
      </c>
      <c r="O712" s="8" t="str">
        <f t="array" ref="O712">XLOOKUP(C712,Customer_Dim!A:A,Customer_Dim!E:E,"Not Found")</f>
        <v>Benjaminton</v>
      </c>
      <c r="P712" s="8" t="str">
        <f t="array" ref="P712">XLOOKUP(D712,Product_Dim!A:A,Product_Dim!B:B,"Not Found")</f>
        <v>Basketball</v>
      </c>
      <c r="Q712" s="8" t="str">
        <f t="array" ref="Q712">XLOOKUP(D712,Product_Dim!A:A,Product_Dim!C:C,"Not Found")</f>
        <v>Sports</v>
      </c>
      <c r="R712" s="8" t="str">
        <f t="array" ref="R712">XLOOKUP(E712,Store_Dim!A:A,Store_Dim!B:B,"Not Found")</f>
        <v>South</v>
      </c>
      <c r="S712" s="8" t="str">
        <f t="array" ref="S712">XLOOKUP(E712,Store_Dim!A:A,Store_Dim!D:D,"Not Found")</f>
        <v>Outlet</v>
      </c>
    </row>
    <row r="713" ht="14.25" customHeight="1">
      <c r="A713" s="8" t="s">
        <v>2666</v>
      </c>
      <c r="B713" s="12">
        <v>46191.0</v>
      </c>
      <c r="C713" s="8" t="s">
        <v>1161</v>
      </c>
      <c r="D713" s="8" t="s">
        <v>1803</v>
      </c>
      <c r="E713" s="8" t="s">
        <v>1937</v>
      </c>
      <c r="F713" s="8">
        <v>1.0</v>
      </c>
      <c r="G713" s="8">
        <v>613.18</v>
      </c>
      <c r="H713" s="8">
        <v>0.14</v>
      </c>
      <c r="I713" s="8">
        <f t="shared" si="1"/>
        <v>613.18</v>
      </c>
      <c r="J713" s="8">
        <f t="shared" si="2"/>
        <v>-85.7052</v>
      </c>
      <c r="K713" s="8" t="str">
        <f t="shared" si="3"/>
        <v>Jun</v>
      </c>
      <c r="L713" s="8">
        <f t="shared" si="4"/>
        <v>2026</v>
      </c>
      <c r="N713" s="8" t="str">
        <f t="array" ref="N713">XLOOKUP(C713,Customer_Dim!A:A,Customer_Dim!B:B,"Not Found")</f>
        <v>Mallory Allen</v>
      </c>
      <c r="O713" s="8" t="str">
        <f t="array" ref="O713">XLOOKUP(C713,Customer_Dim!A:A,Customer_Dim!E:E,"Not Found")</f>
        <v>North Theresa</v>
      </c>
      <c r="P713" s="8" t="str">
        <f t="array" ref="P713">XLOOKUP(D713,Product_Dim!A:A,Product_Dim!B:B,"Not Found")</f>
        <v>Hair Repair Oil Treatment</v>
      </c>
      <c r="Q713" s="8" t="str">
        <f t="array" ref="Q713">XLOOKUP(D713,Product_Dim!A:A,Product_Dim!C:C,"Not Found")</f>
        <v>Beauty</v>
      </c>
      <c r="R713" s="8" t="str">
        <f t="array" ref="R713">XLOOKUP(E713,Store_Dim!A:A,Store_Dim!B:B,"Not Found")</f>
        <v>North</v>
      </c>
      <c r="S713" s="8" t="str">
        <f t="array" ref="S713">XLOOKUP(E713,Store_Dim!A:A,Store_Dim!D:D,"Not Found")</f>
        <v>Flagship</v>
      </c>
    </row>
    <row r="714" ht="14.25" customHeight="1">
      <c r="A714" s="8" t="s">
        <v>2667</v>
      </c>
      <c r="B714" s="12">
        <v>46192.0</v>
      </c>
      <c r="C714" s="8" t="s">
        <v>205</v>
      </c>
      <c r="D714" s="8" t="s">
        <v>1716</v>
      </c>
      <c r="E714" s="8" t="s">
        <v>1912</v>
      </c>
      <c r="F714" s="8">
        <v>1.0</v>
      </c>
      <c r="G714" s="8">
        <v>651.31</v>
      </c>
      <c r="H714" s="8">
        <v>0.24</v>
      </c>
      <c r="I714" s="8">
        <f t="shared" si="1"/>
        <v>651.31</v>
      </c>
      <c r="J714" s="8">
        <f t="shared" si="2"/>
        <v>-156.0744</v>
      </c>
      <c r="K714" s="8" t="str">
        <f t="shared" si="3"/>
        <v>Jun</v>
      </c>
      <c r="L714" s="8">
        <f t="shared" si="4"/>
        <v>2026</v>
      </c>
      <c r="N714" s="8" t="str">
        <f t="array" ref="N714">XLOOKUP(C714,Customer_Dim!A:A,Customer_Dim!B:B,"Not Found")</f>
        <v>Sarah Rodgers</v>
      </c>
      <c r="O714" s="8" t="str">
        <f t="array" ref="O714">XLOOKUP(C714,Customer_Dim!A:A,Customer_Dim!E:E,"Not Found")</f>
        <v>New Julia</v>
      </c>
      <c r="P714" s="8" t="str">
        <f t="array" ref="P714">XLOOKUP(D714,Product_Dim!A:A,Product_Dim!B:B,"Not Found")</f>
        <v>USB External Hard Drive</v>
      </c>
      <c r="Q714" s="8" t="str">
        <f t="array" ref="Q714">XLOOKUP(D714,Product_Dim!A:A,Product_Dim!C:C,"Not Found")</f>
        <v>Electronics</v>
      </c>
      <c r="R714" s="8" t="str">
        <f t="array" ref="R714">XLOOKUP(E714,Store_Dim!A:A,Store_Dim!B:B,"Not Found")</f>
        <v>South</v>
      </c>
      <c r="S714" s="8" t="str">
        <f t="array" ref="S714">XLOOKUP(E714,Store_Dim!A:A,Store_Dim!D:D,"Not Found")</f>
        <v>Online</v>
      </c>
    </row>
    <row r="715" ht="14.25" customHeight="1">
      <c r="A715" s="8" t="s">
        <v>2668</v>
      </c>
      <c r="B715" s="12">
        <v>46193.0</v>
      </c>
      <c r="C715" s="8" t="s">
        <v>113</v>
      </c>
      <c r="D715" s="8" t="s">
        <v>2052</v>
      </c>
      <c r="E715" s="8" t="s">
        <v>1917</v>
      </c>
      <c r="F715" s="8">
        <v>2.0</v>
      </c>
      <c r="G715" s="8">
        <v>635.14</v>
      </c>
      <c r="H715" s="8">
        <v>0.1</v>
      </c>
      <c r="I715" s="8">
        <f t="shared" si="1"/>
        <v>1270.28</v>
      </c>
      <c r="J715" s="8">
        <f t="shared" si="2"/>
        <v>-126.928</v>
      </c>
      <c r="K715" s="8" t="str">
        <f t="shared" si="3"/>
        <v>Jun</v>
      </c>
      <c r="L715" s="8">
        <f t="shared" si="4"/>
        <v>2026</v>
      </c>
      <c r="N715" s="8" t="str">
        <f t="array" ref="N715">XLOOKUP(C715,Customer_Dim!A:A,Customer_Dim!B:B,"Not Found")</f>
        <v>Heather Collins</v>
      </c>
      <c r="O715" s="8" t="str">
        <f t="array" ref="O715">XLOOKUP(C715,Customer_Dim!A:A,Customer_Dim!E:E,"Not Found")</f>
        <v>Rogerschester</v>
      </c>
      <c r="P715" s="8" t="str">
        <f t="array" ref="P715">XLOOKUP(D715,Product_Dim!A:A,Product_Dim!B:B,"Not Found")</f>
        <v>Not Found</v>
      </c>
      <c r="Q715" s="8" t="str">
        <f t="array" ref="Q715">XLOOKUP(D715,Product_Dim!A:A,Product_Dim!C:C,"Not Found")</f>
        <v>Not Found</v>
      </c>
      <c r="R715" s="8" t="str">
        <f t="array" ref="R715">XLOOKUP(E715,Store_Dim!A:A,Store_Dim!B:B,"Not Found")</f>
        <v>East</v>
      </c>
      <c r="S715" s="8" t="str">
        <f t="array" ref="S715">XLOOKUP(E715,Store_Dim!A:A,Store_Dim!D:D,"Not Found")</f>
        <v>Online</v>
      </c>
    </row>
    <row r="716" ht="14.25" customHeight="1">
      <c r="A716" s="8" t="s">
        <v>2669</v>
      </c>
      <c r="B716" s="12">
        <v>46194.0</v>
      </c>
      <c r="C716" s="8" t="s">
        <v>1203</v>
      </c>
      <c r="D716" s="8" t="s">
        <v>1884</v>
      </c>
      <c r="E716" s="8" t="s">
        <v>1932</v>
      </c>
      <c r="F716" s="8">
        <v>4.0</v>
      </c>
      <c r="G716" s="8">
        <v>912.61</v>
      </c>
      <c r="H716" s="8">
        <v>0.14</v>
      </c>
      <c r="I716" s="8">
        <f t="shared" si="1"/>
        <v>3650.44</v>
      </c>
      <c r="J716" s="8">
        <f t="shared" si="2"/>
        <v>-510.9216</v>
      </c>
      <c r="K716" s="8" t="str">
        <f t="shared" si="3"/>
        <v>Jun</v>
      </c>
      <c r="L716" s="8">
        <f t="shared" si="4"/>
        <v>2026</v>
      </c>
      <c r="N716" s="8" t="str">
        <f t="array" ref="N716">XLOOKUP(C716,Customer_Dim!A:A,Customer_Dim!B:B,"Not Found")</f>
        <v>Shelley Ponce</v>
      </c>
      <c r="O716" s="8" t="str">
        <f t="array" ref="O716">XLOOKUP(C716,Customer_Dim!A:A,Customer_Dim!E:E,"Not Found")</f>
        <v>South Cassandrachester</v>
      </c>
      <c r="P716" s="8" t="str">
        <f t="array" ref="P716">XLOOKUP(D716,Product_Dim!A:A,Product_Dim!B:B,"Not Found")</f>
        <v>Portable Bluetooth Speaker</v>
      </c>
      <c r="Q716" s="8" t="str">
        <f t="array" ref="Q716">XLOOKUP(D716,Product_Dim!A:A,Product_Dim!C:C,"Not Found")</f>
        <v>Electronics</v>
      </c>
      <c r="R716" s="8" t="str">
        <f t="array" ref="R716">XLOOKUP(E716,Store_Dim!A:A,Store_Dim!B:B,"Not Found")</f>
        <v>South</v>
      </c>
      <c r="S716" s="8" t="str">
        <f t="array" ref="S716">XLOOKUP(E716,Store_Dim!A:A,Store_Dim!D:D,"Not Found")</f>
        <v>Outlet</v>
      </c>
    </row>
    <row r="717" ht="14.25" customHeight="1">
      <c r="A717" s="8" t="s">
        <v>2670</v>
      </c>
      <c r="B717" s="12">
        <v>46195.0</v>
      </c>
      <c r="C717" s="8" t="s">
        <v>887</v>
      </c>
      <c r="D717" s="8" t="s">
        <v>1728</v>
      </c>
      <c r="E717" s="8" t="s">
        <v>1919</v>
      </c>
      <c r="F717" s="8">
        <v>3.0</v>
      </c>
      <c r="G717" s="8">
        <v>79.77</v>
      </c>
      <c r="H717" s="8">
        <v>0.09</v>
      </c>
      <c r="I717" s="8">
        <f t="shared" si="1"/>
        <v>239.31</v>
      </c>
      <c r="J717" s="8">
        <f t="shared" si="2"/>
        <v>-21.4479</v>
      </c>
      <c r="K717" s="8" t="str">
        <f t="shared" si="3"/>
        <v>Jun</v>
      </c>
      <c r="L717" s="8">
        <f t="shared" si="4"/>
        <v>2026</v>
      </c>
      <c r="N717" s="8" t="str">
        <f t="array" ref="N717">XLOOKUP(C717,Customer_Dim!A:A,Customer_Dim!B:B,"Not Found")</f>
        <v>Sarah Lane</v>
      </c>
      <c r="O717" s="8" t="str">
        <f t="array" ref="O717">XLOOKUP(C717,Customer_Dim!A:A,Customer_Dim!E:E,"Not Found")</f>
        <v>Edwardborough</v>
      </c>
      <c r="P717" s="8" t="str">
        <f t="array" ref="P717">XLOOKUP(D717,Product_Dim!A:A,Product_Dim!B:B,"Not Found")</f>
        <v>Makeup Brush Set</v>
      </c>
      <c r="Q717" s="8" t="str">
        <f t="array" ref="Q717">XLOOKUP(D717,Product_Dim!A:A,Product_Dim!C:C,"Not Found")</f>
        <v>Beauty</v>
      </c>
      <c r="R717" s="8" t="str">
        <f t="array" ref="R717">XLOOKUP(E717,Store_Dim!A:A,Store_Dim!B:B,"Not Found")</f>
        <v>South</v>
      </c>
      <c r="S717" s="8" t="str">
        <f t="array" ref="S717">XLOOKUP(E717,Store_Dim!A:A,Store_Dim!D:D,"Not Found")</f>
        <v>Online</v>
      </c>
    </row>
    <row r="718" ht="14.25" customHeight="1">
      <c r="A718" s="8" t="s">
        <v>2671</v>
      </c>
      <c r="B718" s="12">
        <v>46196.0</v>
      </c>
      <c r="C718" s="8" t="s">
        <v>896</v>
      </c>
      <c r="D718" s="8" t="s">
        <v>1872</v>
      </c>
      <c r="E718" s="8" t="s">
        <v>1933</v>
      </c>
      <c r="F718" s="8">
        <v>4.0</v>
      </c>
      <c r="G718" s="8">
        <v>603.52</v>
      </c>
      <c r="H718" s="8">
        <v>0.25</v>
      </c>
      <c r="I718" s="8">
        <f t="shared" si="1"/>
        <v>2414.08</v>
      </c>
      <c r="J718" s="8">
        <f t="shared" si="2"/>
        <v>-603.27</v>
      </c>
      <c r="K718" s="8" t="str">
        <f t="shared" si="3"/>
        <v>Jun</v>
      </c>
      <c r="L718" s="8">
        <f t="shared" si="4"/>
        <v>2026</v>
      </c>
      <c r="N718" s="8" t="str">
        <f t="array" ref="N718">XLOOKUP(C718,Customer_Dim!A:A,Customer_Dim!B:B,"Not Found")</f>
        <v>Jeffrey Gomez</v>
      </c>
      <c r="O718" s="8" t="str">
        <f t="array" ref="O718">XLOOKUP(C718,Customer_Dim!A:A,Customer_Dim!E:E,"Not Found")</f>
        <v>Lake Nicole</v>
      </c>
      <c r="P718" s="8" t="str">
        <f t="array" ref="P718">XLOOKUP(D718,Product_Dim!A:A,Product_Dim!B:B,"Not Found")</f>
        <v>Vitamin E Body Lotion</v>
      </c>
      <c r="Q718" s="8" t="str">
        <f t="array" ref="Q718">XLOOKUP(D718,Product_Dim!A:A,Product_Dim!C:C,"Not Found")</f>
        <v>Beauty</v>
      </c>
      <c r="R718" s="8" t="str">
        <f t="array" ref="R718">XLOOKUP(E718,Store_Dim!A:A,Store_Dim!B:B,"Not Found")</f>
        <v>North</v>
      </c>
      <c r="S718" s="8" t="str">
        <f t="array" ref="S718">XLOOKUP(E718,Store_Dim!A:A,Store_Dim!D:D,"Not Found")</f>
        <v>Flagship</v>
      </c>
    </row>
    <row r="719" ht="14.25" customHeight="1">
      <c r="A719" s="8" t="s">
        <v>2672</v>
      </c>
      <c r="B719" s="12">
        <v>46197.0</v>
      </c>
      <c r="C719" s="8" t="s">
        <v>291</v>
      </c>
      <c r="D719" s="8" t="s">
        <v>1821</v>
      </c>
      <c r="E719" s="8" t="s">
        <v>1929</v>
      </c>
      <c r="F719" s="8">
        <v>4.0</v>
      </c>
      <c r="G719" s="8">
        <v>453.12</v>
      </c>
      <c r="H719" s="8">
        <v>0.23</v>
      </c>
      <c r="I719" s="8">
        <f t="shared" si="1"/>
        <v>1812.48</v>
      </c>
      <c r="J719" s="8">
        <f t="shared" si="2"/>
        <v>-416.6404</v>
      </c>
      <c r="K719" s="8" t="str">
        <f t="shared" si="3"/>
        <v>Jun</v>
      </c>
      <c r="L719" s="8">
        <f t="shared" si="4"/>
        <v>2026</v>
      </c>
      <c r="N719" s="8" t="str">
        <f t="array" ref="N719">XLOOKUP(C719,Customer_Dim!A:A,Customer_Dim!B:B,"Not Found")</f>
        <v>Katherine Young</v>
      </c>
      <c r="O719" s="8" t="str">
        <f t="array" ref="O719">XLOOKUP(C719,Customer_Dim!A:A,Customer_Dim!E:E,"Not Found")</f>
        <v>North Valeriemouth</v>
      </c>
      <c r="P719" s="8" t="str">
        <f t="array" ref="P719">XLOOKUP(D719,Product_Dim!A:A,Product_Dim!B:B,"Not Found")</f>
        <v>WiFi Mesh Router</v>
      </c>
      <c r="Q719" s="8" t="str">
        <f t="array" ref="Q719">XLOOKUP(D719,Product_Dim!A:A,Product_Dim!C:C,"Not Found")</f>
        <v>Electronics</v>
      </c>
      <c r="R719" s="8" t="str">
        <f t="array" ref="R719">XLOOKUP(E719,Store_Dim!A:A,Store_Dim!B:B,"Not Found")</f>
        <v>North</v>
      </c>
      <c r="S719" s="8" t="str">
        <f t="array" ref="S719">XLOOKUP(E719,Store_Dim!A:A,Store_Dim!D:D,"Not Found")</f>
        <v>Online</v>
      </c>
    </row>
    <row r="720" ht="14.25" customHeight="1">
      <c r="A720" s="8" t="s">
        <v>2673</v>
      </c>
      <c r="B720" s="12">
        <v>46198.0</v>
      </c>
      <c r="C720" s="8" t="s">
        <v>1543</v>
      </c>
      <c r="D720" s="8" t="s">
        <v>1684</v>
      </c>
      <c r="E720" s="8" t="s">
        <v>1924</v>
      </c>
      <c r="F720" s="8">
        <v>2.0</v>
      </c>
      <c r="G720" s="8">
        <v>974.35</v>
      </c>
      <c r="H720" s="8">
        <v>0.15</v>
      </c>
      <c r="I720" s="8">
        <f t="shared" si="1"/>
        <v>1948.7</v>
      </c>
      <c r="J720" s="8">
        <f t="shared" si="2"/>
        <v>-292.155</v>
      </c>
      <c r="K720" s="8" t="str">
        <f t="shared" si="3"/>
        <v>Jun</v>
      </c>
      <c r="L720" s="8">
        <f t="shared" si="4"/>
        <v>2026</v>
      </c>
      <c r="N720" s="8" t="str">
        <f t="array" ref="N720">XLOOKUP(C720,Customer_Dim!A:A,Customer_Dim!B:B,"Not Found")</f>
        <v>Sarah Marsh</v>
      </c>
      <c r="O720" s="8" t="str">
        <f t="array" ref="O720">XLOOKUP(C720,Customer_Dim!A:A,Customer_Dim!E:E,"Not Found")</f>
        <v>Port William</v>
      </c>
      <c r="P720" s="8" t="str">
        <f t="array" ref="P720">XLOOKUP(D720,Product_Dim!A:A,Product_Dim!B:B,"Not Found")</f>
        <v>Modern Wall Clock</v>
      </c>
      <c r="Q720" s="8" t="str">
        <f t="array" ref="Q720">XLOOKUP(D720,Product_Dim!A:A,Product_Dim!C:C,"Not Found")</f>
        <v>Home</v>
      </c>
      <c r="R720" s="8" t="str">
        <f t="array" ref="R720">XLOOKUP(E720,Store_Dim!A:A,Store_Dim!B:B,"Not Found")</f>
        <v>South</v>
      </c>
      <c r="S720" s="8" t="str">
        <f t="array" ref="S720">XLOOKUP(E720,Store_Dim!A:A,Store_Dim!D:D,"Not Found")</f>
        <v>Flagship</v>
      </c>
    </row>
    <row r="721" ht="14.25" customHeight="1">
      <c r="A721" s="8" t="s">
        <v>2674</v>
      </c>
      <c r="B721" s="12">
        <v>46199.0</v>
      </c>
      <c r="C721" s="8" t="s">
        <v>1482</v>
      </c>
      <c r="D721" s="8" t="s">
        <v>1875</v>
      </c>
      <c r="E721" s="8" t="s">
        <v>1937</v>
      </c>
      <c r="F721" s="8">
        <v>4.0</v>
      </c>
      <c r="G721" s="8">
        <v>52.35</v>
      </c>
      <c r="H721" s="8">
        <v>0.23</v>
      </c>
      <c r="I721" s="8">
        <f t="shared" si="1"/>
        <v>209.4</v>
      </c>
      <c r="J721" s="8">
        <f t="shared" si="2"/>
        <v>-47.932</v>
      </c>
      <c r="K721" s="8" t="str">
        <f t="shared" si="3"/>
        <v>Jun</v>
      </c>
      <c r="L721" s="8">
        <f t="shared" si="4"/>
        <v>2026</v>
      </c>
      <c r="N721" s="8" t="str">
        <f t="array" ref="N721">XLOOKUP(C721,Customer_Dim!A:A,Customer_Dim!B:B,"Not Found")</f>
        <v>Elizabeth Foster</v>
      </c>
      <c r="O721" s="8" t="str">
        <f t="array" ref="O721">XLOOKUP(C721,Customer_Dim!A:A,Customer_Dim!E:E,"Not Found")</f>
        <v>Anthonymouth</v>
      </c>
      <c r="P721" s="8" t="str">
        <f t="array" ref="P721">XLOOKUP(D721,Product_Dim!A:A,Product_Dim!B:B,"Not Found")</f>
        <v>Sports Stopwatch Basic</v>
      </c>
      <c r="Q721" s="8" t="str">
        <f t="array" ref="Q721">XLOOKUP(D721,Product_Dim!A:A,Product_Dim!C:C,"Not Found")</f>
        <v>Sports</v>
      </c>
      <c r="R721" s="8" t="str">
        <f t="array" ref="R721">XLOOKUP(E721,Store_Dim!A:A,Store_Dim!B:B,"Not Found")</f>
        <v>North</v>
      </c>
      <c r="S721" s="8" t="str">
        <f t="array" ref="S721">XLOOKUP(E721,Store_Dim!A:A,Store_Dim!D:D,"Not Found")</f>
        <v>Flagship</v>
      </c>
    </row>
    <row r="722" ht="14.25" customHeight="1">
      <c r="A722" s="8" t="s">
        <v>2675</v>
      </c>
      <c r="B722" s="12">
        <v>46200.0</v>
      </c>
      <c r="C722" s="8" t="s">
        <v>1173</v>
      </c>
      <c r="D722" s="8" t="s">
        <v>1784</v>
      </c>
      <c r="E722" s="8" t="s">
        <v>1937</v>
      </c>
      <c r="F722" s="8">
        <v>3.0</v>
      </c>
      <c r="G722" s="8">
        <v>681.58</v>
      </c>
      <c r="H722" s="8">
        <v>0.23</v>
      </c>
      <c r="I722" s="8">
        <f t="shared" si="1"/>
        <v>2044.74</v>
      </c>
      <c r="J722" s="8">
        <f t="shared" si="2"/>
        <v>-470.0602</v>
      </c>
      <c r="K722" s="8" t="str">
        <f t="shared" si="3"/>
        <v>Jun</v>
      </c>
      <c r="L722" s="8">
        <f t="shared" si="4"/>
        <v>2026</v>
      </c>
      <c r="N722" s="8" t="str">
        <f t="array" ref="N722">XLOOKUP(C722,Customer_Dim!A:A,Customer_Dim!B:B,"Not Found")</f>
        <v>James Holloway Jr.</v>
      </c>
      <c r="O722" s="8" t="str">
        <f t="array" ref="O722">XLOOKUP(C722,Customer_Dim!A:A,Customer_Dim!E:E,"Not Found")</f>
        <v>Millston</v>
      </c>
      <c r="P722" s="8" t="str">
        <f t="array" ref="P722">XLOOKUP(D722,Product_Dim!A:A,Product_Dim!B:B,"Not Found")</f>
        <v>Adjustable Dumbbells 20kg</v>
      </c>
      <c r="Q722" s="8" t="str">
        <f t="array" ref="Q722">XLOOKUP(D722,Product_Dim!A:A,Product_Dim!C:C,"Not Found")</f>
        <v>Sports</v>
      </c>
      <c r="R722" s="8" t="str">
        <f t="array" ref="R722">XLOOKUP(E722,Store_Dim!A:A,Store_Dim!B:B,"Not Found")</f>
        <v>North</v>
      </c>
      <c r="S722" s="8" t="str">
        <f t="array" ref="S722">XLOOKUP(E722,Store_Dim!A:A,Store_Dim!D:D,"Not Found")</f>
        <v>Flagship</v>
      </c>
    </row>
    <row r="723" ht="14.25" customHeight="1">
      <c r="A723" s="8" t="s">
        <v>2676</v>
      </c>
      <c r="B723" s="12">
        <v>46201.0</v>
      </c>
      <c r="C723" s="8" t="s">
        <v>597</v>
      </c>
      <c r="D723" s="8" t="s">
        <v>1839</v>
      </c>
      <c r="E723" s="8" t="s">
        <v>1933</v>
      </c>
      <c r="F723" s="8">
        <v>3.0</v>
      </c>
      <c r="G723" s="8">
        <v>71.23</v>
      </c>
      <c r="H723" s="8">
        <v>0.03</v>
      </c>
      <c r="I723" s="8">
        <f t="shared" si="1"/>
        <v>213.69</v>
      </c>
      <c r="J723" s="8">
        <f t="shared" si="2"/>
        <v>-6.3807</v>
      </c>
      <c r="K723" s="8" t="str">
        <f t="shared" si="3"/>
        <v>Jun</v>
      </c>
      <c r="L723" s="8">
        <f t="shared" si="4"/>
        <v>2026</v>
      </c>
      <c r="N723" s="8" t="str">
        <f t="array" ref="N723">XLOOKUP(C723,Customer_Dim!A:A,Customer_Dim!B:B,"Not Found")</f>
        <v>Curtis Lam</v>
      </c>
      <c r="O723" s="8" t="str">
        <f t="array" ref="O723">XLOOKUP(C723,Customer_Dim!A:A,Customer_Dim!E:E,"Not Found")</f>
        <v>Butlerberg</v>
      </c>
      <c r="P723" s="8" t="str">
        <f t="array" ref="P723">XLOOKUP(D723,Product_Dim!A:A,Product_Dim!B:B,"Not Found")</f>
        <v>Hydrating Face Cleanser</v>
      </c>
      <c r="Q723" s="8" t="str">
        <f t="array" ref="Q723">XLOOKUP(D723,Product_Dim!A:A,Product_Dim!C:C,"Not Found")</f>
        <v>Beauty</v>
      </c>
      <c r="R723" s="8" t="str">
        <f t="array" ref="R723">XLOOKUP(E723,Store_Dim!A:A,Store_Dim!B:B,"Not Found")</f>
        <v>North</v>
      </c>
      <c r="S723" s="8" t="str">
        <f t="array" ref="S723">XLOOKUP(E723,Store_Dim!A:A,Store_Dim!D:D,"Not Found")</f>
        <v>Flagship</v>
      </c>
    </row>
    <row r="724" ht="14.25" customHeight="1">
      <c r="A724" s="8" t="s">
        <v>2677</v>
      </c>
      <c r="B724" s="12">
        <v>46202.0</v>
      </c>
      <c r="C724" s="8" t="s">
        <v>788</v>
      </c>
      <c r="D724" s="8" t="s">
        <v>1624</v>
      </c>
      <c r="E724" s="8" t="s">
        <v>1932</v>
      </c>
      <c r="F724" s="8">
        <v>1.0</v>
      </c>
      <c r="G724" s="8">
        <v>31.36</v>
      </c>
      <c r="H724" s="8">
        <v>0.21</v>
      </c>
      <c r="I724" s="8">
        <f t="shared" si="1"/>
        <v>31.36</v>
      </c>
      <c r="J724" s="8">
        <f t="shared" si="2"/>
        <v>-6.3756</v>
      </c>
      <c r="K724" s="8" t="str">
        <f t="shared" si="3"/>
        <v>Jun</v>
      </c>
      <c r="L724" s="8">
        <f t="shared" si="4"/>
        <v>2026</v>
      </c>
      <c r="N724" s="8" t="str">
        <f t="array" ref="N724">XLOOKUP(C724,Customer_Dim!A:A,Customer_Dim!B:B,"Not Found")</f>
        <v>Mr. William Horton</v>
      </c>
      <c r="O724" s="8" t="str">
        <f t="array" ref="O724">XLOOKUP(C724,Customer_Dim!A:A,Customer_Dim!E:E,"Not Found")</f>
        <v>Dawsonchester</v>
      </c>
      <c r="P724" s="8" t="str">
        <f t="array" ref="P724">XLOOKUP(D724,Product_Dim!A:A,Product_Dim!B:B,"Not Found")</f>
        <v>4K Home Projector</v>
      </c>
      <c r="Q724" s="8" t="str">
        <f t="array" ref="Q724">XLOOKUP(D724,Product_Dim!A:A,Product_Dim!C:C,"Not Found")</f>
        <v>Electronics</v>
      </c>
      <c r="R724" s="8" t="str">
        <f t="array" ref="R724">XLOOKUP(E724,Store_Dim!A:A,Store_Dim!B:B,"Not Found")</f>
        <v>South</v>
      </c>
      <c r="S724" s="8" t="str">
        <f t="array" ref="S724">XLOOKUP(E724,Store_Dim!A:A,Store_Dim!D:D,"Not Found")</f>
        <v>Outlet</v>
      </c>
    </row>
    <row r="725" ht="14.25" customHeight="1">
      <c r="A725" s="8" t="s">
        <v>2678</v>
      </c>
      <c r="B725" s="12">
        <v>46203.0</v>
      </c>
      <c r="C725" s="8" t="s">
        <v>1086</v>
      </c>
      <c r="D725" s="8" t="s">
        <v>1710</v>
      </c>
      <c r="E725" s="8" t="s">
        <v>1931</v>
      </c>
      <c r="F725" s="8">
        <v>2.0</v>
      </c>
      <c r="G725" s="8">
        <v>555.55</v>
      </c>
      <c r="H725" s="8">
        <v>0.14</v>
      </c>
      <c r="I725" s="8">
        <f t="shared" si="1"/>
        <v>1111.1</v>
      </c>
      <c r="J725" s="8">
        <f t="shared" si="2"/>
        <v>-155.414</v>
      </c>
      <c r="K725" s="8" t="str">
        <f t="shared" si="3"/>
        <v>Jun</v>
      </c>
      <c r="L725" s="8">
        <f t="shared" si="4"/>
        <v>2026</v>
      </c>
      <c r="N725" s="8" t="str">
        <f t="array" ref="N725">XLOOKUP(C725,Customer_Dim!A:A,Customer_Dim!B:B,"Not Found")</f>
        <v>Angela Williams</v>
      </c>
      <c r="O725" s="8" t="str">
        <f t="array" ref="O725">XLOOKUP(C725,Customer_Dim!A:A,Customer_Dim!E:E,"Not Found")</f>
        <v>Lake Alyssaburgh</v>
      </c>
      <c r="P725" s="8" t="str">
        <f t="array" ref="P725">XLOOKUP(D725,Product_Dim!A:A,Product_Dim!B:B,"Not Found")</f>
        <v>Yoga Exercise Mat</v>
      </c>
      <c r="Q725" s="8" t="str">
        <f t="array" ref="Q725">XLOOKUP(D725,Product_Dim!A:A,Product_Dim!C:C,"Not Found")</f>
        <v>Sports</v>
      </c>
      <c r="R725" s="8" t="str">
        <f t="array" ref="R725">XLOOKUP(E725,Store_Dim!A:A,Store_Dim!B:B,"Not Found")</f>
        <v>East</v>
      </c>
      <c r="S725" s="8" t="str">
        <f t="array" ref="S725">XLOOKUP(E725,Store_Dim!A:A,Store_Dim!D:D,"Not Found")</f>
        <v>Flagship</v>
      </c>
    </row>
    <row r="726" ht="14.25" customHeight="1">
      <c r="A726" s="8" t="s">
        <v>2679</v>
      </c>
      <c r="B726" s="12">
        <v>46204.0</v>
      </c>
      <c r="C726" s="8" t="s">
        <v>818</v>
      </c>
      <c r="D726" s="8" t="s">
        <v>1787</v>
      </c>
      <c r="E726" s="8" t="s">
        <v>1935</v>
      </c>
      <c r="F726" s="8">
        <v>4.0</v>
      </c>
      <c r="G726" s="8">
        <v>805.99</v>
      </c>
      <c r="H726" s="8">
        <v>0.06</v>
      </c>
      <c r="I726" s="8">
        <f t="shared" si="1"/>
        <v>3223.96</v>
      </c>
      <c r="J726" s="8">
        <f t="shared" si="2"/>
        <v>-193.3776</v>
      </c>
      <c r="K726" s="8" t="str">
        <f t="shared" si="3"/>
        <v>Jul</v>
      </c>
      <c r="L726" s="8">
        <f t="shared" si="4"/>
        <v>2026</v>
      </c>
      <c r="N726" s="8" t="str">
        <f t="array" ref="N726">XLOOKUP(C726,Customer_Dim!A:A,Customer_Dim!B:B,"Not Found")</f>
        <v>Tyler Garner</v>
      </c>
      <c r="O726" s="8" t="str">
        <f t="array" ref="O726">XLOOKUP(C726,Customer_Dim!A:A,Customer_Dim!E:E,"Not Found")</f>
        <v>Port Coreyfort</v>
      </c>
      <c r="P726" s="8" t="str">
        <f t="array" ref="P726">XLOOKUP(D726,Product_Dim!A:A,Product_Dim!B:B,"Not Found")</f>
        <v>Women's Hair Dryer Brush</v>
      </c>
      <c r="Q726" s="8" t="str">
        <f t="array" ref="Q726">XLOOKUP(D726,Product_Dim!A:A,Product_Dim!C:C,"Not Found")</f>
        <v>Beauty</v>
      </c>
      <c r="R726" s="8" t="str">
        <f t="array" ref="R726">XLOOKUP(E726,Store_Dim!A:A,Store_Dim!B:B,"Not Found")</f>
        <v>West</v>
      </c>
      <c r="S726" s="8" t="str">
        <f t="array" ref="S726">XLOOKUP(E726,Store_Dim!A:A,Store_Dim!D:D,"Not Found")</f>
        <v>Flagship</v>
      </c>
    </row>
    <row r="727" ht="14.25" customHeight="1">
      <c r="A727" s="8" t="s">
        <v>2680</v>
      </c>
      <c r="B727" s="12">
        <v>46205.0</v>
      </c>
      <c r="C727" s="8" t="s">
        <v>1227</v>
      </c>
      <c r="D727" s="8" t="s">
        <v>1803</v>
      </c>
      <c r="E727" s="8" t="s">
        <v>1903</v>
      </c>
      <c r="F727" s="8">
        <v>1.0</v>
      </c>
      <c r="G727" s="8">
        <v>506.55</v>
      </c>
      <c r="H727" s="8">
        <v>0.28</v>
      </c>
      <c r="I727" s="8">
        <f t="shared" si="1"/>
        <v>506.55</v>
      </c>
      <c r="J727" s="8">
        <f t="shared" si="2"/>
        <v>-141.554</v>
      </c>
      <c r="K727" s="8" t="str">
        <f t="shared" si="3"/>
        <v>Jul</v>
      </c>
      <c r="L727" s="8">
        <f t="shared" si="4"/>
        <v>2026</v>
      </c>
      <c r="N727" s="8" t="str">
        <f t="array" ref="N727">XLOOKUP(C727,Customer_Dim!A:A,Customer_Dim!B:B,"Not Found")</f>
        <v>Timothy Valenzuela</v>
      </c>
      <c r="O727" s="8" t="str">
        <f t="array" ref="O727">XLOOKUP(C727,Customer_Dim!A:A,Customer_Dim!E:E,"Not Found")</f>
        <v>Stevensshire</v>
      </c>
      <c r="P727" s="8" t="str">
        <f t="array" ref="P727">XLOOKUP(D727,Product_Dim!A:A,Product_Dim!B:B,"Not Found")</f>
        <v>Hair Repair Oil Treatment</v>
      </c>
      <c r="Q727" s="8" t="str">
        <f t="array" ref="Q727">XLOOKUP(D727,Product_Dim!A:A,Product_Dim!C:C,"Not Found")</f>
        <v>Beauty</v>
      </c>
      <c r="R727" s="8" t="str">
        <f t="array" ref="R727">XLOOKUP(E727,Store_Dim!A:A,Store_Dim!B:B,"Not Found")</f>
        <v>North</v>
      </c>
      <c r="S727" s="8" t="str">
        <f t="array" ref="S727">XLOOKUP(E727,Store_Dim!A:A,Store_Dim!D:D,"Not Found")</f>
        <v>Flagship</v>
      </c>
    </row>
    <row r="728" ht="14.25" customHeight="1">
      <c r="A728" s="8" t="s">
        <v>2681</v>
      </c>
      <c r="B728" s="12">
        <v>46206.0</v>
      </c>
      <c r="C728" s="8" t="s">
        <v>458</v>
      </c>
      <c r="D728" s="8" t="s">
        <v>1710</v>
      </c>
      <c r="E728" s="8" t="s">
        <v>1928</v>
      </c>
      <c r="F728" s="8">
        <v>3.0</v>
      </c>
      <c r="G728" s="8">
        <v>28.69</v>
      </c>
      <c r="H728" s="8">
        <v>0.02</v>
      </c>
      <c r="I728" s="8">
        <f t="shared" si="1"/>
        <v>86.07</v>
      </c>
      <c r="J728" s="8">
        <f t="shared" si="2"/>
        <v>-1.7014</v>
      </c>
      <c r="K728" s="8" t="str">
        <f t="shared" si="3"/>
        <v>Jul</v>
      </c>
      <c r="L728" s="8">
        <f t="shared" si="4"/>
        <v>2026</v>
      </c>
      <c r="N728" s="8" t="str">
        <f t="array" ref="N728">XLOOKUP(C728,Customer_Dim!A:A,Customer_Dim!B:B,"Not Found")</f>
        <v>Jamie Reyes</v>
      </c>
      <c r="O728" s="8" t="str">
        <f t="array" ref="O728">XLOOKUP(C728,Customer_Dim!A:A,Customer_Dim!E:E,"Not Found")</f>
        <v>   jonesbury </v>
      </c>
      <c r="P728" s="8" t="str">
        <f t="array" ref="P728">XLOOKUP(D728,Product_Dim!A:A,Product_Dim!B:B,"Not Found")</f>
        <v>Yoga Exercise Mat</v>
      </c>
      <c r="Q728" s="8" t="str">
        <f t="array" ref="Q728">XLOOKUP(D728,Product_Dim!A:A,Product_Dim!C:C,"Not Found")</f>
        <v>Sports</v>
      </c>
      <c r="R728" s="8" t="str">
        <f t="array" ref="R728">XLOOKUP(E728,Store_Dim!A:A,Store_Dim!B:B,"Not Found")</f>
        <v>South</v>
      </c>
      <c r="S728" s="8" t="str">
        <f t="array" ref="S728">XLOOKUP(E728,Store_Dim!A:A,Store_Dim!D:D,"Not Found")</f>
        <v>Online</v>
      </c>
    </row>
    <row r="729" ht="14.25" customHeight="1">
      <c r="A729" s="8" t="s">
        <v>2682</v>
      </c>
      <c r="B729" s="12">
        <v>46207.0</v>
      </c>
      <c r="C729" s="8" t="s">
        <v>1224</v>
      </c>
      <c r="D729" s="8" t="s">
        <v>1818</v>
      </c>
      <c r="E729" s="8" t="s">
        <v>1912</v>
      </c>
      <c r="F729" s="8">
        <v>1.0</v>
      </c>
      <c r="G729" s="8">
        <v>106.07</v>
      </c>
      <c r="H729" s="8">
        <v>0.23</v>
      </c>
      <c r="I729" s="8">
        <f t="shared" si="1"/>
        <v>106.07</v>
      </c>
      <c r="J729" s="8">
        <f t="shared" si="2"/>
        <v>-24.1661</v>
      </c>
      <c r="K729" s="8" t="str">
        <f t="shared" si="3"/>
        <v>Jul</v>
      </c>
      <c r="L729" s="8">
        <f t="shared" si="4"/>
        <v>2026</v>
      </c>
      <c r="N729" s="8" t="str">
        <f t="array" ref="N729">XLOOKUP(C729,Customer_Dim!A:A,Customer_Dim!B:B,"Not Found")</f>
        <v>Timothy Gardner</v>
      </c>
      <c r="O729" s="8" t="str">
        <f t="array" ref="O729">XLOOKUP(C729,Customer_Dim!A:A,Customer_Dim!E:E,"Not Found")</f>
        <v>New Dawn</v>
      </c>
      <c r="P729" s="8" t="str">
        <f t="array" ref="P729">XLOOKUP(D729,Product_Dim!A:A,Product_Dim!B:B,"Not Found")</f>
        <v>Wireless Mouse</v>
      </c>
      <c r="Q729" s="8" t="str">
        <f t="array" ref="Q729">XLOOKUP(D729,Product_Dim!A:A,Product_Dim!C:C,"Not Found")</f>
        <v>Electronics</v>
      </c>
      <c r="R729" s="8" t="str">
        <f t="array" ref="R729">XLOOKUP(E729,Store_Dim!A:A,Store_Dim!B:B,"Not Found")</f>
        <v>South</v>
      </c>
      <c r="S729" s="8" t="str">
        <f t="array" ref="S729">XLOOKUP(E729,Store_Dim!A:A,Store_Dim!D:D,"Not Found")</f>
        <v>Online</v>
      </c>
    </row>
    <row r="730" ht="14.25" customHeight="1">
      <c r="A730" s="8" t="s">
        <v>2683</v>
      </c>
      <c r="B730" s="12">
        <v>46208.0</v>
      </c>
      <c r="C730" s="8" t="s">
        <v>845</v>
      </c>
      <c r="D730" s="8" t="s">
        <v>1863</v>
      </c>
      <c r="E730" s="8" t="s">
        <v>1899</v>
      </c>
      <c r="F730" s="8">
        <v>4.0</v>
      </c>
      <c r="G730" s="8">
        <v>289.77</v>
      </c>
      <c r="H730" s="8">
        <v>0.06</v>
      </c>
      <c r="I730" s="8">
        <f t="shared" si="1"/>
        <v>1159.08</v>
      </c>
      <c r="J730" s="8">
        <f t="shared" si="2"/>
        <v>-69.4848</v>
      </c>
      <c r="K730" s="8" t="str">
        <f t="shared" si="3"/>
        <v>Jul</v>
      </c>
      <c r="L730" s="8">
        <f t="shared" si="4"/>
        <v>2026</v>
      </c>
      <c r="N730" s="8" t="str">
        <f t="array" ref="N730">XLOOKUP(C730,Customer_Dim!A:A,Customer_Dim!B:B,"Not Found")</f>
        <v>Russell Lamb</v>
      </c>
      <c r="O730" s="8" t="str">
        <f t="array" ref="O730">XLOOKUP(C730,Customer_Dim!A:A,Customer_Dim!E:E,"Not Found")</f>
        <v>North Jonathon</v>
      </c>
      <c r="P730" s="8" t="str">
        <f t="array" ref="P730">XLOOKUP(D730,Product_Dim!A:A,Product_Dim!B:B,"Not Found")</f>
        <v>Women's High Heels</v>
      </c>
      <c r="Q730" s="8" t="str">
        <f t="array" ref="Q730">XLOOKUP(D730,Product_Dim!A:A,Product_Dim!C:C,"Not Found")</f>
        <v>Clothing</v>
      </c>
      <c r="R730" s="8" t="str">
        <f t="array" ref="R730">XLOOKUP(E730,Store_Dim!A:A,Store_Dim!B:B,"Not Found")</f>
        <v>East</v>
      </c>
      <c r="S730" s="8" t="str">
        <f t="array" ref="S730">XLOOKUP(E730,Store_Dim!A:A,Store_Dim!D:D,"Not Found")</f>
        <v>Flagship</v>
      </c>
    </row>
    <row r="731" ht="14.25" customHeight="1">
      <c r="A731" s="8" t="s">
        <v>2684</v>
      </c>
      <c r="B731" s="12">
        <v>46209.0</v>
      </c>
      <c r="C731" s="8" t="s">
        <v>535</v>
      </c>
      <c r="D731" s="8" t="s">
        <v>1839</v>
      </c>
      <c r="E731" s="8" t="s">
        <v>1939</v>
      </c>
      <c r="F731" s="8">
        <v>2.0</v>
      </c>
      <c r="G731" s="8">
        <v>354.26</v>
      </c>
      <c r="H731" s="8">
        <v>0.01</v>
      </c>
      <c r="I731" s="8">
        <f t="shared" si="1"/>
        <v>708.52</v>
      </c>
      <c r="J731" s="8">
        <f t="shared" si="2"/>
        <v>-7.0752</v>
      </c>
      <c r="K731" s="8" t="str">
        <f t="shared" si="3"/>
        <v>Jul</v>
      </c>
      <c r="L731" s="8">
        <f t="shared" si="4"/>
        <v>2026</v>
      </c>
      <c r="N731" s="8" t="str">
        <f t="array" ref="N731">XLOOKUP(C731,Customer_Dim!A:A,Customer_Dim!B:B,"Not Found")</f>
        <v>Maria Sanchez</v>
      </c>
      <c r="O731" s="8" t="str">
        <f t="array" ref="O731">XLOOKUP(C731,Customer_Dim!A:A,Customer_Dim!E:E,"Not Found")</f>
        <v>East Peterbury</v>
      </c>
      <c r="P731" s="8" t="str">
        <f t="array" ref="P731">XLOOKUP(D731,Product_Dim!A:A,Product_Dim!B:B,"Not Found")</f>
        <v>Hydrating Face Cleanser</v>
      </c>
      <c r="Q731" s="8" t="str">
        <f t="array" ref="Q731">XLOOKUP(D731,Product_Dim!A:A,Product_Dim!C:C,"Not Found")</f>
        <v>Beauty</v>
      </c>
      <c r="R731" s="8" t="str">
        <f t="array" ref="R731">XLOOKUP(E731,Store_Dim!A:A,Store_Dim!B:B,"Not Found")</f>
        <v>East</v>
      </c>
      <c r="S731" s="8" t="str">
        <f t="array" ref="S731">XLOOKUP(E731,Store_Dim!A:A,Store_Dim!D:D,"Not Found")</f>
        <v>Flagship</v>
      </c>
    </row>
    <row r="732" ht="14.25" customHeight="1">
      <c r="A732" s="8" t="s">
        <v>2685</v>
      </c>
      <c r="B732" s="12">
        <v>46210.0</v>
      </c>
      <c r="C732" s="8" t="s">
        <v>1218</v>
      </c>
      <c r="D732" s="8" t="s">
        <v>1793</v>
      </c>
      <c r="E732" s="8" t="s">
        <v>1932</v>
      </c>
      <c r="F732" s="8">
        <v>1.0</v>
      </c>
      <c r="G732" s="8">
        <v>522.72</v>
      </c>
      <c r="H732" s="8">
        <v>0.25</v>
      </c>
      <c r="I732" s="8">
        <f t="shared" si="1"/>
        <v>522.72</v>
      </c>
      <c r="J732" s="8">
        <f t="shared" si="2"/>
        <v>-130.43</v>
      </c>
      <c r="K732" s="8" t="str">
        <f t="shared" si="3"/>
        <v>Jul</v>
      </c>
      <c r="L732" s="8">
        <f t="shared" si="4"/>
        <v>2026</v>
      </c>
      <c r="N732" s="8" t="str">
        <f t="array" ref="N732">XLOOKUP(C732,Customer_Dim!A:A,Customer_Dim!B:B,"Not Found")</f>
        <v>Tammy Brennan</v>
      </c>
      <c r="O732" s="8" t="str">
        <f t="array" ref="O732">XLOOKUP(C732,Customer_Dim!A:A,Customer_Dim!E:E,"Not Found")</f>
        <v>Lake Brandontown</v>
      </c>
      <c r="P732" s="8" t="str">
        <f t="array" ref="P732">XLOOKUP(D732,Product_Dim!A:A,Product_Dim!B:B,"Not Found")</f>
        <v>Wooden Nightstand</v>
      </c>
      <c r="Q732" s="8" t="str">
        <f t="array" ref="Q732">XLOOKUP(D732,Product_Dim!A:A,Product_Dim!C:C,"Not Found")</f>
        <v>Home</v>
      </c>
      <c r="R732" s="8" t="str">
        <f t="array" ref="R732">XLOOKUP(E732,Store_Dim!A:A,Store_Dim!B:B,"Not Found")</f>
        <v>South</v>
      </c>
      <c r="S732" s="8" t="str">
        <f t="array" ref="S732">XLOOKUP(E732,Store_Dim!A:A,Store_Dim!D:D,"Not Found")</f>
        <v>Outlet</v>
      </c>
    </row>
    <row r="733" ht="14.25" customHeight="1">
      <c r="A733" s="8" t="s">
        <v>2686</v>
      </c>
      <c r="B733" s="12">
        <v>46211.0</v>
      </c>
      <c r="C733" s="8" t="s">
        <v>224</v>
      </c>
      <c r="D733" s="8" t="s">
        <v>1583</v>
      </c>
      <c r="E733" s="8" t="s">
        <v>1924</v>
      </c>
      <c r="F733" s="8">
        <v>3.0</v>
      </c>
      <c r="G733" s="8">
        <v>966.02</v>
      </c>
      <c r="H733" s="8">
        <v>0.03</v>
      </c>
      <c r="I733" s="8">
        <f t="shared" si="1"/>
        <v>2898.06</v>
      </c>
      <c r="J733" s="8">
        <f t="shared" si="2"/>
        <v>-86.9118</v>
      </c>
      <c r="K733" s="8" t="str">
        <f t="shared" si="3"/>
        <v>Jul</v>
      </c>
      <c r="L733" s="8">
        <f t="shared" si="4"/>
        <v>2026</v>
      </c>
      <c r="N733" s="8" t="str">
        <f t="array" ref="N733">XLOOKUP(C733,Customer_Dim!A:A,Customer_Dim!B:B,"Not Found")</f>
        <v>Jay Patel</v>
      </c>
      <c r="O733" s="8" t="str">
        <f t="array" ref="O733">XLOOKUP(C733,Customer_Dim!A:A,Customer_Dim!E:E,"Not Found")</f>
        <v>Morrisbury</v>
      </c>
      <c r="P733" s="8" t="str">
        <f t="array" ref="P733">XLOOKUP(D733,Product_Dim!A:A,Product_Dim!B:B,"Not Found")</f>
        <v>Men's Leather Belt</v>
      </c>
      <c r="Q733" s="8" t="str">
        <f t="array" ref="Q733">XLOOKUP(D733,Product_Dim!A:A,Product_Dim!C:C,"Not Found")</f>
        <v>Clothing</v>
      </c>
      <c r="R733" s="8" t="str">
        <f t="array" ref="R733">XLOOKUP(E733,Store_Dim!A:A,Store_Dim!B:B,"Not Found")</f>
        <v>South</v>
      </c>
      <c r="S733" s="8" t="str">
        <f t="array" ref="S733">XLOOKUP(E733,Store_Dim!A:A,Store_Dim!D:D,"Not Found")</f>
        <v>Flagship</v>
      </c>
    </row>
    <row r="734" ht="14.25" customHeight="1">
      <c r="A734" s="8" t="s">
        <v>2687</v>
      </c>
      <c r="B734" s="12">
        <v>46212.0</v>
      </c>
      <c r="C734" s="8" t="s">
        <v>739</v>
      </c>
      <c r="D734" s="8" t="s">
        <v>1739</v>
      </c>
      <c r="E734" s="8" t="s">
        <v>1937</v>
      </c>
      <c r="F734" s="8">
        <v>1.0</v>
      </c>
      <c r="G734" s="8">
        <v>498.61</v>
      </c>
      <c r="H734" s="8">
        <v>0.04</v>
      </c>
      <c r="I734" s="8">
        <f t="shared" si="1"/>
        <v>498.61</v>
      </c>
      <c r="J734" s="8">
        <f t="shared" si="2"/>
        <v>-19.9044</v>
      </c>
      <c r="K734" s="8" t="str">
        <f t="shared" si="3"/>
        <v>Jul</v>
      </c>
      <c r="L734" s="8">
        <f t="shared" si="4"/>
        <v>2026</v>
      </c>
      <c r="N734" s="8" t="str">
        <f t="array" ref="N734">XLOOKUP(C734,Customer_Dim!A:A,Customer_Dim!B:B,"Not Found")</f>
        <v>Anthony Morgan</v>
      </c>
      <c r="O734" s="8" t="str">
        <f t="array" ref="O734">XLOOKUP(C734,Customer_Dim!A:A,Customer_Dim!E:E,"Not Found")</f>
        <v>New Anthonyfurt</v>
      </c>
      <c r="P734" s="8" t="str">
        <f t="array" ref="P734">XLOOKUP(D734,Product_Dim!A:A,Product_Dim!B:B,"Not Found")</f>
        <v>Boxing Hand Wraps</v>
      </c>
      <c r="Q734" s="8" t="str">
        <f t="array" ref="Q734">XLOOKUP(D734,Product_Dim!A:A,Product_Dim!C:C,"Not Found")</f>
        <v>Sports</v>
      </c>
      <c r="R734" s="8" t="str">
        <f t="array" ref="R734">XLOOKUP(E734,Store_Dim!A:A,Store_Dim!B:B,"Not Found")</f>
        <v>North</v>
      </c>
      <c r="S734" s="8" t="str">
        <f t="array" ref="S734">XLOOKUP(E734,Store_Dim!A:A,Store_Dim!D:D,"Not Found")</f>
        <v>Flagship</v>
      </c>
    </row>
    <row r="735" ht="14.25" customHeight="1">
      <c r="A735" s="8" t="s">
        <v>2688</v>
      </c>
      <c r="B735" s="12">
        <v>46213.0</v>
      </c>
      <c r="C735" s="8" t="s">
        <v>1053</v>
      </c>
      <c r="D735" s="8" t="s">
        <v>1713</v>
      </c>
      <c r="E735" s="8" t="s">
        <v>1917</v>
      </c>
      <c r="F735" s="8">
        <v>4.0</v>
      </c>
      <c r="G735" s="8">
        <v>758.27</v>
      </c>
      <c r="H735" s="8">
        <v>0.05</v>
      </c>
      <c r="I735" s="8">
        <f t="shared" si="1"/>
        <v>3033.08</v>
      </c>
      <c r="J735" s="8">
        <f t="shared" si="2"/>
        <v>-151.604</v>
      </c>
      <c r="K735" s="8" t="str">
        <f t="shared" si="3"/>
        <v>Jul</v>
      </c>
      <c r="L735" s="8">
        <f t="shared" si="4"/>
        <v>2026</v>
      </c>
      <c r="N735" s="8" t="str">
        <f t="array" ref="N735">XLOOKUP(C735,Customer_Dim!A:A,Customer_Dim!B:B,"Not Found")</f>
        <v>Pamela Mcguire</v>
      </c>
      <c r="O735" s="8" t="str">
        <f t="array" ref="O735">XLOOKUP(C735,Customer_Dim!A:A,Customer_Dim!E:E,"Not Found")</f>
        <v>South Jasontown</v>
      </c>
      <c r="P735" s="8" t="str">
        <f t="array" ref="P735">XLOOKUP(D735,Product_Dim!A:A,Product_Dim!B:B,"Not Found")</f>
        <v>Smart Home WiFi Camera</v>
      </c>
      <c r="Q735" s="8" t="str">
        <f t="array" ref="Q735">XLOOKUP(D735,Product_Dim!A:A,Product_Dim!C:C,"Not Found")</f>
        <v>Electronics</v>
      </c>
      <c r="R735" s="8" t="str">
        <f t="array" ref="R735">XLOOKUP(E735,Store_Dim!A:A,Store_Dim!B:B,"Not Found")</f>
        <v>East</v>
      </c>
      <c r="S735" s="8" t="str">
        <f t="array" ref="S735">XLOOKUP(E735,Store_Dim!A:A,Store_Dim!D:D,"Not Found")</f>
        <v>Online</v>
      </c>
    </row>
    <row r="736" ht="14.25" customHeight="1">
      <c r="A736" s="8" t="s">
        <v>2689</v>
      </c>
      <c r="B736" s="12">
        <v>46214.0</v>
      </c>
      <c r="C736" s="8" t="s">
        <v>660</v>
      </c>
      <c r="D736" s="8" t="s">
        <v>2052</v>
      </c>
      <c r="E736" s="8" t="s">
        <v>1906</v>
      </c>
      <c r="F736" s="8">
        <v>2.0</v>
      </c>
      <c r="G736" s="8">
        <v>371.03</v>
      </c>
      <c r="H736" s="8">
        <v>0.23</v>
      </c>
      <c r="I736" s="8">
        <f t="shared" si="1"/>
        <v>742.06</v>
      </c>
      <c r="J736" s="8">
        <f t="shared" si="2"/>
        <v>-170.4438</v>
      </c>
      <c r="K736" s="8" t="str">
        <f t="shared" si="3"/>
        <v>Jul</v>
      </c>
      <c r="L736" s="8">
        <f t="shared" si="4"/>
        <v>2026</v>
      </c>
      <c r="N736" s="8" t="str">
        <f t="array" ref="N736">XLOOKUP(C736,Customer_Dim!A:A,Customer_Dim!B:B,"Not Found")</f>
        <v>Wanda Snyder</v>
      </c>
      <c r="O736" s="8" t="str">
        <f t="array" ref="O736">XLOOKUP(C736,Customer_Dim!A:A,Customer_Dim!E:E,"Not Found")</f>
        <v>Frostmouth</v>
      </c>
      <c r="P736" s="8" t="str">
        <f t="array" ref="P736">XLOOKUP(D736,Product_Dim!A:A,Product_Dim!B:B,"Not Found")</f>
        <v>Not Found</v>
      </c>
      <c r="Q736" s="8" t="str">
        <f t="array" ref="Q736">XLOOKUP(D736,Product_Dim!A:A,Product_Dim!C:C,"Not Found")</f>
        <v>Not Found</v>
      </c>
      <c r="R736" s="8" t="str">
        <f t="array" ref="R736">XLOOKUP(E736,Store_Dim!A:A,Store_Dim!B:B,"Not Found")</f>
        <v>South</v>
      </c>
      <c r="S736" s="8" t="str">
        <f t="array" ref="S736">XLOOKUP(E736,Store_Dim!A:A,Store_Dim!D:D,"Not Found")</f>
        <v>Outlet</v>
      </c>
    </row>
    <row r="737" ht="14.25" customHeight="1">
      <c r="A737" s="8" t="s">
        <v>2690</v>
      </c>
      <c r="B737" s="12">
        <v>46215.0</v>
      </c>
      <c r="C737" s="8" t="s">
        <v>1128</v>
      </c>
      <c r="D737" s="8" t="s">
        <v>1863</v>
      </c>
      <c r="E737" s="8" t="s">
        <v>1937</v>
      </c>
      <c r="F737" s="8">
        <v>1.0</v>
      </c>
      <c r="G737" s="8">
        <v>230.32</v>
      </c>
      <c r="H737" s="8">
        <v>0.05</v>
      </c>
      <c r="I737" s="8">
        <f t="shared" si="1"/>
        <v>230.32</v>
      </c>
      <c r="J737" s="8">
        <f t="shared" si="2"/>
        <v>-11.466</v>
      </c>
      <c r="K737" s="8" t="str">
        <f t="shared" si="3"/>
        <v>Jul</v>
      </c>
      <c r="L737" s="8">
        <f t="shared" si="4"/>
        <v>2026</v>
      </c>
      <c r="N737" s="8" t="str">
        <f t="array" ref="N737">XLOOKUP(C737,Customer_Dim!A:A,Customer_Dim!B:B,"Not Found")</f>
        <v>Carlos Flores</v>
      </c>
      <c r="O737" s="8" t="str">
        <f t="array" ref="O737">XLOOKUP(C737,Customer_Dim!A:A,Customer_Dim!E:E,"Not Found")</f>
        <v>North Johnfurt</v>
      </c>
      <c r="P737" s="8" t="str">
        <f t="array" ref="P737">XLOOKUP(D737,Product_Dim!A:A,Product_Dim!B:B,"Not Found")</f>
        <v>Women's High Heels</v>
      </c>
      <c r="Q737" s="8" t="str">
        <f t="array" ref="Q737">XLOOKUP(D737,Product_Dim!A:A,Product_Dim!C:C,"Not Found")</f>
        <v>Clothing</v>
      </c>
      <c r="R737" s="8" t="str">
        <f t="array" ref="R737">XLOOKUP(E737,Store_Dim!A:A,Store_Dim!B:B,"Not Found")</f>
        <v>North</v>
      </c>
      <c r="S737" s="8" t="str">
        <f t="array" ref="S737">XLOOKUP(E737,Store_Dim!A:A,Store_Dim!D:D,"Not Found")</f>
        <v>Flagship</v>
      </c>
    </row>
    <row r="738" ht="14.25" customHeight="1">
      <c r="A738" s="8" t="s">
        <v>2691</v>
      </c>
      <c r="B738" s="12">
        <v>46216.0</v>
      </c>
      <c r="C738" s="8" t="s">
        <v>1089</v>
      </c>
      <c r="D738" s="8" t="s">
        <v>1772</v>
      </c>
      <c r="E738" s="8" t="s">
        <v>1917</v>
      </c>
      <c r="F738" s="8">
        <v>2.0</v>
      </c>
      <c r="G738" s="8">
        <v>985.43</v>
      </c>
      <c r="H738" s="8">
        <v>0.28</v>
      </c>
      <c r="I738" s="8">
        <f t="shared" si="1"/>
        <v>1970.86</v>
      </c>
      <c r="J738" s="8">
        <f t="shared" si="2"/>
        <v>-551.5608</v>
      </c>
      <c r="K738" s="8" t="str">
        <f t="shared" si="3"/>
        <v>Jul</v>
      </c>
      <c r="L738" s="8">
        <f t="shared" si="4"/>
        <v>2026</v>
      </c>
      <c r="N738" s="8" t="str">
        <f t="array" ref="N738">XLOOKUP(C738,Customer_Dim!A:A,Customer_Dim!B:B,"Not Found")</f>
        <v>Michelle Cunningham</v>
      </c>
      <c r="O738" s="8" t="str">
        <f t="array" ref="O738">XLOOKUP(C738,Customer_Dim!A:A,Customer_Dim!E:E,"Not Found")</f>
        <v>Amandaborough</v>
      </c>
      <c r="P738" s="8" t="str">
        <f t="array" ref="P738">XLOOKUP(D738,Product_Dim!A:A,Product_Dim!B:B,"Not Found")</f>
        <v>Tennis Ball 3-Pack</v>
      </c>
      <c r="Q738" s="8" t="str">
        <f t="array" ref="Q738">XLOOKUP(D738,Product_Dim!A:A,Product_Dim!C:C,"Not Found")</f>
        <v>Sports</v>
      </c>
      <c r="R738" s="8" t="str">
        <f t="array" ref="R738">XLOOKUP(E738,Store_Dim!A:A,Store_Dim!B:B,"Not Found")</f>
        <v>East</v>
      </c>
      <c r="S738" s="8" t="str">
        <f t="array" ref="S738">XLOOKUP(E738,Store_Dim!A:A,Store_Dim!D:D,"Not Found")</f>
        <v>Online</v>
      </c>
    </row>
    <row r="739" ht="14.25" customHeight="1">
      <c r="A739" s="8" t="s">
        <v>2692</v>
      </c>
      <c r="B739" s="12">
        <v>46217.0</v>
      </c>
      <c r="C739" s="8" t="s">
        <v>1326</v>
      </c>
      <c r="D739" s="8" t="s">
        <v>1601</v>
      </c>
      <c r="E739" s="8" t="s">
        <v>1912</v>
      </c>
      <c r="F739" s="8">
        <v>2.0</v>
      </c>
      <c r="G739" s="8">
        <v>492.5</v>
      </c>
      <c r="H739" s="8">
        <v>0.3</v>
      </c>
      <c r="I739" s="8">
        <f t="shared" si="1"/>
        <v>985</v>
      </c>
      <c r="J739" s="8">
        <f t="shared" si="2"/>
        <v>-295.2</v>
      </c>
      <c r="K739" s="8" t="str">
        <f t="shared" si="3"/>
        <v>Jul</v>
      </c>
      <c r="L739" s="8">
        <f t="shared" si="4"/>
        <v>2026</v>
      </c>
      <c r="N739" s="8" t="str">
        <f t="array" ref="N739">XLOOKUP(C739,Customer_Dim!A:A,Customer_Dim!B:B,"Not Found")</f>
        <v>Brittany Edwards DDS</v>
      </c>
      <c r="O739" s="8" t="str">
        <f t="array" ref="O739">XLOOKUP(C739,Customer_Dim!A:A,Customer_Dim!E:E,"Not Found")</f>
        <v>Aliciahaven</v>
      </c>
      <c r="P739" s="8" t="str">
        <f t="array" ref="P739">XLOOKUP(D739,Product_Dim!A:A,Product_Dim!B:B,"Not Found")</f>
        <v>Adjustable Dumbbell Set</v>
      </c>
      <c r="Q739" s="8" t="str">
        <f t="array" ref="Q739">XLOOKUP(D739,Product_Dim!A:A,Product_Dim!C:C,"Not Found")</f>
        <v>Sports</v>
      </c>
      <c r="R739" s="8" t="str">
        <f t="array" ref="R739">XLOOKUP(E739,Store_Dim!A:A,Store_Dim!B:B,"Not Found")</f>
        <v>South</v>
      </c>
      <c r="S739" s="8" t="str">
        <f t="array" ref="S739">XLOOKUP(E739,Store_Dim!A:A,Store_Dim!D:D,"Not Found")</f>
        <v>Online</v>
      </c>
    </row>
    <row r="740" ht="14.25" customHeight="1">
      <c r="A740" s="8" t="s">
        <v>2693</v>
      </c>
      <c r="B740" s="12">
        <v>46218.0</v>
      </c>
      <c r="C740" s="8" t="s">
        <v>1155</v>
      </c>
      <c r="D740" s="8" t="s">
        <v>1725</v>
      </c>
      <c r="E740" s="8" t="s">
        <v>1928</v>
      </c>
      <c r="F740" s="8">
        <v>2.0</v>
      </c>
      <c r="G740" s="8">
        <v>213.69</v>
      </c>
      <c r="H740" s="8">
        <v>0.28</v>
      </c>
      <c r="I740" s="8">
        <f t="shared" si="1"/>
        <v>427.38</v>
      </c>
      <c r="J740" s="8">
        <f t="shared" si="2"/>
        <v>-119.3864</v>
      </c>
      <c r="K740" s="8" t="str">
        <f t="shared" si="3"/>
        <v>Jul</v>
      </c>
      <c r="L740" s="8">
        <f t="shared" si="4"/>
        <v>2026</v>
      </c>
      <c r="N740" s="8" t="str">
        <f t="array" ref="N740">XLOOKUP(C740,Customer_Dim!A:A,Customer_Dim!B:B,"Not Found")</f>
        <v>Chloe Aguilar</v>
      </c>
      <c r="O740" s="8" t="str">
        <f t="array" ref="O740">XLOOKUP(C740,Customer_Dim!A:A,Customer_Dim!E:E,"Not Found")</f>
        <v>Lake Johnside</v>
      </c>
      <c r="P740" s="8" t="str">
        <f t="array" ref="P740">XLOOKUP(D740,Product_Dim!A:A,Product_Dim!B:B,"Not Found")</f>
        <v>Men's Winter Jacket</v>
      </c>
      <c r="Q740" s="8" t="str">
        <f t="array" ref="Q740">XLOOKUP(D740,Product_Dim!A:A,Product_Dim!C:C,"Not Found")</f>
        <v>Clothing</v>
      </c>
      <c r="R740" s="8" t="str">
        <f t="array" ref="R740">XLOOKUP(E740,Store_Dim!A:A,Store_Dim!B:B,"Not Found")</f>
        <v>South</v>
      </c>
      <c r="S740" s="8" t="str">
        <f t="array" ref="S740">XLOOKUP(E740,Store_Dim!A:A,Store_Dim!D:D,"Not Found")</f>
        <v>Online</v>
      </c>
    </row>
    <row r="741" ht="14.25" customHeight="1">
      <c r="A741" s="8" t="s">
        <v>2694</v>
      </c>
      <c r="B741" s="12">
        <v>46219.0</v>
      </c>
      <c r="C741" s="8" t="s">
        <v>251</v>
      </c>
      <c r="D741" s="8" t="s">
        <v>1642</v>
      </c>
      <c r="E741" s="8" t="s">
        <v>1921</v>
      </c>
      <c r="F741" s="8">
        <v>4.0</v>
      </c>
      <c r="G741" s="8">
        <v>618.83</v>
      </c>
      <c r="H741" s="8">
        <v>0.08</v>
      </c>
      <c r="I741" s="8">
        <f t="shared" si="1"/>
        <v>2475.32</v>
      </c>
      <c r="J741" s="8">
        <f t="shared" si="2"/>
        <v>-197.9456</v>
      </c>
      <c r="K741" s="8" t="str">
        <f t="shared" si="3"/>
        <v>Jul</v>
      </c>
      <c r="L741" s="8">
        <f t="shared" si="4"/>
        <v>2026</v>
      </c>
      <c r="N741" s="8" t="str">
        <f t="array" ref="N741">XLOOKUP(C741,Customer_Dim!A:A,Customer_Dim!B:B,"Not Found")</f>
        <v>Michael Thomas</v>
      </c>
      <c r="O741" s="8" t="str">
        <f t="array" ref="O741">XLOOKUP(C741,Customer_Dim!A:A,Customer_Dim!E:E,"Not Found")</f>
        <v>Woodmouth</v>
      </c>
      <c r="P741" s="8" t="str">
        <f t="array" ref="P741">XLOOKUP(D741,Product_Dim!A:A,Product_Dim!B:B,"Not Found")</f>
        <v>Outdoor Sports Water Bottle</v>
      </c>
      <c r="Q741" s="8" t="str">
        <f t="array" ref="Q741">XLOOKUP(D741,Product_Dim!A:A,Product_Dim!C:C,"Not Found")</f>
        <v>Sports</v>
      </c>
      <c r="R741" s="8" t="str">
        <f t="array" ref="R741">XLOOKUP(E741,Store_Dim!A:A,Store_Dim!B:B,"Not Found")</f>
        <v>West</v>
      </c>
      <c r="S741" s="8" t="str">
        <f t="array" ref="S741">XLOOKUP(E741,Store_Dim!A:A,Store_Dim!D:D,"Not Found")</f>
        <v>Online</v>
      </c>
    </row>
    <row r="742" ht="14.25" customHeight="1">
      <c r="A742" s="8" t="s">
        <v>2695</v>
      </c>
      <c r="B742" s="12">
        <v>46220.0</v>
      </c>
      <c r="C742" s="8" t="s">
        <v>345</v>
      </c>
      <c r="D742" s="8" t="s">
        <v>1766</v>
      </c>
      <c r="E742" s="8" t="s">
        <v>1928</v>
      </c>
      <c r="F742" s="8">
        <v>2.0</v>
      </c>
      <c r="G742" s="8">
        <v>81.16</v>
      </c>
      <c r="H742" s="8">
        <v>0.16</v>
      </c>
      <c r="I742" s="8">
        <f t="shared" si="1"/>
        <v>162.32</v>
      </c>
      <c r="J742" s="8">
        <f t="shared" si="2"/>
        <v>-25.8112</v>
      </c>
      <c r="K742" s="8" t="str">
        <f t="shared" si="3"/>
        <v>Jul</v>
      </c>
      <c r="L742" s="8">
        <f t="shared" si="4"/>
        <v>2026</v>
      </c>
      <c r="N742" s="8" t="str">
        <f t="array" ref="N742">XLOOKUP(C742,Customer_Dim!A:A,Customer_Dim!B:B,"Not Found")</f>
        <v>Christy Vasquez</v>
      </c>
      <c r="O742" s="8" t="str">
        <f t="array" ref="O742">XLOOKUP(C742,Customer_Dim!A:A,Customer_Dim!E:E,"Not Found")</f>
        <v>Port Travisstad</v>
      </c>
      <c r="P742" s="8" t="str">
        <f t="array" ref="P742">XLOOKUP(D742,Product_Dim!A:A,Product_Dim!B:B,"Not Found")</f>
        <v>Men's Hair Styling Gel</v>
      </c>
      <c r="Q742" s="8" t="str">
        <f t="array" ref="Q742">XLOOKUP(D742,Product_Dim!A:A,Product_Dim!C:C,"Not Found")</f>
        <v>Beauty</v>
      </c>
      <c r="R742" s="8" t="str">
        <f t="array" ref="R742">XLOOKUP(E742,Store_Dim!A:A,Store_Dim!B:B,"Not Found")</f>
        <v>South</v>
      </c>
      <c r="S742" s="8" t="str">
        <f t="array" ref="S742">XLOOKUP(E742,Store_Dim!A:A,Store_Dim!D:D,"Not Found")</f>
        <v>Online</v>
      </c>
    </row>
    <row r="743" ht="14.25" customHeight="1">
      <c r="A743" s="8" t="s">
        <v>2696</v>
      </c>
      <c r="B743" s="12">
        <v>46221.0</v>
      </c>
      <c r="C743" s="8" t="s">
        <v>26</v>
      </c>
      <c r="D743" s="8" t="s">
        <v>1848</v>
      </c>
      <c r="E743" s="8" t="s">
        <v>1924</v>
      </c>
      <c r="F743" s="8">
        <v>1.0</v>
      </c>
      <c r="G743" s="8">
        <v>431.69</v>
      </c>
      <c r="H743" s="8">
        <v>0.09</v>
      </c>
      <c r="I743" s="8">
        <f t="shared" si="1"/>
        <v>431.69</v>
      </c>
      <c r="J743" s="8">
        <f t="shared" si="2"/>
        <v>-38.7621</v>
      </c>
      <c r="K743" s="8" t="str">
        <f t="shared" si="3"/>
        <v>Jul</v>
      </c>
      <c r="L743" s="8">
        <f t="shared" si="4"/>
        <v>2026</v>
      </c>
      <c r="N743" s="8" t="str">
        <f t="array" ref="N743">XLOOKUP(C743,Customer_Dim!A:A,Customer_Dim!B:B,"Not Found")</f>
        <v>dr. Benjamin Price</v>
      </c>
      <c r="O743" s="8" t="str">
        <f t="array" ref="O743">XLOOKUP(C743,Customer_Dim!A:A,Customer_Dim!E:E,"Not Found")</f>
        <v>Kylebury</v>
      </c>
      <c r="P743" s="8" t="str">
        <f t="array" ref="P743">XLOOKUP(D743,Product_Dim!A:A,Product_Dim!B:B,"Not Found")</f>
        <v>Kitchen Cutting Board</v>
      </c>
      <c r="Q743" s="8" t="str">
        <f t="array" ref="Q743">XLOOKUP(D743,Product_Dim!A:A,Product_Dim!C:C,"Not Found")</f>
        <v>Home</v>
      </c>
      <c r="R743" s="8" t="str">
        <f t="array" ref="R743">XLOOKUP(E743,Store_Dim!A:A,Store_Dim!B:B,"Not Found")</f>
        <v>South</v>
      </c>
      <c r="S743" s="8" t="str">
        <f t="array" ref="S743">XLOOKUP(E743,Store_Dim!A:A,Store_Dim!D:D,"Not Found")</f>
        <v>Flagship</v>
      </c>
    </row>
    <row r="744" ht="14.25" customHeight="1">
      <c r="A744" s="8" t="s">
        <v>2697</v>
      </c>
      <c r="B744" s="12">
        <v>46222.0</v>
      </c>
      <c r="C744" s="8" t="s">
        <v>1276</v>
      </c>
      <c r="D744" s="8" t="s">
        <v>1635</v>
      </c>
      <c r="E744" s="8" t="s">
        <v>1915</v>
      </c>
      <c r="F744" s="8">
        <v>3.0</v>
      </c>
      <c r="G744" s="8">
        <v>438.65</v>
      </c>
      <c r="H744" s="8">
        <v>0.29</v>
      </c>
      <c r="I744" s="8">
        <f t="shared" si="1"/>
        <v>1315.95</v>
      </c>
      <c r="J744" s="8">
        <f t="shared" si="2"/>
        <v>-381.3355</v>
      </c>
      <c r="K744" s="8" t="str">
        <f t="shared" si="3"/>
        <v>Jul</v>
      </c>
      <c r="L744" s="8">
        <f t="shared" si="4"/>
        <v>2026</v>
      </c>
      <c r="N744" s="8" t="str">
        <f t="array" ref="N744">XLOOKUP(C744,Customer_Dim!A:A,Customer_Dim!B:B,"Not Found")</f>
        <v>Eric Wolfe</v>
      </c>
      <c r="O744" s="8" t="str">
        <f t="array" ref="O744">XLOOKUP(C744,Customer_Dim!A:A,Customer_Dim!E:E,"Not Found")</f>
        <v>Garciaview</v>
      </c>
      <c r="P744" s="8" t="str">
        <f t="array" ref="P744">XLOOKUP(D744,Product_Dim!A:A,Product_Dim!B:B,"Not Found")</f>
        <v>Women's Denim Jeans</v>
      </c>
      <c r="Q744" s="8" t="str">
        <f t="array" ref="Q744">XLOOKUP(D744,Product_Dim!A:A,Product_Dim!C:C,"Not Found")</f>
        <v>Clothing</v>
      </c>
      <c r="R744" s="8" t="str">
        <f t="array" ref="R744">XLOOKUP(E744,Store_Dim!A:A,Store_Dim!B:B,"Not Found")</f>
        <v>North</v>
      </c>
      <c r="S744" s="8" t="str">
        <f t="array" ref="S744">XLOOKUP(E744,Store_Dim!A:A,Store_Dim!D:D,"Not Found")</f>
        <v>Outlet</v>
      </c>
    </row>
    <row r="745" ht="14.25" customHeight="1">
      <c r="A745" s="8" t="s">
        <v>2698</v>
      </c>
      <c r="B745" s="12">
        <v>46223.0</v>
      </c>
      <c r="C745" s="8" t="s">
        <v>583</v>
      </c>
      <c r="D745" s="8" t="s">
        <v>1827</v>
      </c>
      <c r="E745" s="8" t="s">
        <v>1910</v>
      </c>
      <c r="F745" s="8">
        <v>3.0</v>
      </c>
      <c r="G745" s="8">
        <v>339.41</v>
      </c>
      <c r="H745" s="8">
        <v>0.26</v>
      </c>
      <c r="I745" s="8">
        <f t="shared" si="1"/>
        <v>1018.23</v>
      </c>
      <c r="J745" s="8">
        <f t="shared" si="2"/>
        <v>-264.4798</v>
      </c>
      <c r="K745" s="8" t="str">
        <f t="shared" si="3"/>
        <v>Jul</v>
      </c>
      <c r="L745" s="8">
        <f t="shared" si="4"/>
        <v>2026</v>
      </c>
      <c r="N745" s="8" t="str">
        <f t="array" ref="N745">XLOOKUP(C745,Customer_Dim!A:A,Customer_Dim!B:B,"Not Found")</f>
        <v>Thomas Rhodes</v>
      </c>
      <c r="O745" s="8" t="str">
        <f t="array" ref="O745">XLOOKUP(C745,Customer_Dim!A:A,Customer_Dim!E:E,"Not Found")</f>
        <v>Port Richard</v>
      </c>
      <c r="P745" s="8" t="str">
        <f t="array" ref="P745">XLOOKUP(D745,Product_Dim!A:A,Product_Dim!B:B,"Not Found")</f>
        <v>Decorative Lamp Shade</v>
      </c>
      <c r="Q745" s="8" t="str">
        <f t="array" ref="Q745">XLOOKUP(D745,Product_Dim!A:A,Product_Dim!C:C,"Not Found")</f>
        <v>Home</v>
      </c>
      <c r="R745" s="8" t="str">
        <f t="array" ref="R745">XLOOKUP(E745,Store_Dim!A:A,Store_Dim!B:B,"Not Found")</f>
        <v>North</v>
      </c>
      <c r="S745" s="8" t="str">
        <f t="array" ref="S745">XLOOKUP(E745,Store_Dim!A:A,Store_Dim!D:D,"Not Found")</f>
        <v>Outlet</v>
      </c>
    </row>
    <row r="746" ht="14.25" customHeight="1">
      <c r="A746" s="8" t="s">
        <v>2699</v>
      </c>
      <c r="B746" s="12">
        <v>46224.0</v>
      </c>
      <c r="C746" s="8" t="s">
        <v>1465</v>
      </c>
      <c r="D746" s="8" t="s">
        <v>1827</v>
      </c>
      <c r="E746" s="8" t="s">
        <v>1924</v>
      </c>
      <c r="F746" s="8">
        <v>4.0</v>
      </c>
      <c r="G746" s="8">
        <v>848.47</v>
      </c>
      <c r="H746" s="8">
        <v>0.21</v>
      </c>
      <c r="I746" s="8">
        <f t="shared" si="1"/>
        <v>3393.88</v>
      </c>
      <c r="J746" s="8">
        <f t="shared" si="2"/>
        <v>-712.5048</v>
      </c>
      <c r="K746" s="8" t="str">
        <f t="shared" si="3"/>
        <v>Jul</v>
      </c>
      <c r="L746" s="8">
        <f t="shared" si="4"/>
        <v>2026</v>
      </c>
      <c r="N746" s="8" t="str">
        <f t="array" ref="N746">XLOOKUP(C746,Customer_Dim!A:A,Customer_Dim!B:B,"Not Found")</f>
        <v>Manuel Fisher</v>
      </c>
      <c r="O746" s="8" t="str">
        <f t="array" ref="O746">XLOOKUP(C746,Customer_Dim!A:A,Customer_Dim!E:E,"Not Found")</f>
        <v>Kanebury</v>
      </c>
      <c r="P746" s="8" t="str">
        <f t="array" ref="P746">XLOOKUP(D746,Product_Dim!A:A,Product_Dim!B:B,"Not Found")</f>
        <v>Decorative Lamp Shade</v>
      </c>
      <c r="Q746" s="8" t="str">
        <f t="array" ref="Q746">XLOOKUP(D746,Product_Dim!A:A,Product_Dim!C:C,"Not Found")</f>
        <v>Home</v>
      </c>
      <c r="R746" s="8" t="str">
        <f t="array" ref="R746">XLOOKUP(E746,Store_Dim!A:A,Store_Dim!B:B,"Not Found")</f>
        <v>South</v>
      </c>
      <c r="S746" s="8" t="str">
        <f t="array" ref="S746">XLOOKUP(E746,Store_Dim!A:A,Store_Dim!D:D,"Not Found")</f>
        <v>Flagship</v>
      </c>
    </row>
    <row r="747" ht="14.25" customHeight="1">
      <c r="A747" s="8" t="s">
        <v>2700</v>
      </c>
      <c r="B747" s="12">
        <v>46225.0</v>
      </c>
      <c r="C747" s="8" t="s">
        <v>643</v>
      </c>
      <c r="D747" s="8" t="s">
        <v>1790</v>
      </c>
      <c r="E747" s="8" t="s">
        <v>1921</v>
      </c>
      <c r="F747" s="8">
        <v>1.0</v>
      </c>
      <c r="G747" s="8">
        <v>664.87</v>
      </c>
      <c r="H747" s="8">
        <v>0.08</v>
      </c>
      <c r="I747" s="8">
        <f t="shared" si="1"/>
        <v>664.87</v>
      </c>
      <c r="J747" s="8">
        <f t="shared" si="2"/>
        <v>-53.1096</v>
      </c>
      <c r="K747" s="8" t="str">
        <f t="shared" si="3"/>
        <v>Jul</v>
      </c>
      <c r="L747" s="8">
        <f t="shared" si="4"/>
        <v>2026</v>
      </c>
      <c r="N747" s="8" t="str">
        <f t="array" ref="N747">XLOOKUP(C747,Customer_Dim!A:A,Customer_Dim!B:B,"Not Found")</f>
        <v>Jacob Wood</v>
      </c>
      <c r="O747" s="8" t="str">
        <f t="array" ref="O747">XLOOKUP(C747,Customer_Dim!A:A,Customer_Dim!E:E,"Not Found")</f>
        <v>Lake Samanthafort</v>
      </c>
      <c r="P747" s="8" t="str">
        <f t="array" ref="P747">XLOOKUP(D747,Product_Dim!A:A,Product_Dim!B:B,"Not Found")</f>
        <v>Smart LED Light Strip</v>
      </c>
      <c r="Q747" s="8" t="str">
        <f t="array" ref="Q747">XLOOKUP(D747,Product_Dim!A:A,Product_Dim!C:C,"Not Found")</f>
        <v>Electronics</v>
      </c>
      <c r="R747" s="8" t="str">
        <f t="array" ref="R747">XLOOKUP(E747,Store_Dim!A:A,Store_Dim!B:B,"Not Found")</f>
        <v>West</v>
      </c>
      <c r="S747" s="8" t="str">
        <f t="array" ref="S747">XLOOKUP(E747,Store_Dim!A:A,Store_Dim!D:D,"Not Found")</f>
        <v>Online</v>
      </c>
    </row>
    <row r="748" ht="14.25" customHeight="1">
      <c r="A748" s="8" t="s">
        <v>2701</v>
      </c>
      <c r="B748" s="12">
        <v>46226.0</v>
      </c>
      <c r="C748" s="8" t="s">
        <v>363</v>
      </c>
      <c r="D748" s="8" t="s">
        <v>1655</v>
      </c>
      <c r="E748" s="8" t="s">
        <v>1919</v>
      </c>
      <c r="F748" s="8">
        <v>1.0</v>
      </c>
      <c r="G748" s="8">
        <v>412.11</v>
      </c>
      <c r="H748" s="8">
        <v>0.23</v>
      </c>
      <c r="I748" s="8">
        <f t="shared" si="1"/>
        <v>412.11</v>
      </c>
      <c r="J748" s="8">
        <f t="shared" si="2"/>
        <v>-94.5553</v>
      </c>
      <c r="K748" s="8" t="str">
        <f t="shared" si="3"/>
        <v>Jul</v>
      </c>
      <c r="L748" s="8">
        <f t="shared" si="4"/>
        <v>2026</v>
      </c>
      <c r="N748" s="8" t="str">
        <f t="array" ref="N748">XLOOKUP(C748,Customer_Dim!A:A,Customer_Dim!B:B,"Not Found")</f>
        <v>Sheila Wilson</v>
      </c>
      <c r="O748" s="8" t="str">
        <f t="array" ref="O748">XLOOKUP(C748,Customer_Dim!A:A,Customer_Dim!E:E,"Not Found")</f>
        <v>South Dustin</v>
      </c>
      <c r="P748" s="8" t="str">
        <f t="array" ref="P748">XLOOKUP(D748,Product_Dim!A:A,Product_Dim!B:B,"Not Found")</f>
        <v>Foldable Camping Chair</v>
      </c>
      <c r="Q748" s="8" t="str">
        <f t="array" ref="Q748">XLOOKUP(D748,Product_Dim!A:A,Product_Dim!C:C,"Not Found")</f>
        <v>Sports</v>
      </c>
      <c r="R748" s="8" t="str">
        <f t="array" ref="R748">XLOOKUP(E748,Store_Dim!A:A,Store_Dim!B:B,"Not Found")</f>
        <v>South</v>
      </c>
      <c r="S748" s="8" t="str">
        <f t="array" ref="S748">XLOOKUP(E748,Store_Dim!A:A,Store_Dim!D:D,"Not Found")</f>
        <v>Online</v>
      </c>
    </row>
    <row r="749" ht="14.25" customHeight="1">
      <c r="A749" s="8" t="s">
        <v>2702</v>
      </c>
      <c r="B749" s="12">
        <v>46227.0</v>
      </c>
      <c r="C749" s="8" t="s">
        <v>433</v>
      </c>
      <c r="D749" s="8" t="s">
        <v>1872</v>
      </c>
      <c r="E749" s="8" t="s">
        <v>1903</v>
      </c>
      <c r="F749" s="8">
        <v>1.0</v>
      </c>
      <c r="G749" s="8">
        <v>126.09</v>
      </c>
      <c r="H749" s="8">
        <v>0.05</v>
      </c>
      <c r="I749" s="8">
        <f t="shared" si="1"/>
        <v>126.09</v>
      </c>
      <c r="J749" s="8">
        <f t="shared" si="2"/>
        <v>-6.2545</v>
      </c>
      <c r="K749" s="8" t="str">
        <f t="shared" si="3"/>
        <v>Jul</v>
      </c>
      <c r="L749" s="8">
        <f t="shared" si="4"/>
        <v>2026</v>
      </c>
      <c r="N749" s="8" t="str">
        <f t="array" ref="N749">XLOOKUP(C749,Customer_Dim!A:A,Customer_Dim!B:B,"Not Found")</f>
        <v>Michael Chang</v>
      </c>
      <c r="O749" s="8" t="str">
        <f t="array" ref="O749">XLOOKUP(C749,Customer_Dim!A:A,Customer_Dim!E:E,"Not Found")</f>
        <v>Kathrynport</v>
      </c>
      <c r="P749" s="8" t="str">
        <f t="array" ref="P749">XLOOKUP(D749,Product_Dim!A:A,Product_Dim!B:B,"Not Found")</f>
        <v>Vitamin E Body Lotion</v>
      </c>
      <c r="Q749" s="8" t="str">
        <f t="array" ref="Q749">XLOOKUP(D749,Product_Dim!A:A,Product_Dim!C:C,"Not Found")</f>
        <v>Beauty</v>
      </c>
      <c r="R749" s="8" t="str">
        <f t="array" ref="R749">XLOOKUP(E749,Store_Dim!A:A,Store_Dim!B:B,"Not Found")</f>
        <v>North</v>
      </c>
      <c r="S749" s="8" t="str">
        <f t="array" ref="S749">XLOOKUP(E749,Store_Dim!A:A,Store_Dim!D:D,"Not Found")</f>
        <v>Flagship</v>
      </c>
    </row>
    <row r="750" ht="14.25" customHeight="1">
      <c r="A750" s="8" t="s">
        <v>2703</v>
      </c>
      <c r="B750" s="12">
        <v>46228.0</v>
      </c>
      <c r="C750" s="8" t="s">
        <v>660</v>
      </c>
      <c r="D750" s="8" t="s">
        <v>1790</v>
      </c>
      <c r="E750" s="8" t="s">
        <v>1926</v>
      </c>
      <c r="F750" s="8">
        <v>4.0</v>
      </c>
      <c r="G750" s="8">
        <v>602.39</v>
      </c>
      <c r="H750" s="8">
        <v>0.19</v>
      </c>
      <c r="I750" s="8">
        <f t="shared" si="1"/>
        <v>2409.56</v>
      </c>
      <c r="J750" s="8">
        <f t="shared" si="2"/>
        <v>-457.6264</v>
      </c>
      <c r="K750" s="8" t="str">
        <f t="shared" si="3"/>
        <v>Jul</v>
      </c>
      <c r="L750" s="8">
        <f t="shared" si="4"/>
        <v>2026</v>
      </c>
      <c r="N750" s="8" t="str">
        <f t="array" ref="N750">XLOOKUP(C750,Customer_Dim!A:A,Customer_Dim!B:B,"Not Found")</f>
        <v>Wanda Snyder</v>
      </c>
      <c r="O750" s="8" t="str">
        <f t="array" ref="O750">XLOOKUP(C750,Customer_Dim!A:A,Customer_Dim!E:E,"Not Found")</f>
        <v>Frostmouth</v>
      </c>
      <c r="P750" s="8" t="str">
        <f t="array" ref="P750">XLOOKUP(D750,Product_Dim!A:A,Product_Dim!B:B,"Not Found")</f>
        <v>Smart LED Light Strip</v>
      </c>
      <c r="Q750" s="8" t="str">
        <f t="array" ref="Q750">XLOOKUP(D750,Product_Dim!A:A,Product_Dim!C:C,"Not Found")</f>
        <v>Electronics</v>
      </c>
      <c r="R750" s="8" t="str">
        <f t="array" ref="R750">XLOOKUP(E750,Store_Dim!A:A,Store_Dim!B:B,"Not Found")</f>
        <v>East</v>
      </c>
      <c r="S750" s="8" t="str">
        <f t="array" ref="S750">XLOOKUP(E750,Store_Dim!A:A,Store_Dim!D:D,"Not Found")</f>
        <v>Online</v>
      </c>
    </row>
    <row r="751" ht="14.25" customHeight="1">
      <c r="A751" s="8" t="s">
        <v>2704</v>
      </c>
      <c r="B751" s="12">
        <v>46229.0</v>
      </c>
      <c r="C751" s="8" t="s">
        <v>1038</v>
      </c>
      <c r="D751" s="8" t="s">
        <v>1836</v>
      </c>
      <c r="E751" s="8" t="s">
        <v>1910</v>
      </c>
      <c r="F751" s="8">
        <v>3.0</v>
      </c>
      <c r="G751" s="8">
        <v>447.69</v>
      </c>
      <c r="H751" s="8">
        <v>0.02</v>
      </c>
      <c r="I751" s="8">
        <f t="shared" si="1"/>
        <v>1343.07</v>
      </c>
      <c r="J751" s="8">
        <f t="shared" si="2"/>
        <v>-26.8414</v>
      </c>
      <c r="K751" s="8" t="str">
        <f t="shared" si="3"/>
        <v>Jul</v>
      </c>
      <c r="L751" s="8">
        <f t="shared" si="4"/>
        <v>2026</v>
      </c>
      <c r="N751" s="8" t="str">
        <f t="array" ref="N751">XLOOKUP(C751,Customer_Dim!A:A,Customer_Dim!B:B,"Not Found")</f>
        <v>Andrew Smith</v>
      </c>
      <c r="O751" s="8" t="str">
        <f t="array" ref="O751">XLOOKUP(C751,Customer_Dim!A:A,Customer_Dim!E:E,"Not Found")</f>
        <v>East Matthew</v>
      </c>
      <c r="P751" s="8" t="str">
        <f t="array" ref="P751">XLOOKUP(D751,Product_Dim!A:A,Product_Dim!B:B,"Not Found")</f>
        <v>Fitness Resistance Bands</v>
      </c>
      <c r="Q751" s="8" t="str">
        <f t="array" ref="Q751">XLOOKUP(D751,Product_Dim!A:A,Product_Dim!C:C,"Not Found")</f>
        <v>Sports</v>
      </c>
      <c r="R751" s="8" t="str">
        <f t="array" ref="R751">XLOOKUP(E751,Store_Dim!A:A,Store_Dim!B:B,"Not Found")</f>
        <v>North</v>
      </c>
      <c r="S751" s="8" t="str">
        <f t="array" ref="S751">XLOOKUP(E751,Store_Dim!A:A,Store_Dim!D:D,"Not Found")</f>
        <v>Outlet</v>
      </c>
    </row>
    <row r="752" ht="14.25" customHeight="1">
      <c r="A752" s="8" t="s">
        <v>2705</v>
      </c>
      <c r="B752" s="12">
        <v>46230.0</v>
      </c>
      <c r="C752" s="8" t="s">
        <v>809</v>
      </c>
      <c r="D752" s="8" t="s">
        <v>1687</v>
      </c>
      <c r="E752" s="8" t="s">
        <v>1910</v>
      </c>
      <c r="F752" s="8">
        <v>3.0</v>
      </c>
      <c r="G752" s="8">
        <v>35.16</v>
      </c>
      <c r="H752" s="8">
        <v>0.04</v>
      </c>
      <c r="I752" s="8">
        <f t="shared" si="1"/>
        <v>105.48</v>
      </c>
      <c r="J752" s="8">
        <f t="shared" si="2"/>
        <v>-4.1792</v>
      </c>
      <c r="K752" s="8" t="str">
        <f t="shared" si="3"/>
        <v>Jul</v>
      </c>
      <c r="L752" s="8">
        <f t="shared" si="4"/>
        <v>2026</v>
      </c>
      <c r="N752" s="8" t="str">
        <f t="array" ref="N752">XLOOKUP(C752,Customer_Dim!A:A,Customer_Dim!B:B,"Not Found")</f>
        <v>Nicholas Webb</v>
      </c>
      <c r="O752" s="8" t="str">
        <f t="array" ref="O752">XLOOKUP(C752,Customer_Dim!A:A,Customer_Dim!E:E,"Not Found")</f>
        <v>Lake Timothy</v>
      </c>
      <c r="P752" s="8" t="str">
        <f t="array" ref="P752">XLOOKUP(D752,Product_Dim!A:A,Product_Dim!B:B,"Not Found")</f>
        <v>Gaming Mechanical Keyboard</v>
      </c>
      <c r="Q752" s="8" t="str">
        <f t="array" ref="Q752">XLOOKUP(D752,Product_Dim!A:A,Product_Dim!C:C,"Not Found")</f>
        <v>Electronics</v>
      </c>
      <c r="R752" s="8" t="str">
        <f t="array" ref="R752">XLOOKUP(E752,Store_Dim!A:A,Store_Dim!B:B,"Not Found")</f>
        <v>North</v>
      </c>
      <c r="S752" s="8" t="str">
        <f t="array" ref="S752">XLOOKUP(E752,Store_Dim!A:A,Store_Dim!D:D,"Not Found")</f>
        <v>Outlet</v>
      </c>
    </row>
    <row r="753" ht="14.25" customHeight="1">
      <c r="A753" s="8" t="s">
        <v>2706</v>
      </c>
      <c r="B753" s="12">
        <v>46231.0</v>
      </c>
      <c r="C753" s="8" t="s">
        <v>1053</v>
      </c>
      <c r="D753" s="8" t="s">
        <v>1806</v>
      </c>
      <c r="E753" s="8" t="s">
        <v>1928</v>
      </c>
      <c r="F753" s="8">
        <v>2.0</v>
      </c>
      <c r="G753" s="8">
        <v>838.59</v>
      </c>
      <c r="H753" s="8">
        <v>0.18</v>
      </c>
      <c r="I753" s="8">
        <f t="shared" si="1"/>
        <v>1677.18</v>
      </c>
      <c r="J753" s="8">
        <f t="shared" si="2"/>
        <v>-301.7124</v>
      </c>
      <c r="K753" s="8" t="str">
        <f t="shared" si="3"/>
        <v>Jul</v>
      </c>
      <c r="L753" s="8">
        <f t="shared" si="4"/>
        <v>2026</v>
      </c>
      <c r="N753" s="8" t="str">
        <f t="array" ref="N753">XLOOKUP(C753,Customer_Dim!A:A,Customer_Dim!B:B,"Not Found")</f>
        <v>Pamela Mcguire</v>
      </c>
      <c r="O753" s="8" t="str">
        <f t="array" ref="O753">XLOOKUP(C753,Customer_Dim!A:A,Customer_Dim!E:E,"Not Found")</f>
        <v>South Jasontown</v>
      </c>
      <c r="P753" s="8" t="str">
        <f t="array" ref="P753">XLOOKUP(D753,Product_Dim!A:A,Product_Dim!B:B,"Not Found")</f>
        <v>Professional Jump Rope</v>
      </c>
      <c r="Q753" s="8" t="str">
        <f t="array" ref="Q753">XLOOKUP(D753,Product_Dim!A:A,Product_Dim!C:C,"Not Found")</f>
        <v>Sports</v>
      </c>
      <c r="R753" s="8" t="str">
        <f t="array" ref="R753">XLOOKUP(E753,Store_Dim!A:A,Store_Dim!B:B,"Not Found")</f>
        <v>South</v>
      </c>
      <c r="S753" s="8" t="str">
        <f t="array" ref="S753">XLOOKUP(E753,Store_Dim!A:A,Store_Dim!D:D,"Not Found")</f>
        <v>Online</v>
      </c>
    </row>
    <row r="754" ht="14.25" customHeight="1">
      <c r="A754" s="8" t="s">
        <v>2707</v>
      </c>
      <c r="B754" s="12">
        <v>46232.0</v>
      </c>
      <c r="C754" s="8" t="s">
        <v>331</v>
      </c>
      <c r="D754" s="8" t="s">
        <v>1766</v>
      </c>
      <c r="E754" s="8" t="s">
        <v>1917</v>
      </c>
      <c r="F754" s="8">
        <v>4.0</v>
      </c>
      <c r="G754" s="8">
        <v>867.94</v>
      </c>
      <c r="H754" s="8">
        <v>0.26</v>
      </c>
      <c r="I754" s="8">
        <f t="shared" si="1"/>
        <v>3471.76</v>
      </c>
      <c r="J754" s="8">
        <f t="shared" si="2"/>
        <v>-902.3976</v>
      </c>
      <c r="K754" s="8" t="str">
        <f t="shared" si="3"/>
        <v>Jul</v>
      </c>
      <c r="L754" s="8">
        <f t="shared" si="4"/>
        <v>2026</v>
      </c>
      <c r="N754" s="8" t="str">
        <f t="array" ref="N754">XLOOKUP(C754,Customer_Dim!A:A,Customer_Dim!B:B,"Not Found")</f>
        <v>Jamie Yoder</v>
      </c>
      <c r="O754" s="8" t="str">
        <f t="array" ref="O754">XLOOKUP(C754,Customer_Dim!A:A,Customer_Dim!E:E,"Not Found")</f>
        <v>New Gabrielleville</v>
      </c>
      <c r="P754" s="8" t="str">
        <f t="array" ref="P754">XLOOKUP(D754,Product_Dim!A:A,Product_Dim!B:B,"Not Found")</f>
        <v>Men's Hair Styling Gel</v>
      </c>
      <c r="Q754" s="8" t="str">
        <f t="array" ref="Q754">XLOOKUP(D754,Product_Dim!A:A,Product_Dim!C:C,"Not Found")</f>
        <v>Beauty</v>
      </c>
      <c r="R754" s="8" t="str">
        <f t="array" ref="R754">XLOOKUP(E754,Store_Dim!A:A,Store_Dim!B:B,"Not Found")</f>
        <v>East</v>
      </c>
      <c r="S754" s="8" t="str">
        <f t="array" ref="S754">XLOOKUP(E754,Store_Dim!A:A,Store_Dim!D:D,"Not Found")</f>
        <v>Online</v>
      </c>
    </row>
    <row r="755" ht="14.25" customHeight="1">
      <c r="A755" s="8" t="s">
        <v>2708</v>
      </c>
      <c r="B755" s="12">
        <v>46233.0</v>
      </c>
      <c r="C755" s="8" t="s">
        <v>655</v>
      </c>
      <c r="D755" s="8" t="s">
        <v>1703</v>
      </c>
      <c r="E755" s="8" t="s">
        <v>1937</v>
      </c>
      <c r="F755" s="8">
        <v>1.0</v>
      </c>
      <c r="G755" s="8">
        <v>623.88</v>
      </c>
      <c r="H755" s="8">
        <v>0.25</v>
      </c>
      <c r="I755" s="8">
        <f t="shared" si="1"/>
        <v>623.88</v>
      </c>
      <c r="J755" s="8">
        <f t="shared" si="2"/>
        <v>-155.72</v>
      </c>
      <c r="K755" s="8" t="str">
        <f t="shared" si="3"/>
        <v>Jul</v>
      </c>
      <c r="L755" s="8">
        <f t="shared" si="4"/>
        <v>2026</v>
      </c>
      <c r="N755" s="8" t="str">
        <f t="array" ref="N755">XLOOKUP(C755,Customer_Dim!A:A,Customer_Dim!B:B,"Not Found")</f>
        <v>Megan Greer</v>
      </c>
      <c r="O755" s="8" t="str">
        <f t="array" ref="O755">XLOOKUP(C755,Customer_Dim!A:A,Customer_Dim!E:E,"Not Found")</f>
        <v>West John</v>
      </c>
      <c r="P755" s="8" t="str">
        <f t="array" ref="P755">XLOOKUP(D755,Product_Dim!A:A,Product_Dim!B:B,"Not Found")</f>
        <v>Portable Power Bank</v>
      </c>
      <c r="Q755" s="8" t="str">
        <f t="array" ref="Q755">XLOOKUP(D755,Product_Dim!A:A,Product_Dim!C:C,"Not Found")</f>
        <v>Electronics</v>
      </c>
      <c r="R755" s="8" t="str">
        <f t="array" ref="R755">XLOOKUP(E755,Store_Dim!A:A,Store_Dim!B:B,"Not Found")</f>
        <v>North</v>
      </c>
      <c r="S755" s="8" t="str">
        <f t="array" ref="S755">XLOOKUP(E755,Store_Dim!A:A,Store_Dim!D:D,"Not Found")</f>
        <v>Flagship</v>
      </c>
    </row>
    <row r="756" ht="14.25" customHeight="1">
      <c r="A756" s="8" t="s">
        <v>2709</v>
      </c>
      <c r="B756" s="12">
        <v>46234.0</v>
      </c>
      <c r="C756" s="8" t="s">
        <v>597</v>
      </c>
      <c r="D756" s="8" t="s">
        <v>1713</v>
      </c>
      <c r="E756" s="8" t="s">
        <v>1932</v>
      </c>
      <c r="F756" s="8">
        <v>2.0</v>
      </c>
      <c r="G756" s="8">
        <v>567.95</v>
      </c>
      <c r="H756" s="8">
        <v>0.12</v>
      </c>
      <c r="I756" s="8">
        <f t="shared" si="1"/>
        <v>1135.9</v>
      </c>
      <c r="J756" s="8">
        <f t="shared" si="2"/>
        <v>-136.188</v>
      </c>
      <c r="K756" s="8" t="str">
        <f t="shared" si="3"/>
        <v>Jul</v>
      </c>
      <c r="L756" s="8">
        <f t="shared" si="4"/>
        <v>2026</v>
      </c>
      <c r="N756" s="8" t="str">
        <f t="array" ref="N756">XLOOKUP(C756,Customer_Dim!A:A,Customer_Dim!B:B,"Not Found")</f>
        <v>Curtis Lam</v>
      </c>
      <c r="O756" s="8" t="str">
        <f t="array" ref="O756">XLOOKUP(C756,Customer_Dim!A:A,Customer_Dim!E:E,"Not Found")</f>
        <v>Butlerberg</v>
      </c>
      <c r="P756" s="8" t="str">
        <f t="array" ref="P756">XLOOKUP(D756,Product_Dim!A:A,Product_Dim!B:B,"Not Found")</f>
        <v>Smart Home WiFi Camera</v>
      </c>
      <c r="Q756" s="8" t="str">
        <f t="array" ref="Q756">XLOOKUP(D756,Product_Dim!A:A,Product_Dim!C:C,"Not Found")</f>
        <v>Electronics</v>
      </c>
      <c r="R756" s="8" t="str">
        <f t="array" ref="R756">XLOOKUP(E756,Store_Dim!A:A,Store_Dim!B:B,"Not Found")</f>
        <v>South</v>
      </c>
      <c r="S756" s="8" t="str">
        <f t="array" ref="S756">XLOOKUP(E756,Store_Dim!A:A,Store_Dim!D:D,"Not Found")</f>
        <v>Outlet</v>
      </c>
    </row>
    <row r="757" ht="14.25" customHeight="1">
      <c r="A757" s="8" t="s">
        <v>2710</v>
      </c>
      <c r="B757" s="12">
        <v>46235.0</v>
      </c>
      <c r="C757" s="8" t="s">
        <v>1032</v>
      </c>
      <c r="D757" s="8" t="s">
        <v>1677</v>
      </c>
      <c r="E757" s="8" t="s">
        <v>1939</v>
      </c>
      <c r="F757" s="8">
        <v>2.0</v>
      </c>
      <c r="G757" s="8">
        <v>671.69</v>
      </c>
      <c r="H757" s="8">
        <v>0.19</v>
      </c>
      <c r="I757" s="8">
        <f t="shared" si="1"/>
        <v>1343.38</v>
      </c>
      <c r="J757" s="8">
        <f t="shared" si="2"/>
        <v>-255.0522</v>
      </c>
      <c r="K757" s="8" t="str">
        <f t="shared" si="3"/>
        <v>Aug</v>
      </c>
      <c r="L757" s="8">
        <f t="shared" si="4"/>
        <v>2026</v>
      </c>
      <c r="N757" s="8" t="str">
        <f t="array" ref="N757">XLOOKUP(C757,Customer_Dim!A:A,Customer_Dim!B:B,"Not Found")</f>
        <v>Kristy Dunlap</v>
      </c>
      <c r="O757" s="8" t="str">
        <f t="array" ref="O757">XLOOKUP(C757,Customer_Dim!A:A,Customer_Dim!E:E,"Not Found")</f>
        <v>Whiteport</v>
      </c>
      <c r="P757" s="8" t="str">
        <f t="array" ref="P757">XLOOKUP(D757,Product_Dim!A:A,Product_Dim!B:B,"Not Found")</f>
        <v>Basketball</v>
      </c>
      <c r="Q757" s="8" t="str">
        <f t="array" ref="Q757">XLOOKUP(D757,Product_Dim!A:A,Product_Dim!C:C,"Not Found")</f>
        <v>Sports</v>
      </c>
      <c r="R757" s="8" t="str">
        <f t="array" ref="R757">XLOOKUP(E757,Store_Dim!A:A,Store_Dim!B:B,"Not Found")</f>
        <v>East</v>
      </c>
      <c r="S757" s="8" t="str">
        <f t="array" ref="S757">XLOOKUP(E757,Store_Dim!A:A,Store_Dim!D:D,"Not Found")</f>
        <v>Flagship</v>
      </c>
    </row>
    <row r="758" ht="14.25" customHeight="1">
      <c r="A758" s="8" t="s">
        <v>2711</v>
      </c>
      <c r="B758" s="12">
        <v>46236.0</v>
      </c>
      <c r="C758" s="8" t="s">
        <v>684</v>
      </c>
      <c r="D758" s="8" t="s">
        <v>1587</v>
      </c>
      <c r="E758" s="8" t="s">
        <v>1919</v>
      </c>
      <c r="F758" s="8">
        <v>2.0</v>
      </c>
      <c r="G758" s="8">
        <v>257.96</v>
      </c>
      <c r="H758" s="8">
        <v>0.21</v>
      </c>
      <c r="I758" s="8">
        <f t="shared" si="1"/>
        <v>515.92</v>
      </c>
      <c r="J758" s="8">
        <f t="shared" si="2"/>
        <v>-108.1332</v>
      </c>
      <c r="K758" s="8" t="str">
        <f t="shared" si="3"/>
        <v>Aug</v>
      </c>
      <c r="L758" s="8">
        <f t="shared" si="4"/>
        <v>2026</v>
      </c>
      <c r="N758" s="8" t="str">
        <f t="array" ref="N758">XLOOKUP(C758,Customer_Dim!A:A,Customer_Dim!B:B,"Not Found")</f>
        <v>Ronald Jones</v>
      </c>
      <c r="O758" s="8" t="str">
        <f t="array" ref="O758">XLOOKUP(C758,Customer_Dim!A:A,Customer_Dim!E:E,"Not Found")</f>
        <v>Brownshire</v>
      </c>
      <c r="P758" s="8" t="str">
        <f t="array" ref="P758">XLOOKUP(D758,Product_Dim!A:A,Product_Dim!B:B,"Not Found")</f>
        <v>Herbal Face Moisturizer</v>
      </c>
      <c r="Q758" s="8" t="str">
        <f t="array" ref="Q758">XLOOKUP(D758,Product_Dim!A:A,Product_Dim!C:C,"Not Found")</f>
        <v>Beauty</v>
      </c>
      <c r="R758" s="8" t="str">
        <f t="array" ref="R758">XLOOKUP(E758,Store_Dim!A:A,Store_Dim!B:B,"Not Found")</f>
        <v>South</v>
      </c>
      <c r="S758" s="8" t="str">
        <f t="array" ref="S758">XLOOKUP(E758,Store_Dim!A:A,Store_Dim!D:D,"Not Found")</f>
        <v>Online</v>
      </c>
    </row>
    <row r="759" ht="14.25" customHeight="1">
      <c r="A759" s="8" t="s">
        <v>2712</v>
      </c>
      <c r="B759" s="12">
        <v>46237.0</v>
      </c>
      <c r="C759" s="8" t="s">
        <v>678</v>
      </c>
      <c r="D759" s="8" t="s">
        <v>1884</v>
      </c>
      <c r="E759" s="8" t="s">
        <v>1941</v>
      </c>
      <c r="F759" s="8">
        <v>4.0</v>
      </c>
      <c r="G759" s="8">
        <v>281.48</v>
      </c>
      <c r="H759" s="8">
        <v>0.27</v>
      </c>
      <c r="I759" s="8">
        <f t="shared" si="1"/>
        <v>1125.92</v>
      </c>
      <c r="J759" s="8">
        <f t="shared" si="2"/>
        <v>-303.7284</v>
      </c>
      <c r="K759" s="8" t="str">
        <f t="shared" si="3"/>
        <v>Aug</v>
      </c>
      <c r="L759" s="8">
        <f t="shared" si="4"/>
        <v>2026</v>
      </c>
      <c r="N759" s="8" t="str">
        <f t="array" ref="N759">XLOOKUP(C759,Customer_Dim!A:A,Customer_Dim!B:B,"Not Found")</f>
        <v>Tiffany Herrera</v>
      </c>
      <c r="O759" s="8" t="str">
        <f t="array" ref="O759">XLOOKUP(C759,Customer_Dim!A:A,Customer_Dim!E:E,"Not Found")</f>
        <v>New Dianebury</v>
      </c>
      <c r="P759" s="8" t="str">
        <f t="array" ref="P759">XLOOKUP(D759,Product_Dim!A:A,Product_Dim!B:B,"Not Found")</f>
        <v>Portable Bluetooth Speaker</v>
      </c>
      <c r="Q759" s="8" t="str">
        <f t="array" ref="Q759">XLOOKUP(D759,Product_Dim!A:A,Product_Dim!C:C,"Not Found")</f>
        <v>Electronics</v>
      </c>
      <c r="R759" s="8" t="str">
        <f t="array" ref="R759">XLOOKUP(E759,Store_Dim!A:A,Store_Dim!B:B,"Not Found")</f>
        <v>East</v>
      </c>
      <c r="S759" s="8" t="str">
        <f t="array" ref="S759">XLOOKUP(E759,Store_Dim!A:A,Store_Dim!D:D,"Not Found")</f>
        <v>Online</v>
      </c>
    </row>
    <row r="760" ht="14.25" customHeight="1">
      <c r="A760" s="8" t="s">
        <v>2713</v>
      </c>
      <c r="B760" s="12">
        <v>46238.0</v>
      </c>
      <c r="C760" s="8" t="s">
        <v>1011</v>
      </c>
      <c r="D760" s="8" t="s">
        <v>1642</v>
      </c>
      <c r="E760" s="8" t="s">
        <v>1928</v>
      </c>
      <c r="F760" s="8">
        <v>1.0</v>
      </c>
      <c r="G760" s="8">
        <v>202.13</v>
      </c>
      <c r="H760" s="8">
        <v>0.13</v>
      </c>
      <c r="I760" s="8">
        <f t="shared" si="1"/>
        <v>202.13</v>
      </c>
      <c r="J760" s="8">
        <f t="shared" si="2"/>
        <v>-26.1469</v>
      </c>
      <c r="K760" s="8" t="str">
        <f t="shared" si="3"/>
        <v>Aug</v>
      </c>
      <c r="L760" s="8">
        <f t="shared" si="4"/>
        <v>2026</v>
      </c>
      <c r="N760" s="8" t="str">
        <f t="array" ref="N760">XLOOKUP(C760,Customer_Dim!A:A,Customer_Dim!B:B,"Not Found")</f>
        <v>Robert House</v>
      </c>
      <c r="O760" s="8" t="str">
        <f t="array" ref="O760">XLOOKUP(C760,Customer_Dim!A:A,Customer_Dim!E:E,"Not Found")</f>
        <v>Lake James</v>
      </c>
      <c r="P760" s="8" t="str">
        <f t="array" ref="P760">XLOOKUP(D760,Product_Dim!A:A,Product_Dim!B:B,"Not Found")</f>
        <v>Outdoor Sports Water Bottle</v>
      </c>
      <c r="Q760" s="8" t="str">
        <f t="array" ref="Q760">XLOOKUP(D760,Product_Dim!A:A,Product_Dim!C:C,"Not Found")</f>
        <v>Sports</v>
      </c>
      <c r="R760" s="8" t="str">
        <f t="array" ref="R760">XLOOKUP(E760,Store_Dim!A:A,Store_Dim!B:B,"Not Found")</f>
        <v>South</v>
      </c>
      <c r="S760" s="8" t="str">
        <f t="array" ref="S760">XLOOKUP(E760,Store_Dim!A:A,Store_Dim!D:D,"Not Found")</f>
        <v>Online</v>
      </c>
    </row>
    <row r="761" ht="14.25" customHeight="1">
      <c r="A761" s="8" t="s">
        <v>2714</v>
      </c>
      <c r="B761" s="12">
        <v>46239.0</v>
      </c>
      <c r="C761" s="8" t="s">
        <v>878</v>
      </c>
      <c r="D761" s="8" t="s">
        <v>1812</v>
      </c>
      <c r="E761" s="8" t="s">
        <v>1915</v>
      </c>
      <c r="F761" s="8">
        <v>1.0</v>
      </c>
      <c r="G761" s="8">
        <v>370.66</v>
      </c>
      <c r="H761" s="8">
        <v>0.01</v>
      </c>
      <c r="I761" s="8">
        <f t="shared" si="1"/>
        <v>370.66</v>
      </c>
      <c r="J761" s="8">
        <f t="shared" si="2"/>
        <v>-3.6966</v>
      </c>
      <c r="K761" s="8" t="str">
        <f t="shared" si="3"/>
        <v>Aug</v>
      </c>
      <c r="L761" s="8">
        <f t="shared" si="4"/>
        <v>2026</v>
      </c>
      <c r="N761" s="8" t="str">
        <f t="array" ref="N761">XLOOKUP(C761,Customer_Dim!A:A,Customer_Dim!B:B,"Not Found")</f>
        <v>Daisy Johnson DDS</v>
      </c>
      <c r="O761" s="8" t="str">
        <f t="array" ref="O761">XLOOKUP(C761,Customer_Dim!A:A,Customer_Dim!E:E,"Not Found")</f>
        <v>North Stephanie</v>
      </c>
      <c r="P761" s="8" t="str">
        <f t="array" ref="P761">XLOOKUP(D761,Product_Dim!A:A,Product_Dim!B:B,"Not Found")</f>
        <v>Bluetooth Car Audio System</v>
      </c>
      <c r="Q761" s="8" t="str">
        <f t="array" ref="Q761">XLOOKUP(D761,Product_Dim!A:A,Product_Dim!C:C,"Not Found")</f>
        <v>Electronics</v>
      </c>
      <c r="R761" s="8" t="str">
        <f t="array" ref="R761">XLOOKUP(E761,Store_Dim!A:A,Store_Dim!B:B,"Not Found")</f>
        <v>North</v>
      </c>
      <c r="S761" s="8" t="str">
        <f t="array" ref="S761">XLOOKUP(E761,Store_Dim!A:A,Store_Dim!D:D,"Not Found")</f>
        <v>Outlet</v>
      </c>
    </row>
    <row r="762" ht="14.25" customHeight="1">
      <c r="A762" s="8" t="s">
        <v>2715</v>
      </c>
      <c r="B762" s="12">
        <v>46240.0</v>
      </c>
      <c r="C762" s="8" t="s">
        <v>40</v>
      </c>
      <c r="D762" s="8" t="s">
        <v>1772</v>
      </c>
      <c r="E762" s="8" t="s">
        <v>1929</v>
      </c>
      <c r="F762" s="8">
        <v>4.0</v>
      </c>
      <c r="G762" s="8">
        <v>731.53</v>
      </c>
      <c r="H762" s="8">
        <v>0.12</v>
      </c>
      <c r="I762" s="8">
        <f t="shared" si="1"/>
        <v>2926.12</v>
      </c>
      <c r="J762" s="8">
        <f t="shared" si="2"/>
        <v>-351.0144</v>
      </c>
      <c r="K762" s="8" t="str">
        <f t="shared" si="3"/>
        <v>Aug</v>
      </c>
      <c r="L762" s="8">
        <f t="shared" si="4"/>
        <v>2026</v>
      </c>
      <c r="N762" s="8" t="str">
        <f t="array" ref="N762">XLOOKUP(C762,Customer_Dim!A:A,Customer_Dim!B:B,"Not Found")</f>
        <v>Christine Vaughn</v>
      </c>
      <c r="O762" s="8" t="str">
        <f t="array" ref="O762">XLOOKUP(C762,Customer_Dim!A:A,Customer_Dim!E:E,"Not Found")</f>
        <v>East Amandamouth</v>
      </c>
      <c r="P762" s="8" t="str">
        <f t="array" ref="P762">XLOOKUP(D762,Product_Dim!A:A,Product_Dim!B:B,"Not Found")</f>
        <v>Tennis Ball 3-Pack</v>
      </c>
      <c r="Q762" s="8" t="str">
        <f t="array" ref="Q762">XLOOKUP(D762,Product_Dim!A:A,Product_Dim!C:C,"Not Found")</f>
        <v>Sports</v>
      </c>
      <c r="R762" s="8" t="str">
        <f t="array" ref="R762">XLOOKUP(E762,Store_Dim!A:A,Store_Dim!B:B,"Not Found")</f>
        <v>North</v>
      </c>
      <c r="S762" s="8" t="str">
        <f t="array" ref="S762">XLOOKUP(E762,Store_Dim!A:A,Store_Dim!D:D,"Not Found")</f>
        <v>Online</v>
      </c>
    </row>
    <row r="763" ht="14.25" customHeight="1">
      <c r="A763" s="8" t="s">
        <v>2716</v>
      </c>
      <c r="B763" s="12">
        <v>46241.0</v>
      </c>
      <c r="C763" s="8" t="s">
        <v>562</v>
      </c>
      <c r="D763" s="8" t="s">
        <v>1824</v>
      </c>
      <c r="E763" s="8" t="s">
        <v>1903</v>
      </c>
      <c r="F763" s="8">
        <v>3.0</v>
      </c>
      <c r="G763" s="8">
        <v>468.25</v>
      </c>
      <c r="H763" s="8">
        <v>0.07</v>
      </c>
      <c r="I763" s="8">
        <f t="shared" si="1"/>
        <v>1404.75</v>
      </c>
      <c r="J763" s="8">
        <f t="shared" si="2"/>
        <v>-98.2625</v>
      </c>
      <c r="K763" s="8" t="str">
        <f t="shared" si="3"/>
        <v>Aug</v>
      </c>
      <c r="L763" s="8">
        <f t="shared" si="4"/>
        <v>2026</v>
      </c>
      <c r="N763" s="8" t="str">
        <f t="array" ref="N763">XLOOKUP(C763,Customer_Dim!A:A,Customer_Dim!B:B,"Not Found")</f>
        <v>Jason Wheeler</v>
      </c>
      <c r="O763" s="8" t="str">
        <f t="array" ref="O763">XLOOKUP(C763,Customer_Dim!A:A,Customer_Dim!E:E,"Not Found")</f>
        <v>Carolview</v>
      </c>
      <c r="P763" s="8" t="str">
        <f t="array" ref="P763">XLOOKUP(D763,Product_Dim!A:A,Product_Dim!B:B,"Not Found")</f>
        <v>Essential Oil Diffuser</v>
      </c>
      <c r="Q763" s="8" t="str">
        <f t="array" ref="Q763">XLOOKUP(D763,Product_Dim!A:A,Product_Dim!C:C,"Not Found")</f>
        <v>Home</v>
      </c>
      <c r="R763" s="8" t="str">
        <f t="array" ref="R763">XLOOKUP(E763,Store_Dim!A:A,Store_Dim!B:B,"Not Found")</f>
        <v>North</v>
      </c>
      <c r="S763" s="8" t="str">
        <f t="array" ref="S763">XLOOKUP(E763,Store_Dim!A:A,Store_Dim!D:D,"Not Found")</f>
        <v>Flagship</v>
      </c>
    </row>
    <row r="764" ht="14.25" customHeight="1">
      <c r="A764" s="8" t="s">
        <v>2717</v>
      </c>
      <c r="B764" s="12">
        <v>46242.0</v>
      </c>
      <c r="C764" s="8" t="s">
        <v>20</v>
      </c>
      <c r="D764" s="8" t="s">
        <v>1790</v>
      </c>
      <c r="E764" s="8" t="s">
        <v>1899</v>
      </c>
      <c r="F764" s="8">
        <v>1.0</v>
      </c>
      <c r="G764" s="8">
        <v>928.72</v>
      </c>
      <c r="H764" s="8">
        <v>0.1</v>
      </c>
      <c r="I764" s="8">
        <f t="shared" si="1"/>
        <v>928.72</v>
      </c>
      <c r="J764" s="8">
        <f t="shared" si="2"/>
        <v>-92.772</v>
      </c>
      <c r="K764" s="8" t="str">
        <f t="shared" si="3"/>
        <v>Aug</v>
      </c>
      <c r="L764" s="8">
        <f t="shared" si="4"/>
        <v>2026</v>
      </c>
      <c r="N764" s="8" t="str">
        <f t="array" ref="N764">XLOOKUP(C764,Customer_Dim!A:A,Customer_Dim!B:B,"Not Found")</f>
        <v>Eugene Nelson</v>
      </c>
      <c r="O764" s="8" t="str">
        <f t="array" ref="O764">XLOOKUP(C764,Customer_Dim!A:A,Customer_Dim!E:E,"Not Found")</f>
        <v>Phillipsmouth</v>
      </c>
      <c r="P764" s="8" t="str">
        <f t="array" ref="P764">XLOOKUP(D764,Product_Dim!A:A,Product_Dim!B:B,"Not Found")</f>
        <v>Smart LED Light Strip</v>
      </c>
      <c r="Q764" s="8" t="str">
        <f t="array" ref="Q764">XLOOKUP(D764,Product_Dim!A:A,Product_Dim!C:C,"Not Found")</f>
        <v>Electronics</v>
      </c>
      <c r="R764" s="8" t="str">
        <f t="array" ref="R764">XLOOKUP(E764,Store_Dim!A:A,Store_Dim!B:B,"Not Found")</f>
        <v>East</v>
      </c>
      <c r="S764" s="8" t="str">
        <f t="array" ref="S764">XLOOKUP(E764,Store_Dim!A:A,Store_Dim!D:D,"Not Found")</f>
        <v>Flagship</v>
      </c>
    </row>
    <row r="765" ht="14.25" customHeight="1">
      <c r="A765" s="8" t="s">
        <v>2718</v>
      </c>
      <c r="B765" s="12">
        <v>46243.0</v>
      </c>
      <c r="C765" s="8" t="s">
        <v>370</v>
      </c>
      <c r="D765" s="8" t="s">
        <v>1579</v>
      </c>
      <c r="E765" s="8" t="s">
        <v>1939</v>
      </c>
      <c r="F765" s="8">
        <v>3.0</v>
      </c>
      <c r="G765" s="8">
        <v>217.22</v>
      </c>
      <c r="H765" s="8">
        <v>0.06</v>
      </c>
      <c r="I765" s="8">
        <f t="shared" si="1"/>
        <v>651.66</v>
      </c>
      <c r="J765" s="8">
        <f t="shared" si="2"/>
        <v>-39.0396</v>
      </c>
      <c r="K765" s="8" t="str">
        <f t="shared" si="3"/>
        <v>Aug</v>
      </c>
      <c r="L765" s="8">
        <f t="shared" si="4"/>
        <v>2026</v>
      </c>
      <c r="N765" s="8" t="str">
        <f t="array" ref="N765">XLOOKUP(C765,Customer_Dim!A:A,Customer_Dim!B:B,"Not Found")</f>
        <v>Colleen Maynard</v>
      </c>
      <c r="O765" s="8" t="str">
        <f t="array" ref="O765">XLOOKUP(C765,Customer_Dim!A:A,Customer_Dim!E:E,"Not Found")</f>
        <v>Singletonmouth</v>
      </c>
      <c r="P765" s="8" t="str">
        <f t="array" ref="P765">XLOOKUP(D765,Product_Dim!A:A,Product_Dim!B:B,"Not Found")</f>
        <v>Women's Yoga Pants</v>
      </c>
      <c r="Q765" s="8" t="str">
        <f t="array" ref="Q765">XLOOKUP(D765,Product_Dim!A:A,Product_Dim!C:C,"Not Found")</f>
        <v>Clothing</v>
      </c>
      <c r="R765" s="8" t="str">
        <f t="array" ref="R765">XLOOKUP(E765,Store_Dim!A:A,Store_Dim!B:B,"Not Found")</f>
        <v>East</v>
      </c>
      <c r="S765" s="8" t="str">
        <f t="array" ref="S765">XLOOKUP(E765,Store_Dim!A:A,Store_Dim!D:D,"Not Found")</f>
        <v>Flagship</v>
      </c>
    </row>
    <row r="766" ht="14.25" customHeight="1">
      <c r="A766" s="8" t="s">
        <v>2719</v>
      </c>
      <c r="B766" s="12">
        <v>46244.0</v>
      </c>
      <c r="C766" s="8" t="s">
        <v>1276</v>
      </c>
      <c r="D766" s="8" t="s">
        <v>1655</v>
      </c>
      <c r="E766" s="8" t="s">
        <v>1910</v>
      </c>
      <c r="F766" s="8">
        <v>1.0</v>
      </c>
      <c r="G766" s="8">
        <v>387.99</v>
      </c>
      <c r="H766" s="8">
        <v>0.3</v>
      </c>
      <c r="I766" s="8">
        <f t="shared" si="1"/>
        <v>387.99</v>
      </c>
      <c r="J766" s="8">
        <f t="shared" si="2"/>
        <v>-116.097</v>
      </c>
      <c r="K766" s="8" t="str">
        <f t="shared" si="3"/>
        <v>Aug</v>
      </c>
      <c r="L766" s="8">
        <f t="shared" si="4"/>
        <v>2026</v>
      </c>
      <c r="N766" s="8" t="str">
        <f t="array" ref="N766">XLOOKUP(C766,Customer_Dim!A:A,Customer_Dim!B:B,"Not Found")</f>
        <v>Eric Wolfe</v>
      </c>
      <c r="O766" s="8" t="str">
        <f t="array" ref="O766">XLOOKUP(C766,Customer_Dim!A:A,Customer_Dim!E:E,"Not Found")</f>
        <v>Garciaview</v>
      </c>
      <c r="P766" s="8" t="str">
        <f t="array" ref="P766">XLOOKUP(D766,Product_Dim!A:A,Product_Dim!B:B,"Not Found")</f>
        <v>Foldable Camping Chair</v>
      </c>
      <c r="Q766" s="8" t="str">
        <f t="array" ref="Q766">XLOOKUP(D766,Product_Dim!A:A,Product_Dim!C:C,"Not Found")</f>
        <v>Sports</v>
      </c>
      <c r="R766" s="8" t="str">
        <f t="array" ref="R766">XLOOKUP(E766,Store_Dim!A:A,Store_Dim!B:B,"Not Found")</f>
        <v>North</v>
      </c>
      <c r="S766" s="8" t="str">
        <f t="array" ref="S766">XLOOKUP(E766,Store_Dim!A:A,Store_Dim!D:D,"Not Found")</f>
        <v>Outlet</v>
      </c>
    </row>
    <row r="767" ht="14.25" customHeight="1">
      <c r="A767" s="8" t="s">
        <v>2720</v>
      </c>
      <c r="B767" s="12">
        <v>46245.0</v>
      </c>
      <c r="C767" s="8" t="s">
        <v>1482</v>
      </c>
      <c r="D767" s="8" t="s">
        <v>1635</v>
      </c>
      <c r="E767" s="8" t="s">
        <v>1917</v>
      </c>
      <c r="F767" s="8">
        <v>4.0</v>
      </c>
      <c r="G767" s="8">
        <v>186.24</v>
      </c>
      <c r="H767" s="8">
        <v>0.23</v>
      </c>
      <c r="I767" s="8">
        <f t="shared" si="1"/>
        <v>744.96</v>
      </c>
      <c r="J767" s="8">
        <f t="shared" si="2"/>
        <v>-171.1108</v>
      </c>
      <c r="K767" s="8" t="str">
        <f t="shared" si="3"/>
        <v>Aug</v>
      </c>
      <c r="L767" s="8">
        <f t="shared" si="4"/>
        <v>2026</v>
      </c>
      <c r="N767" s="8" t="str">
        <f t="array" ref="N767">XLOOKUP(C767,Customer_Dim!A:A,Customer_Dim!B:B,"Not Found")</f>
        <v>Elizabeth Foster</v>
      </c>
      <c r="O767" s="8" t="str">
        <f t="array" ref="O767">XLOOKUP(C767,Customer_Dim!A:A,Customer_Dim!E:E,"Not Found")</f>
        <v>Anthonymouth</v>
      </c>
      <c r="P767" s="8" t="str">
        <f t="array" ref="P767">XLOOKUP(D767,Product_Dim!A:A,Product_Dim!B:B,"Not Found")</f>
        <v>Women's Denim Jeans</v>
      </c>
      <c r="Q767" s="8" t="str">
        <f t="array" ref="Q767">XLOOKUP(D767,Product_Dim!A:A,Product_Dim!C:C,"Not Found")</f>
        <v>Clothing</v>
      </c>
      <c r="R767" s="8" t="str">
        <f t="array" ref="R767">XLOOKUP(E767,Store_Dim!A:A,Store_Dim!B:B,"Not Found")</f>
        <v>East</v>
      </c>
      <c r="S767" s="8" t="str">
        <f t="array" ref="S767">XLOOKUP(E767,Store_Dim!A:A,Store_Dim!D:D,"Not Found")</f>
        <v>Online</v>
      </c>
    </row>
    <row r="768" ht="14.25" customHeight="1">
      <c r="A768" s="8" t="s">
        <v>2721</v>
      </c>
      <c r="B768" s="12">
        <v>46246.0</v>
      </c>
      <c r="C768" s="8" t="s">
        <v>952</v>
      </c>
      <c r="D768" s="8" t="s">
        <v>1707</v>
      </c>
      <c r="E768" s="8" t="s">
        <v>1921</v>
      </c>
      <c r="F768" s="8">
        <v>4.0</v>
      </c>
      <c r="G768" s="8">
        <v>609.06</v>
      </c>
      <c r="H768" s="8">
        <v>0.22</v>
      </c>
      <c r="I768" s="8">
        <f t="shared" si="1"/>
        <v>2436.24</v>
      </c>
      <c r="J768" s="8">
        <f t="shared" si="2"/>
        <v>-535.7528</v>
      </c>
      <c r="K768" s="8" t="str">
        <f t="shared" si="3"/>
        <v>Aug</v>
      </c>
      <c r="L768" s="8">
        <f t="shared" si="4"/>
        <v>2026</v>
      </c>
      <c r="N768" s="8" t="str">
        <f t="array" ref="N768">XLOOKUP(C768,Customer_Dim!A:A,Customer_Dim!B:B,"Not Found")</f>
        <v>Jared Moran</v>
      </c>
      <c r="O768" s="8" t="str">
        <f t="array" ref="O768">XLOOKUP(C768,Customer_Dim!A:A,Customer_Dim!E:E,"Not Found")</f>
        <v>South David</v>
      </c>
      <c r="P768" s="8" t="str">
        <f t="array" ref="P768">XLOOKUP(D768,Product_Dim!A:A,Product_Dim!B:B,"Not Found")</f>
        <v>Noise-Canceling Headphones</v>
      </c>
      <c r="Q768" s="8" t="str">
        <f t="array" ref="Q768">XLOOKUP(D768,Product_Dim!A:A,Product_Dim!C:C,"Not Found")</f>
        <v>Electronics</v>
      </c>
      <c r="R768" s="8" t="str">
        <f t="array" ref="R768">XLOOKUP(E768,Store_Dim!A:A,Store_Dim!B:B,"Not Found")</f>
        <v>West</v>
      </c>
      <c r="S768" s="8" t="str">
        <f t="array" ref="S768">XLOOKUP(E768,Store_Dim!A:A,Store_Dim!D:D,"Not Found")</f>
        <v>Online</v>
      </c>
    </row>
    <row r="769" ht="14.25" customHeight="1">
      <c r="A769" s="8" t="s">
        <v>2722</v>
      </c>
      <c r="B769" s="12">
        <v>46247.0</v>
      </c>
      <c r="C769" s="8" t="s">
        <v>1371</v>
      </c>
      <c r="D769" s="8" t="s">
        <v>1684</v>
      </c>
      <c r="E769" s="8" t="s">
        <v>1928</v>
      </c>
      <c r="F769" s="8">
        <v>1.0</v>
      </c>
      <c r="G769" s="8">
        <v>827.91</v>
      </c>
      <c r="H769" s="8">
        <v>0.21</v>
      </c>
      <c r="I769" s="8">
        <f t="shared" si="1"/>
        <v>827.91</v>
      </c>
      <c r="J769" s="8">
        <f t="shared" si="2"/>
        <v>-173.6511</v>
      </c>
      <c r="K769" s="8" t="str">
        <f t="shared" si="3"/>
        <v>Aug</v>
      </c>
      <c r="L769" s="8">
        <f t="shared" si="4"/>
        <v>2026</v>
      </c>
      <c r="N769" s="8" t="str">
        <f t="array" ref="N769">XLOOKUP(C769,Customer_Dim!A:A,Customer_Dim!B:B,"Not Found")</f>
        <v>Melinda Rivera</v>
      </c>
      <c r="O769" s="8" t="str">
        <f t="array" ref="O769">XLOOKUP(C769,Customer_Dim!A:A,Customer_Dim!E:E,"Not Found")</f>
        <v>East Davidmouth</v>
      </c>
      <c r="P769" s="8" t="str">
        <f t="array" ref="P769">XLOOKUP(D769,Product_Dim!A:A,Product_Dim!B:B,"Not Found")</f>
        <v>Modern Wall Clock</v>
      </c>
      <c r="Q769" s="8" t="str">
        <f t="array" ref="Q769">XLOOKUP(D769,Product_Dim!A:A,Product_Dim!C:C,"Not Found")</f>
        <v>Home</v>
      </c>
      <c r="R769" s="8" t="str">
        <f t="array" ref="R769">XLOOKUP(E769,Store_Dim!A:A,Store_Dim!B:B,"Not Found")</f>
        <v>South</v>
      </c>
      <c r="S769" s="8" t="str">
        <f t="array" ref="S769">XLOOKUP(E769,Store_Dim!A:A,Store_Dim!D:D,"Not Found")</f>
        <v>Online</v>
      </c>
    </row>
    <row r="770" ht="14.25" customHeight="1">
      <c r="A770" s="8" t="s">
        <v>2723</v>
      </c>
      <c r="B770" s="12">
        <v>46248.0</v>
      </c>
      <c r="C770" s="8" t="s">
        <v>594</v>
      </c>
      <c r="D770" s="8" t="s">
        <v>1839</v>
      </c>
      <c r="E770" s="8" t="s">
        <v>1899</v>
      </c>
      <c r="F770" s="8">
        <v>1.0</v>
      </c>
      <c r="G770" s="8">
        <v>303.79</v>
      </c>
      <c r="H770" s="8">
        <v>0.24</v>
      </c>
      <c r="I770" s="8">
        <f t="shared" si="1"/>
        <v>303.79</v>
      </c>
      <c r="J770" s="8">
        <f t="shared" si="2"/>
        <v>-72.6696</v>
      </c>
      <c r="K770" s="8" t="str">
        <f t="shared" si="3"/>
        <v>Aug</v>
      </c>
      <c r="L770" s="8">
        <f t="shared" si="4"/>
        <v>2026</v>
      </c>
      <c r="N770" s="8" t="str">
        <f t="array" ref="N770">XLOOKUP(C770,Customer_Dim!A:A,Customer_Dim!B:B,"Not Found")</f>
        <v>John Bradford</v>
      </c>
      <c r="O770" s="8" t="str">
        <f t="array" ref="O770">XLOOKUP(C770,Customer_Dim!A:A,Customer_Dim!E:E,"Not Found")</f>
        <v>Anabury</v>
      </c>
      <c r="P770" s="8" t="str">
        <f t="array" ref="P770">XLOOKUP(D770,Product_Dim!A:A,Product_Dim!B:B,"Not Found")</f>
        <v>Hydrating Face Cleanser</v>
      </c>
      <c r="Q770" s="8" t="str">
        <f t="array" ref="Q770">XLOOKUP(D770,Product_Dim!A:A,Product_Dim!C:C,"Not Found")</f>
        <v>Beauty</v>
      </c>
      <c r="R770" s="8" t="str">
        <f t="array" ref="R770">XLOOKUP(E770,Store_Dim!A:A,Store_Dim!B:B,"Not Found")</f>
        <v>East</v>
      </c>
      <c r="S770" s="8" t="str">
        <f t="array" ref="S770">XLOOKUP(E770,Store_Dim!A:A,Store_Dim!D:D,"Not Found")</f>
        <v>Flagship</v>
      </c>
    </row>
    <row r="771" ht="14.25" customHeight="1">
      <c r="A771" s="8" t="s">
        <v>2724</v>
      </c>
      <c r="B771" s="12">
        <v>46249.0</v>
      </c>
      <c r="C771" s="8" t="s">
        <v>379</v>
      </c>
      <c r="D771" s="8" t="s">
        <v>1696</v>
      </c>
      <c r="E771" s="8" t="s">
        <v>1917</v>
      </c>
      <c r="F771" s="8">
        <v>2.0</v>
      </c>
      <c r="G771" s="8">
        <v>365.91</v>
      </c>
      <c r="H771" s="8">
        <v>0.14</v>
      </c>
      <c r="I771" s="8">
        <f t="shared" si="1"/>
        <v>731.82</v>
      </c>
      <c r="J771" s="8">
        <f t="shared" si="2"/>
        <v>-102.3148</v>
      </c>
      <c r="K771" s="8" t="str">
        <f t="shared" si="3"/>
        <v>Aug</v>
      </c>
      <c r="L771" s="8">
        <f t="shared" si="4"/>
        <v>2026</v>
      </c>
      <c r="N771" s="8" t="str">
        <f t="array" ref="N771">XLOOKUP(C771,Customer_Dim!A:A,Customer_Dim!B:B,"Not Found")</f>
        <v>Christopher Lester</v>
      </c>
      <c r="O771" s="8" t="str">
        <f t="array" ref="O771">XLOOKUP(C771,Customer_Dim!A:A,Customer_Dim!E:E,"Not Found")</f>
        <v>South Jenniferville</v>
      </c>
      <c r="P771" s="8" t="str">
        <f t="array" ref="P771">XLOOKUP(D771,Product_Dim!A:A,Product_Dim!B:B,"Not Found")</f>
        <v>Men's Casual Sneakers</v>
      </c>
      <c r="Q771" s="8" t="str">
        <f t="array" ref="Q771">XLOOKUP(D771,Product_Dim!A:A,Product_Dim!C:C,"Not Found")</f>
        <v>Clothing</v>
      </c>
      <c r="R771" s="8" t="str">
        <f t="array" ref="R771">XLOOKUP(E771,Store_Dim!A:A,Store_Dim!B:B,"Not Found")</f>
        <v>East</v>
      </c>
      <c r="S771" s="8" t="str">
        <f t="array" ref="S771">XLOOKUP(E771,Store_Dim!A:A,Store_Dim!D:D,"Not Found")</f>
        <v>Online</v>
      </c>
    </row>
    <row r="772" ht="14.25" customHeight="1">
      <c r="A772" s="8" t="s">
        <v>2725</v>
      </c>
      <c r="B772" s="12">
        <v>46250.0</v>
      </c>
      <c r="C772" s="8" t="s">
        <v>265</v>
      </c>
      <c r="D772" s="8" t="s">
        <v>1659</v>
      </c>
      <c r="E772" s="8" t="s">
        <v>1937</v>
      </c>
      <c r="F772" s="8">
        <v>3.0</v>
      </c>
      <c r="G772" s="8">
        <v>852.72</v>
      </c>
      <c r="H772" s="8">
        <v>0.16</v>
      </c>
      <c r="I772" s="8">
        <f t="shared" si="1"/>
        <v>2558.16</v>
      </c>
      <c r="J772" s="8">
        <f t="shared" si="2"/>
        <v>-409.1456</v>
      </c>
      <c r="K772" s="8" t="str">
        <f t="shared" si="3"/>
        <v>Aug</v>
      </c>
      <c r="L772" s="8">
        <f t="shared" si="4"/>
        <v>2026</v>
      </c>
      <c r="N772" s="8" t="str">
        <f t="array" ref="N772">XLOOKUP(C772,Customer_Dim!A:A,Customer_Dim!B:B,"Not Found")</f>
        <v>Roy Cole</v>
      </c>
      <c r="O772" s="8" t="str">
        <f t="array" ref="O772">XLOOKUP(C772,Customer_Dim!A:A,Customer_Dim!E:E,"Not Found")</f>
        <v>North Cynthiatown</v>
      </c>
      <c r="P772" s="8" t="str">
        <f t="array" ref="P772">XLOOKUP(D772,Product_Dim!A:A,Product_Dim!B:B,"Not Found")</f>
        <v>Women's Scarf Set</v>
      </c>
      <c r="Q772" s="8" t="str">
        <f t="array" ref="Q772">XLOOKUP(D772,Product_Dim!A:A,Product_Dim!C:C,"Not Found")</f>
        <v>Clothing</v>
      </c>
      <c r="R772" s="8" t="str">
        <f t="array" ref="R772">XLOOKUP(E772,Store_Dim!A:A,Store_Dim!B:B,"Not Found")</f>
        <v>North</v>
      </c>
      <c r="S772" s="8" t="str">
        <f t="array" ref="S772">XLOOKUP(E772,Store_Dim!A:A,Store_Dim!D:D,"Not Found")</f>
        <v>Flagship</v>
      </c>
    </row>
    <row r="773" ht="14.25" customHeight="1">
      <c r="A773" s="8" t="s">
        <v>2726</v>
      </c>
      <c r="B773" s="12">
        <v>46251.0</v>
      </c>
      <c r="C773" s="8" t="s">
        <v>806</v>
      </c>
      <c r="D773" s="8" t="s">
        <v>1606</v>
      </c>
      <c r="E773" s="8" t="s">
        <v>1912</v>
      </c>
      <c r="F773" s="8">
        <v>1.0</v>
      </c>
      <c r="G773" s="8">
        <v>768.25</v>
      </c>
      <c r="H773" s="8">
        <v>0.18</v>
      </c>
      <c r="I773" s="8">
        <f t="shared" si="1"/>
        <v>768.25</v>
      </c>
      <c r="J773" s="8">
        <f t="shared" si="2"/>
        <v>-138.105</v>
      </c>
      <c r="K773" s="8" t="str">
        <f t="shared" si="3"/>
        <v>Aug</v>
      </c>
      <c r="L773" s="8">
        <f t="shared" si="4"/>
        <v>2026</v>
      </c>
      <c r="N773" s="8" t="str">
        <f t="array" ref="N773">XLOOKUP(C773,Customer_Dim!A:A,Customer_Dim!B:B,"Not Found")</f>
        <v>Douglas Rhodes</v>
      </c>
      <c r="O773" s="8" t="str">
        <f t="array" ref="O773">XLOOKUP(C773,Customer_Dim!A:A,Customer_Dim!E:E,"Not Found")</f>
        <v>Mikehaven</v>
      </c>
      <c r="P773" s="8" t="str">
        <f t="array" ref="P773">XLOOKUP(D773,Product_Dim!A:A,Product_Dim!B:B,"Not Found")</f>
        <v>Ceramic Kitchen Bowl Set</v>
      </c>
      <c r="Q773" s="8" t="str">
        <f t="array" ref="Q773">XLOOKUP(D773,Product_Dim!A:A,Product_Dim!C:C,"Not Found")</f>
        <v>Home</v>
      </c>
      <c r="R773" s="8" t="str">
        <f t="array" ref="R773">XLOOKUP(E773,Store_Dim!A:A,Store_Dim!B:B,"Not Found")</f>
        <v>South</v>
      </c>
      <c r="S773" s="8" t="str">
        <f t="array" ref="S773">XLOOKUP(E773,Store_Dim!A:A,Store_Dim!D:D,"Not Found")</f>
        <v>Online</v>
      </c>
    </row>
    <row r="774" ht="14.25" customHeight="1">
      <c r="A774" s="8" t="s">
        <v>2727</v>
      </c>
      <c r="B774" s="12">
        <v>46252.0</v>
      </c>
      <c r="C774" s="8" t="s">
        <v>1113</v>
      </c>
      <c r="D774" s="8" t="s">
        <v>1866</v>
      </c>
      <c r="E774" s="8" t="s">
        <v>1941</v>
      </c>
      <c r="F774" s="8">
        <v>2.0</v>
      </c>
      <c r="G774" s="8">
        <v>318.62</v>
      </c>
      <c r="H774" s="8">
        <v>0.02</v>
      </c>
      <c r="I774" s="8">
        <f t="shared" si="1"/>
        <v>637.24</v>
      </c>
      <c r="J774" s="8">
        <f t="shared" si="2"/>
        <v>-12.7248</v>
      </c>
      <c r="K774" s="8" t="str">
        <f t="shared" si="3"/>
        <v>Aug</v>
      </c>
      <c r="L774" s="8">
        <f t="shared" si="4"/>
        <v>2026</v>
      </c>
      <c r="N774" s="8" t="str">
        <f t="array" ref="N774">XLOOKUP(C774,Customer_Dim!A:A,Customer_Dim!B:B,"Not Found")</f>
        <v>Charles Miller</v>
      </c>
      <c r="O774" s="8" t="str">
        <f t="array" ref="O774">XLOOKUP(C774,Customer_Dim!A:A,Customer_Dim!E:E,"Not Found")</f>
        <v>Lake Allisonborough</v>
      </c>
      <c r="P774" s="8" t="str">
        <f t="array" ref="P774">XLOOKUP(D774,Product_Dim!A:A,Product_Dim!B:B,"Not Found")</f>
        <v>Microwave Oven</v>
      </c>
      <c r="Q774" s="8" t="str">
        <f t="array" ref="Q774">XLOOKUP(D774,Product_Dim!A:A,Product_Dim!C:C,"Not Found")</f>
        <v>Home</v>
      </c>
      <c r="R774" s="8" t="str">
        <f t="array" ref="R774">XLOOKUP(E774,Store_Dim!A:A,Store_Dim!B:B,"Not Found")</f>
        <v>East</v>
      </c>
      <c r="S774" s="8" t="str">
        <f t="array" ref="S774">XLOOKUP(E774,Store_Dim!A:A,Store_Dim!D:D,"Not Found")</f>
        <v>Online</v>
      </c>
    </row>
    <row r="775" ht="14.25" customHeight="1">
      <c r="A775" s="8" t="s">
        <v>2728</v>
      </c>
      <c r="B775" s="12">
        <v>46253.0</v>
      </c>
      <c r="C775" s="8" t="s">
        <v>198</v>
      </c>
      <c r="D775" s="8" t="s">
        <v>1818</v>
      </c>
      <c r="E775" s="8" t="s">
        <v>1906</v>
      </c>
      <c r="F775" s="8">
        <v>4.0</v>
      </c>
      <c r="G775" s="8">
        <v>402.11</v>
      </c>
      <c r="H775" s="8">
        <v>0.14</v>
      </c>
      <c r="I775" s="8">
        <f t="shared" si="1"/>
        <v>1608.44</v>
      </c>
      <c r="J775" s="8">
        <f t="shared" si="2"/>
        <v>-225.0416</v>
      </c>
      <c r="K775" s="8" t="str">
        <f t="shared" si="3"/>
        <v>Aug</v>
      </c>
      <c r="L775" s="8">
        <f t="shared" si="4"/>
        <v>2026</v>
      </c>
      <c r="N775" s="8" t="str">
        <f t="array" ref="N775">XLOOKUP(C775,Customer_Dim!A:A,Customer_Dim!B:B,"Not Found")</f>
        <v>Timothy Weaver</v>
      </c>
      <c r="O775" s="8" t="str">
        <f t="array" ref="O775">XLOOKUP(C775,Customer_Dim!A:A,Customer_Dim!E:E,"Not Found")</f>
        <v>New Amy</v>
      </c>
      <c r="P775" s="8" t="str">
        <f t="array" ref="P775">XLOOKUP(D775,Product_Dim!A:A,Product_Dim!B:B,"Not Found")</f>
        <v>Wireless Mouse</v>
      </c>
      <c r="Q775" s="8" t="str">
        <f t="array" ref="Q775">XLOOKUP(D775,Product_Dim!A:A,Product_Dim!C:C,"Not Found")</f>
        <v>Electronics</v>
      </c>
      <c r="R775" s="8" t="str">
        <f t="array" ref="R775">XLOOKUP(E775,Store_Dim!A:A,Store_Dim!B:B,"Not Found")</f>
        <v>South</v>
      </c>
      <c r="S775" s="8" t="str">
        <f t="array" ref="S775">XLOOKUP(E775,Store_Dim!A:A,Store_Dim!D:D,"Not Found")</f>
        <v>Outlet</v>
      </c>
    </row>
    <row r="776" ht="14.25" customHeight="1">
      <c r="A776" s="8" t="s">
        <v>2729</v>
      </c>
      <c r="B776" s="12">
        <v>46254.0</v>
      </c>
      <c r="C776" s="8" t="s">
        <v>1285</v>
      </c>
      <c r="D776" s="8" t="s">
        <v>1842</v>
      </c>
      <c r="E776" s="8" t="s">
        <v>1937</v>
      </c>
      <c r="F776" s="8">
        <v>3.0</v>
      </c>
      <c r="G776" s="8">
        <v>846.31</v>
      </c>
      <c r="H776" s="8">
        <v>0.18</v>
      </c>
      <c r="I776" s="8">
        <f t="shared" si="1"/>
        <v>2538.93</v>
      </c>
      <c r="J776" s="8">
        <f t="shared" si="2"/>
        <v>-456.8274</v>
      </c>
      <c r="K776" s="8" t="str">
        <f t="shared" si="3"/>
        <v>Aug</v>
      </c>
      <c r="L776" s="8">
        <f t="shared" si="4"/>
        <v>2026</v>
      </c>
      <c r="N776" s="8" t="str">
        <f t="array" ref="N776">XLOOKUP(C776,Customer_Dim!A:A,Customer_Dim!B:B,"Not Found")</f>
        <v>Isabel Foster</v>
      </c>
      <c r="O776" s="8" t="str">
        <f t="array" ref="O776">XLOOKUP(C776,Customer_Dim!A:A,Customer_Dim!E:E,"Not Found")</f>
        <v>Port Joshuaville</v>
      </c>
      <c r="P776" s="8" t="str">
        <f t="array" ref="P776">XLOOKUP(D776,Product_Dim!A:A,Product_Dim!B:B,"Not Found")</f>
        <v>Wooden Bookshelf</v>
      </c>
      <c r="Q776" s="8" t="str">
        <f t="array" ref="Q776">XLOOKUP(D776,Product_Dim!A:A,Product_Dim!C:C,"Not Found")</f>
        <v>Home</v>
      </c>
      <c r="R776" s="8" t="str">
        <f t="array" ref="R776">XLOOKUP(E776,Store_Dim!A:A,Store_Dim!B:B,"Not Found")</f>
        <v>North</v>
      </c>
      <c r="S776" s="8" t="str">
        <f t="array" ref="S776">XLOOKUP(E776,Store_Dim!A:A,Store_Dim!D:D,"Not Found")</f>
        <v>Flagship</v>
      </c>
    </row>
    <row r="777" ht="14.25" customHeight="1">
      <c r="A777" s="8" t="s">
        <v>2730</v>
      </c>
      <c r="B777" s="12">
        <v>46255.0</v>
      </c>
      <c r="C777" s="8" t="s">
        <v>571</v>
      </c>
      <c r="D777" s="8" t="s">
        <v>1872</v>
      </c>
      <c r="E777" s="8" t="s">
        <v>1932</v>
      </c>
      <c r="F777" s="8">
        <v>1.0</v>
      </c>
      <c r="G777" s="8">
        <v>269.94</v>
      </c>
      <c r="H777" s="8">
        <v>0.07</v>
      </c>
      <c r="I777" s="8">
        <f t="shared" si="1"/>
        <v>269.94</v>
      </c>
      <c r="J777" s="8">
        <f t="shared" si="2"/>
        <v>-18.8258</v>
      </c>
      <c r="K777" s="8" t="str">
        <f t="shared" si="3"/>
        <v>Aug</v>
      </c>
      <c r="L777" s="8">
        <f t="shared" si="4"/>
        <v>2026</v>
      </c>
      <c r="N777" s="8" t="str">
        <f t="array" ref="N777">XLOOKUP(C777,Customer_Dim!A:A,Customer_Dim!B:B,"Not Found")</f>
        <v>Daniel Contreras</v>
      </c>
      <c r="O777" s="8" t="str">
        <f t="array" ref="O777">XLOOKUP(C777,Customer_Dim!A:A,Customer_Dim!E:E,"Not Found")</f>
        <v>Robertview</v>
      </c>
      <c r="P777" s="8" t="str">
        <f t="array" ref="P777">XLOOKUP(D777,Product_Dim!A:A,Product_Dim!B:B,"Not Found")</f>
        <v>Vitamin E Body Lotion</v>
      </c>
      <c r="Q777" s="8" t="str">
        <f t="array" ref="Q777">XLOOKUP(D777,Product_Dim!A:A,Product_Dim!C:C,"Not Found")</f>
        <v>Beauty</v>
      </c>
      <c r="R777" s="8" t="str">
        <f t="array" ref="R777">XLOOKUP(E777,Store_Dim!A:A,Store_Dim!B:B,"Not Found")</f>
        <v>South</v>
      </c>
      <c r="S777" s="8" t="str">
        <f t="array" ref="S777">XLOOKUP(E777,Store_Dim!A:A,Store_Dim!D:D,"Not Found")</f>
        <v>Outlet</v>
      </c>
    </row>
    <row r="778" ht="14.25" customHeight="1">
      <c r="A778" s="8" t="s">
        <v>2731</v>
      </c>
      <c r="B778" s="12">
        <v>46256.0</v>
      </c>
      <c r="C778" s="8" t="s">
        <v>788</v>
      </c>
      <c r="D778" s="8" t="s">
        <v>1642</v>
      </c>
      <c r="E778" s="8" t="s">
        <v>1912</v>
      </c>
      <c r="F778" s="8">
        <v>3.0</v>
      </c>
      <c r="G778" s="8">
        <v>909.25</v>
      </c>
      <c r="H778" s="8">
        <v>0.29</v>
      </c>
      <c r="I778" s="8">
        <f t="shared" si="1"/>
        <v>2727.75</v>
      </c>
      <c r="J778" s="8">
        <f t="shared" si="2"/>
        <v>-790.7575</v>
      </c>
      <c r="K778" s="8" t="str">
        <f t="shared" si="3"/>
        <v>Aug</v>
      </c>
      <c r="L778" s="8">
        <f t="shared" si="4"/>
        <v>2026</v>
      </c>
      <c r="N778" s="8" t="str">
        <f t="array" ref="N778">XLOOKUP(C778,Customer_Dim!A:A,Customer_Dim!B:B,"Not Found")</f>
        <v>Mr. William Horton</v>
      </c>
      <c r="O778" s="8" t="str">
        <f t="array" ref="O778">XLOOKUP(C778,Customer_Dim!A:A,Customer_Dim!E:E,"Not Found")</f>
        <v>Dawsonchester</v>
      </c>
      <c r="P778" s="8" t="str">
        <f t="array" ref="P778">XLOOKUP(D778,Product_Dim!A:A,Product_Dim!B:B,"Not Found")</f>
        <v>Outdoor Sports Water Bottle</v>
      </c>
      <c r="Q778" s="8" t="str">
        <f t="array" ref="Q778">XLOOKUP(D778,Product_Dim!A:A,Product_Dim!C:C,"Not Found")</f>
        <v>Sports</v>
      </c>
      <c r="R778" s="8" t="str">
        <f t="array" ref="R778">XLOOKUP(E778,Store_Dim!A:A,Store_Dim!B:B,"Not Found")</f>
        <v>South</v>
      </c>
      <c r="S778" s="8" t="str">
        <f t="array" ref="S778">XLOOKUP(E778,Store_Dim!A:A,Store_Dim!D:D,"Not Found")</f>
        <v>Online</v>
      </c>
    </row>
    <row r="779" ht="14.25" customHeight="1">
      <c r="A779" s="8" t="s">
        <v>2732</v>
      </c>
      <c r="B779" s="12">
        <v>46257.0</v>
      </c>
      <c r="C779" s="8" t="s">
        <v>1152</v>
      </c>
      <c r="D779" s="8" t="s">
        <v>1863</v>
      </c>
      <c r="E779" s="8" t="s">
        <v>1929</v>
      </c>
      <c r="F779" s="8">
        <v>2.0</v>
      </c>
      <c r="G779" s="8">
        <v>229.81</v>
      </c>
      <c r="H779" s="8">
        <v>0.21</v>
      </c>
      <c r="I779" s="8">
        <f t="shared" si="1"/>
        <v>459.62</v>
      </c>
      <c r="J779" s="8">
        <f t="shared" si="2"/>
        <v>-96.3102</v>
      </c>
      <c r="K779" s="8" t="str">
        <f t="shared" si="3"/>
        <v>Aug</v>
      </c>
      <c r="L779" s="8">
        <f t="shared" si="4"/>
        <v>2026</v>
      </c>
      <c r="N779" s="8" t="str">
        <f t="array" ref="N779">XLOOKUP(C779,Customer_Dim!A:A,Customer_Dim!B:B,"Not Found")</f>
        <v>Elizabeth Smith</v>
      </c>
      <c r="O779" s="8" t="str">
        <f t="array" ref="O779">XLOOKUP(C779,Customer_Dim!A:A,Customer_Dim!E:E,"Not Found")</f>
        <v>Murphytown</v>
      </c>
      <c r="P779" s="8" t="str">
        <f t="array" ref="P779">XLOOKUP(D779,Product_Dim!A:A,Product_Dim!B:B,"Not Found")</f>
        <v>Women's High Heels</v>
      </c>
      <c r="Q779" s="8" t="str">
        <f t="array" ref="Q779">XLOOKUP(D779,Product_Dim!A:A,Product_Dim!C:C,"Not Found")</f>
        <v>Clothing</v>
      </c>
      <c r="R779" s="8" t="str">
        <f t="array" ref="R779">XLOOKUP(E779,Store_Dim!A:A,Store_Dim!B:B,"Not Found")</f>
        <v>North</v>
      </c>
      <c r="S779" s="8" t="str">
        <f t="array" ref="S779">XLOOKUP(E779,Store_Dim!A:A,Store_Dim!D:D,"Not Found")</f>
        <v>Online</v>
      </c>
    </row>
    <row r="780" ht="14.25" customHeight="1">
      <c r="A780" s="8" t="s">
        <v>2733</v>
      </c>
      <c r="B780" s="12">
        <v>46258.0</v>
      </c>
      <c r="C780" s="8" t="s">
        <v>157</v>
      </c>
      <c r="D780" s="8" t="s">
        <v>1824</v>
      </c>
      <c r="E780" s="8" t="s">
        <v>1933</v>
      </c>
      <c r="F780" s="8">
        <v>3.0</v>
      </c>
      <c r="G780" s="8">
        <v>442.36</v>
      </c>
      <c r="H780" s="8">
        <v>0.06</v>
      </c>
      <c r="I780" s="8">
        <f t="shared" si="1"/>
        <v>1327.08</v>
      </c>
      <c r="J780" s="8">
        <f t="shared" si="2"/>
        <v>-79.5648</v>
      </c>
      <c r="K780" s="8" t="str">
        <f t="shared" si="3"/>
        <v>Aug</v>
      </c>
      <c r="L780" s="8">
        <f t="shared" si="4"/>
        <v>2026</v>
      </c>
      <c r="N780" s="8" t="str">
        <f t="array" ref="N780">XLOOKUP(C780,Customer_Dim!A:A,Customer_Dim!B:B,"Not Found")</f>
        <v>Christopher Carter</v>
      </c>
      <c r="O780" s="8" t="str">
        <f t="array" ref="O780">XLOOKUP(C780,Customer_Dim!A:A,Customer_Dim!E:E,"Not Found")</f>
        <v>Brendastad</v>
      </c>
      <c r="P780" s="8" t="str">
        <f t="array" ref="P780">XLOOKUP(D780,Product_Dim!A:A,Product_Dim!B:B,"Not Found")</f>
        <v>Essential Oil Diffuser</v>
      </c>
      <c r="Q780" s="8" t="str">
        <f t="array" ref="Q780">XLOOKUP(D780,Product_Dim!A:A,Product_Dim!C:C,"Not Found")</f>
        <v>Home</v>
      </c>
      <c r="R780" s="8" t="str">
        <f t="array" ref="R780">XLOOKUP(E780,Store_Dim!A:A,Store_Dim!B:B,"Not Found")</f>
        <v>North</v>
      </c>
      <c r="S780" s="8" t="str">
        <f t="array" ref="S780">XLOOKUP(E780,Store_Dim!A:A,Store_Dim!D:D,"Not Found")</f>
        <v>Flagship</v>
      </c>
    </row>
    <row r="781" ht="14.25" customHeight="1">
      <c r="A781" s="8" t="s">
        <v>2734</v>
      </c>
      <c r="B781" s="12">
        <v>46259.0</v>
      </c>
      <c r="C781" s="8" t="s">
        <v>782</v>
      </c>
      <c r="D781" s="8" t="s">
        <v>1848</v>
      </c>
      <c r="E781" s="8" t="s">
        <v>1910</v>
      </c>
      <c r="F781" s="8">
        <v>3.0</v>
      </c>
      <c r="G781" s="8">
        <v>413.74</v>
      </c>
      <c r="H781" s="8">
        <v>0.01</v>
      </c>
      <c r="I781" s="8">
        <f t="shared" si="1"/>
        <v>1241.22</v>
      </c>
      <c r="J781" s="8">
        <f t="shared" si="2"/>
        <v>-12.4022</v>
      </c>
      <c r="K781" s="8" t="str">
        <f t="shared" si="3"/>
        <v>Aug</v>
      </c>
      <c r="L781" s="8">
        <f t="shared" si="4"/>
        <v>2026</v>
      </c>
      <c r="N781" s="8" t="str">
        <f t="array" ref="N781">XLOOKUP(C781,Customer_Dim!A:A,Customer_Dim!B:B,"Not Found")</f>
        <v>Maria Hill</v>
      </c>
      <c r="O781" s="8" t="str">
        <f t="array" ref="O781">XLOOKUP(C781,Customer_Dim!A:A,Customer_Dim!E:E,"Not Found")</f>
        <v>Zamoraborough</v>
      </c>
      <c r="P781" s="8" t="str">
        <f t="array" ref="P781">XLOOKUP(D781,Product_Dim!A:A,Product_Dim!B:B,"Not Found")</f>
        <v>Kitchen Cutting Board</v>
      </c>
      <c r="Q781" s="8" t="str">
        <f t="array" ref="Q781">XLOOKUP(D781,Product_Dim!A:A,Product_Dim!C:C,"Not Found")</f>
        <v>Home</v>
      </c>
      <c r="R781" s="8" t="str">
        <f t="array" ref="R781">XLOOKUP(E781,Store_Dim!A:A,Store_Dim!B:B,"Not Found")</f>
        <v>North</v>
      </c>
      <c r="S781" s="8" t="str">
        <f t="array" ref="S781">XLOOKUP(E781,Store_Dim!A:A,Store_Dim!D:D,"Not Found")</f>
        <v>Outlet</v>
      </c>
    </row>
    <row r="782" ht="14.25" customHeight="1">
      <c r="A782" s="8" t="s">
        <v>2735</v>
      </c>
      <c r="B782" s="12">
        <v>46260.0</v>
      </c>
      <c r="C782" s="8" t="s">
        <v>1540</v>
      </c>
      <c r="D782" s="8" t="s">
        <v>1857</v>
      </c>
      <c r="E782" s="8" t="s">
        <v>1932</v>
      </c>
      <c r="F782" s="8">
        <v>4.0</v>
      </c>
      <c r="G782" s="8">
        <v>79.75</v>
      </c>
      <c r="H782" s="8">
        <v>0.18</v>
      </c>
      <c r="I782" s="8">
        <f t="shared" si="1"/>
        <v>319</v>
      </c>
      <c r="J782" s="8">
        <f t="shared" si="2"/>
        <v>-57.24</v>
      </c>
      <c r="K782" s="8" t="str">
        <f t="shared" si="3"/>
        <v>Aug</v>
      </c>
      <c r="L782" s="8">
        <f t="shared" si="4"/>
        <v>2026</v>
      </c>
      <c r="N782" s="8" t="str">
        <f t="array" ref="N782">XLOOKUP(C782,Customer_Dim!A:A,Customer_Dim!B:B,"Not Found")</f>
        <v>Christopher Ford</v>
      </c>
      <c r="O782" s="8" t="str">
        <f t="array" ref="O782">XLOOKUP(C782,Customer_Dim!A:A,Customer_Dim!E:E,"Not Found")</f>
        <v>North Seanfurt</v>
      </c>
      <c r="P782" s="8" t="str">
        <f t="array" ref="P782">XLOOKUP(D782,Product_Dim!A:A,Product_Dim!B:B,"Not Found")</f>
        <v>Face Foundation Kit</v>
      </c>
      <c r="Q782" s="8" t="str">
        <f t="array" ref="Q782">XLOOKUP(D782,Product_Dim!A:A,Product_Dim!C:C,"Not Found")</f>
        <v>Beauty</v>
      </c>
      <c r="R782" s="8" t="str">
        <f t="array" ref="R782">XLOOKUP(E782,Store_Dim!A:A,Store_Dim!B:B,"Not Found")</f>
        <v>South</v>
      </c>
      <c r="S782" s="8" t="str">
        <f t="array" ref="S782">XLOOKUP(E782,Store_Dim!A:A,Store_Dim!D:D,"Not Found")</f>
        <v>Outlet</v>
      </c>
    </row>
    <row r="783" ht="14.25" customHeight="1">
      <c r="A783" s="8" t="s">
        <v>2736</v>
      </c>
      <c r="B783" s="12">
        <v>46261.0</v>
      </c>
      <c r="C783" s="8" t="s">
        <v>1537</v>
      </c>
      <c r="D783" s="8" t="s">
        <v>1707</v>
      </c>
      <c r="E783" s="8" t="s">
        <v>1929</v>
      </c>
      <c r="F783" s="8">
        <v>4.0</v>
      </c>
      <c r="G783" s="8">
        <v>95.06</v>
      </c>
      <c r="H783" s="8">
        <v>0.03</v>
      </c>
      <c r="I783" s="8">
        <f t="shared" si="1"/>
        <v>380.24</v>
      </c>
      <c r="J783" s="8">
        <f t="shared" si="2"/>
        <v>-11.3772</v>
      </c>
      <c r="K783" s="8" t="str">
        <f t="shared" si="3"/>
        <v>Aug</v>
      </c>
      <c r="L783" s="8">
        <f t="shared" si="4"/>
        <v>2026</v>
      </c>
      <c r="N783" s="8" t="str">
        <f t="array" ref="N783">XLOOKUP(C783,Customer_Dim!A:A,Customer_Dim!B:B,"Not Found")</f>
        <v>James Berger</v>
      </c>
      <c r="O783" s="8" t="str">
        <f t="array" ref="O783">XLOOKUP(C783,Customer_Dim!A:A,Customer_Dim!E:E,"Not Found")</f>
        <v>Bryanmouth</v>
      </c>
      <c r="P783" s="8" t="str">
        <f t="array" ref="P783">XLOOKUP(D783,Product_Dim!A:A,Product_Dim!B:B,"Not Found")</f>
        <v>Noise-Canceling Headphones</v>
      </c>
      <c r="Q783" s="8" t="str">
        <f t="array" ref="Q783">XLOOKUP(D783,Product_Dim!A:A,Product_Dim!C:C,"Not Found")</f>
        <v>Electronics</v>
      </c>
      <c r="R783" s="8" t="str">
        <f t="array" ref="R783">XLOOKUP(E783,Store_Dim!A:A,Store_Dim!B:B,"Not Found")</f>
        <v>North</v>
      </c>
      <c r="S783" s="8" t="str">
        <f t="array" ref="S783">XLOOKUP(E783,Store_Dim!A:A,Store_Dim!D:D,"Not Found")</f>
        <v>Online</v>
      </c>
    </row>
    <row r="784" ht="14.25" customHeight="1">
      <c r="A784" s="8" t="s">
        <v>2737</v>
      </c>
      <c r="B784" s="12">
        <v>46262.0</v>
      </c>
      <c r="C784" s="8" t="s">
        <v>1308</v>
      </c>
      <c r="D784" s="8" t="s">
        <v>1884</v>
      </c>
      <c r="E784" s="8" t="s">
        <v>1919</v>
      </c>
      <c r="F784" s="8">
        <v>4.0</v>
      </c>
      <c r="G784" s="8">
        <v>107.08</v>
      </c>
      <c r="H784" s="8">
        <v>0.27</v>
      </c>
      <c r="I784" s="8">
        <f t="shared" si="1"/>
        <v>428.32</v>
      </c>
      <c r="J784" s="8">
        <f t="shared" si="2"/>
        <v>-115.3764</v>
      </c>
      <c r="K784" s="8" t="str">
        <f t="shared" si="3"/>
        <v>Aug</v>
      </c>
      <c r="L784" s="8">
        <f t="shared" si="4"/>
        <v>2026</v>
      </c>
      <c r="N784" s="8" t="str">
        <f t="array" ref="N784">XLOOKUP(C784,Customer_Dim!A:A,Customer_Dim!B:B,"Not Found")</f>
        <v>Jennifer Myers</v>
      </c>
      <c r="O784" s="8" t="str">
        <f t="array" ref="O784">XLOOKUP(C784,Customer_Dim!A:A,Customer_Dim!E:E,"Not Found")</f>
        <v>Marthaborough</v>
      </c>
      <c r="P784" s="8" t="str">
        <f t="array" ref="P784">XLOOKUP(D784,Product_Dim!A:A,Product_Dim!B:B,"Not Found")</f>
        <v>Portable Bluetooth Speaker</v>
      </c>
      <c r="Q784" s="8" t="str">
        <f t="array" ref="Q784">XLOOKUP(D784,Product_Dim!A:A,Product_Dim!C:C,"Not Found")</f>
        <v>Electronics</v>
      </c>
      <c r="R784" s="8" t="str">
        <f t="array" ref="R784">XLOOKUP(E784,Store_Dim!A:A,Store_Dim!B:B,"Not Found")</f>
        <v>South</v>
      </c>
      <c r="S784" s="8" t="str">
        <f t="array" ref="S784">XLOOKUP(E784,Store_Dim!A:A,Store_Dim!D:D,"Not Found")</f>
        <v>Online</v>
      </c>
    </row>
    <row r="785" ht="14.25" customHeight="1">
      <c r="A785" s="8" t="s">
        <v>2738</v>
      </c>
      <c r="B785" s="12">
        <v>46263.0</v>
      </c>
      <c r="C785" s="8" t="s">
        <v>1477</v>
      </c>
      <c r="D785" s="8" t="s">
        <v>1887</v>
      </c>
      <c r="E785" s="8" t="s">
        <v>1939</v>
      </c>
      <c r="F785" s="8">
        <v>1.0</v>
      </c>
      <c r="G785" s="8">
        <v>873.18</v>
      </c>
      <c r="H785" s="8">
        <v>0.03</v>
      </c>
      <c r="I785" s="8">
        <f t="shared" si="1"/>
        <v>873.18</v>
      </c>
      <c r="J785" s="8">
        <f t="shared" si="2"/>
        <v>-26.1654</v>
      </c>
      <c r="K785" s="8" t="str">
        <f t="shared" si="3"/>
        <v>Aug</v>
      </c>
      <c r="L785" s="8">
        <f t="shared" si="4"/>
        <v>2026</v>
      </c>
      <c r="N785" s="8" t="str">
        <f t="array" ref="N785">XLOOKUP(C785,Customer_Dim!A:A,Customer_Dim!B:B,"Not Found")</f>
        <v>Joshua Howard</v>
      </c>
      <c r="O785" s="8" t="str">
        <f t="array" ref="O785">XLOOKUP(C785,Customer_Dim!A:A,Customer_Dim!E:E,"Not Found")</f>
        <v>East Christopherhaven</v>
      </c>
      <c r="P785" s="8" t="str">
        <f t="array" ref="P785">XLOOKUP(D785,Product_Dim!A:A,Product_Dim!B:B,"Not Found")</f>
        <v>Stainless Steel Cookware Set</v>
      </c>
      <c r="Q785" s="8" t="str">
        <f t="array" ref="Q785">XLOOKUP(D785,Product_Dim!A:A,Product_Dim!C:C,"Not Found")</f>
        <v>Home</v>
      </c>
      <c r="R785" s="8" t="str">
        <f t="array" ref="R785">XLOOKUP(E785,Store_Dim!A:A,Store_Dim!B:B,"Not Found")</f>
        <v>East</v>
      </c>
      <c r="S785" s="8" t="str">
        <f t="array" ref="S785">XLOOKUP(E785,Store_Dim!A:A,Store_Dim!D:D,"Not Found")</f>
        <v>Flagship</v>
      </c>
    </row>
    <row r="786" ht="14.25" customHeight="1">
      <c r="A786" s="8" t="s">
        <v>2739</v>
      </c>
      <c r="B786" s="12">
        <v>46264.0</v>
      </c>
      <c r="C786" s="8" t="s">
        <v>1194</v>
      </c>
      <c r="D786" s="8" t="s">
        <v>1800</v>
      </c>
      <c r="E786" s="8" t="s">
        <v>1939</v>
      </c>
      <c r="F786" s="8">
        <v>1.0</v>
      </c>
      <c r="G786" s="8">
        <v>914.75</v>
      </c>
      <c r="H786" s="8">
        <v>0.1</v>
      </c>
      <c r="I786" s="8">
        <f t="shared" si="1"/>
        <v>914.75</v>
      </c>
      <c r="J786" s="8">
        <f t="shared" si="2"/>
        <v>-91.375</v>
      </c>
      <c r="K786" s="8" t="str">
        <f t="shared" si="3"/>
        <v>Aug</v>
      </c>
      <c r="L786" s="8">
        <f t="shared" si="4"/>
        <v>2026</v>
      </c>
      <c r="N786" s="8" t="str">
        <f t="array" ref="N786">XLOOKUP(C786,Customer_Dim!A:A,Customer_Dim!B:B,"Not Found")</f>
        <v>Charles Conley</v>
      </c>
      <c r="O786" s="8" t="str">
        <f t="array" ref="O786">XLOOKUP(C786,Customer_Dim!A:A,Customer_Dim!E:E,"Not Found")</f>
        <v>Nathanshire</v>
      </c>
      <c r="P786" s="8" t="str">
        <f t="array" ref="P786">XLOOKUP(D786,Product_Dim!A:A,Product_Dim!B:B,"Not Found")</f>
        <v>Kitchen Storage Rack</v>
      </c>
      <c r="Q786" s="8" t="str">
        <f t="array" ref="Q786">XLOOKUP(D786,Product_Dim!A:A,Product_Dim!C:C,"Not Found")</f>
        <v>Home</v>
      </c>
      <c r="R786" s="8" t="str">
        <f t="array" ref="R786">XLOOKUP(E786,Store_Dim!A:A,Store_Dim!B:B,"Not Found")</f>
        <v>East</v>
      </c>
      <c r="S786" s="8" t="str">
        <f t="array" ref="S786">XLOOKUP(E786,Store_Dim!A:A,Store_Dim!D:D,"Not Found")</f>
        <v>Flagship</v>
      </c>
    </row>
    <row r="787" ht="14.25" customHeight="1">
      <c r="A787" s="8" t="s">
        <v>2740</v>
      </c>
      <c r="B787" s="12">
        <v>46265.0</v>
      </c>
      <c r="C787" s="8" t="s">
        <v>198</v>
      </c>
      <c r="D787" s="8" t="s">
        <v>1809</v>
      </c>
      <c r="E787" s="8" t="s">
        <v>1931</v>
      </c>
      <c r="F787" s="8">
        <v>4.0</v>
      </c>
      <c r="G787" s="8">
        <v>457.33</v>
      </c>
      <c r="H787" s="8">
        <v>0.1</v>
      </c>
      <c r="I787" s="8">
        <f t="shared" si="1"/>
        <v>1829.32</v>
      </c>
      <c r="J787" s="8">
        <f t="shared" si="2"/>
        <v>-182.832</v>
      </c>
      <c r="K787" s="8" t="str">
        <f t="shared" si="3"/>
        <v>Aug</v>
      </c>
      <c r="L787" s="8">
        <f t="shared" si="4"/>
        <v>2026</v>
      </c>
      <c r="N787" s="8" t="str">
        <f t="array" ref="N787">XLOOKUP(C787,Customer_Dim!A:A,Customer_Dim!B:B,"Not Found")</f>
        <v>Timothy Weaver</v>
      </c>
      <c r="O787" s="8" t="str">
        <f t="array" ref="O787">XLOOKUP(C787,Customer_Dim!A:A,Customer_Dim!E:E,"Not Found")</f>
        <v>New Amy</v>
      </c>
      <c r="P787" s="8" t="str">
        <f t="array" ref="P787">XLOOKUP(D787,Product_Dim!A:A,Product_Dim!B:B,"Not Found")</f>
        <v>Shin Guards – Adult</v>
      </c>
      <c r="Q787" s="8" t="str">
        <f t="array" ref="Q787">XLOOKUP(D787,Product_Dim!A:A,Product_Dim!C:C,"Not Found")</f>
        <v>Sports</v>
      </c>
      <c r="R787" s="8" t="str">
        <f t="array" ref="R787">XLOOKUP(E787,Store_Dim!A:A,Store_Dim!B:B,"Not Found")</f>
        <v>East</v>
      </c>
      <c r="S787" s="8" t="str">
        <f t="array" ref="S787">XLOOKUP(E787,Store_Dim!A:A,Store_Dim!D:D,"Not Found")</f>
        <v>Flagship</v>
      </c>
    </row>
    <row r="788" ht="14.25" customHeight="1">
      <c r="A788" s="8" t="s">
        <v>2741</v>
      </c>
      <c r="B788" s="12">
        <v>46266.0</v>
      </c>
      <c r="C788" s="8" t="s">
        <v>941</v>
      </c>
      <c r="D788" s="8" t="s">
        <v>1887</v>
      </c>
      <c r="E788" s="8" t="s">
        <v>1910</v>
      </c>
      <c r="F788" s="8">
        <v>3.0</v>
      </c>
      <c r="G788" s="8">
        <v>761.88</v>
      </c>
      <c r="H788" s="8">
        <v>0.23</v>
      </c>
      <c r="I788" s="8">
        <f t="shared" si="1"/>
        <v>2285.64</v>
      </c>
      <c r="J788" s="8">
        <f t="shared" si="2"/>
        <v>-525.4672</v>
      </c>
      <c r="K788" s="8" t="str">
        <f t="shared" si="3"/>
        <v>Sep</v>
      </c>
      <c r="L788" s="8">
        <f t="shared" si="4"/>
        <v>2026</v>
      </c>
      <c r="N788" s="8" t="str">
        <f t="array" ref="N788">XLOOKUP(C788,Customer_Dim!A:A,Customer_Dim!B:B,"Not Found")</f>
        <v>Ricardo Jones</v>
      </c>
      <c r="O788" s="8" t="str">
        <f t="array" ref="O788">XLOOKUP(C788,Customer_Dim!A:A,Customer_Dim!E:E,"Not Found")</f>
        <v>Danielland</v>
      </c>
      <c r="P788" s="8" t="str">
        <f t="array" ref="P788">XLOOKUP(D788,Product_Dim!A:A,Product_Dim!B:B,"Not Found")</f>
        <v>Stainless Steel Cookware Set</v>
      </c>
      <c r="Q788" s="8" t="str">
        <f t="array" ref="Q788">XLOOKUP(D788,Product_Dim!A:A,Product_Dim!C:C,"Not Found")</f>
        <v>Home</v>
      </c>
      <c r="R788" s="8" t="str">
        <f t="array" ref="R788">XLOOKUP(E788,Store_Dim!A:A,Store_Dim!B:B,"Not Found")</f>
        <v>North</v>
      </c>
      <c r="S788" s="8" t="str">
        <f t="array" ref="S788">XLOOKUP(E788,Store_Dim!A:A,Store_Dim!D:D,"Not Found")</f>
        <v>Outlet</v>
      </c>
    </row>
    <row r="789" ht="14.25" customHeight="1">
      <c r="A789" s="8" t="s">
        <v>2742</v>
      </c>
      <c r="B789" s="12">
        <v>46267.0</v>
      </c>
      <c r="C789" s="8" t="s">
        <v>597</v>
      </c>
      <c r="D789" s="8" t="s">
        <v>1696</v>
      </c>
      <c r="E789" s="8" t="s">
        <v>1941</v>
      </c>
      <c r="F789" s="8">
        <v>4.0</v>
      </c>
      <c r="G789" s="8">
        <v>122.87</v>
      </c>
      <c r="H789" s="8">
        <v>0.13</v>
      </c>
      <c r="I789" s="8">
        <f t="shared" si="1"/>
        <v>491.48</v>
      </c>
      <c r="J789" s="8">
        <f t="shared" si="2"/>
        <v>-63.7624</v>
      </c>
      <c r="K789" s="8" t="str">
        <f t="shared" si="3"/>
        <v>Sep</v>
      </c>
      <c r="L789" s="8">
        <f t="shared" si="4"/>
        <v>2026</v>
      </c>
      <c r="N789" s="8" t="str">
        <f t="array" ref="N789">XLOOKUP(C789,Customer_Dim!A:A,Customer_Dim!B:B,"Not Found")</f>
        <v>Curtis Lam</v>
      </c>
      <c r="O789" s="8" t="str">
        <f t="array" ref="O789">XLOOKUP(C789,Customer_Dim!A:A,Customer_Dim!E:E,"Not Found")</f>
        <v>Butlerberg</v>
      </c>
      <c r="P789" s="8" t="str">
        <f t="array" ref="P789">XLOOKUP(D789,Product_Dim!A:A,Product_Dim!B:B,"Not Found")</f>
        <v>Men's Casual Sneakers</v>
      </c>
      <c r="Q789" s="8" t="str">
        <f t="array" ref="Q789">XLOOKUP(D789,Product_Dim!A:A,Product_Dim!C:C,"Not Found")</f>
        <v>Clothing</v>
      </c>
      <c r="R789" s="8" t="str">
        <f t="array" ref="R789">XLOOKUP(E789,Store_Dim!A:A,Store_Dim!B:B,"Not Found")</f>
        <v>East</v>
      </c>
      <c r="S789" s="8" t="str">
        <f t="array" ref="S789">XLOOKUP(E789,Store_Dim!A:A,Store_Dim!D:D,"Not Found")</f>
        <v>Online</v>
      </c>
    </row>
    <row r="790" ht="14.25" customHeight="1">
      <c r="A790" s="8" t="s">
        <v>2743</v>
      </c>
      <c r="B790" s="12">
        <v>46268.0</v>
      </c>
      <c r="C790" s="8" t="s">
        <v>1480</v>
      </c>
      <c r="D790" s="8" t="s">
        <v>1809</v>
      </c>
      <c r="E790" s="8" t="s">
        <v>1912</v>
      </c>
      <c r="F790" s="8">
        <v>4.0</v>
      </c>
      <c r="G790" s="8">
        <v>753.0</v>
      </c>
      <c r="H790" s="8">
        <v>0.28</v>
      </c>
      <c r="I790" s="8">
        <f t="shared" si="1"/>
        <v>3012</v>
      </c>
      <c r="J790" s="8">
        <f t="shared" si="2"/>
        <v>-843.08</v>
      </c>
      <c r="K790" s="8" t="str">
        <f t="shared" si="3"/>
        <v>Sep</v>
      </c>
      <c r="L790" s="8">
        <f t="shared" si="4"/>
        <v>2026</v>
      </c>
      <c r="N790" s="8" t="str">
        <f t="array" ref="N790">XLOOKUP(C790,Customer_Dim!A:A,Customer_Dim!B:B,"Not Found")</f>
        <v>Barbara Berry</v>
      </c>
      <c r="O790" s="8" t="str">
        <f t="array" ref="O790">XLOOKUP(C790,Customer_Dim!A:A,Customer_Dim!E:E,"Not Found")</f>
        <v>Lake Michael</v>
      </c>
      <c r="P790" s="8" t="str">
        <f t="array" ref="P790">XLOOKUP(D790,Product_Dim!A:A,Product_Dim!B:B,"Not Found")</f>
        <v>Shin Guards – Adult</v>
      </c>
      <c r="Q790" s="8" t="str">
        <f t="array" ref="Q790">XLOOKUP(D790,Product_Dim!A:A,Product_Dim!C:C,"Not Found")</f>
        <v>Sports</v>
      </c>
      <c r="R790" s="8" t="str">
        <f t="array" ref="R790">XLOOKUP(E790,Store_Dim!A:A,Store_Dim!B:B,"Not Found")</f>
        <v>South</v>
      </c>
      <c r="S790" s="8" t="str">
        <f t="array" ref="S790">XLOOKUP(E790,Store_Dim!A:A,Store_Dim!D:D,"Not Found")</f>
        <v>Online</v>
      </c>
    </row>
    <row r="791" ht="14.25" customHeight="1">
      <c r="A791" s="8" t="s">
        <v>2744</v>
      </c>
      <c r="B791" s="12">
        <v>46269.0</v>
      </c>
      <c r="C791" s="8" t="s">
        <v>1173</v>
      </c>
      <c r="D791" s="8" t="s">
        <v>1583</v>
      </c>
      <c r="E791" s="8" t="s">
        <v>1915</v>
      </c>
      <c r="F791" s="8">
        <v>2.0</v>
      </c>
      <c r="G791" s="8">
        <v>788.05</v>
      </c>
      <c r="H791" s="8">
        <v>0.21</v>
      </c>
      <c r="I791" s="8">
        <f t="shared" si="1"/>
        <v>1576.1</v>
      </c>
      <c r="J791" s="8">
        <f t="shared" si="2"/>
        <v>-330.771</v>
      </c>
      <c r="K791" s="8" t="str">
        <f t="shared" si="3"/>
        <v>Sep</v>
      </c>
      <c r="L791" s="8">
        <f t="shared" si="4"/>
        <v>2026</v>
      </c>
      <c r="N791" s="8" t="str">
        <f t="array" ref="N791">XLOOKUP(C791,Customer_Dim!A:A,Customer_Dim!B:B,"Not Found")</f>
        <v>James Holloway Jr.</v>
      </c>
      <c r="O791" s="8" t="str">
        <f t="array" ref="O791">XLOOKUP(C791,Customer_Dim!A:A,Customer_Dim!E:E,"Not Found")</f>
        <v>Millston</v>
      </c>
      <c r="P791" s="8" t="str">
        <f t="array" ref="P791">XLOOKUP(D791,Product_Dim!A:A,Product_Dim!B:B,"Not Found")</f>
        <v>Men's Leather Belt</v>
      </c>
      <c r="Q791" s="8" t="str">
        <f t="array" ref="Q791">XLOOKUP(D791,Product_Dim!A:A,Product_Dim!C:C,"Not Found")</f>
        <v>Clothing</v>
      </c>
      <c r="R791" s="8" t="str">
        <f t="array" ref="R791">XLOOKUP(E791,Store_Dim!A:A,Store_Dim!B:B,"Not Found")</f>
        <v>North</v>
      </c>
      <c r="S791" s="8" t="str">
        <f t="array" ref="S791">XLOOKUP(E791,Store_Dim!A:A,Store_Dim!D:D,"Not Found")</f>
        <v>Outlet</v>
      </c>
    </row>
    <row r="792" ht="14.25" customHeight="1">
      <c r="A792" s="8" t="s">
        <v>2745</v>
      </c>
      <c r="B792" s="12">
        <v>46270.0</v>
      </c>
      <c r="C792" s="8" t="s">
        <v>1441</v>
      </c>
      <c r="D792" s="8" t="s">
        <v>1836</v>
      </c>
      <c r="E792" s="8" t="s">
        <v>1926</v>
      </c>
      <c r="F792" s="8">
        <v>2.0</v>
      </c>
      <c r="G792" s="8">
        <v>807.1</v>
      </c>
      <c r="H792" s="8">
        <v>0.29</v>
      </c>
      <c r="I792" s="8">
        <f t="shared" si="1"/>
        <v>1614.2</v>
      </c>
      <c r="J792" s="8">
        <f t="shared" si="2"/>
        <v>-467.828</v>
      </c>
      <c r="K792" s="8" t="str">
        <f t="shared" si="3"/>
        <v>Sep</v>
      </c>
      <c r="L792" s="8">
        <f t="shared" si="4"/>
        <v>2026</v>
      </c>
      <c r="N792" s="8" t="str">
        <f t="array" ref="N792">XLOOKUP(C792,Customer_Dim!A:A,Customer_Dim!B:B,"Not Found")</f>
        <v>Beth Martin</v>
      </c>
      <c r="O792" s="8" t="str">
        <f t="array" ref="O792">XLOOKUP(C792,Customer_Dim!A:A,Customer_Dim!E:E,"Not Found")</f>
        <v>Burkefurt</v>
      </c>
      <c r="P792" s="8" t="str">
        <f t="array" ref="P792">XLOOKUP(D792,Product_Dim!A:A,Product_Dim!B:B,"Not Found")</f>
        <v>Fitness Resistance Bands</v>
      </c>
      <c r="Q792" s="8" t="str">
        <f t="array" ref="Q792">XLOOKUP(D792,Product_Dim!A:A,Product_Dim!C:C,"Not Found")</f>
        <v>Sports</v>
      </c>
      <c r="R792" s="8" t="str">
        <f t="array" ref="R792">XLOOKUP(E792,Store_Dim!A:A,Store_Dim!B:B,"Not Found")</f>
        <v>East</v>
      </c>
      <c r="S792" s="8" t="str">
        <f t="array" ref="S792">XLOOKUP(E792,Store_Dim!A:A,Store_Dim!D:D,"Not Found")</f>
        <v>Online</v>
      </c>
    </row>
    <row r="793" ht="14.25" customHeight="1">
      <c r="A793" s="8" t="s">
        <v>2746</v>
      </c>
      <c r="B793" s="12">
        <v>46271.0</v>
      </c>
      <c r="C793" s="8" t="s">
        <v>470</v>
      </c>
      <c r="D793" s="8" t="s">
        <v>1597</v>
      </c>
      <c r="E793" s="8" t="s">
        <v>1903</v>
      </c>
      <c r="F793" s="8">
        <v>2.0</v>
      </c>
      <c r="G793" s="8">
        <v>443.09</v>
      </c>
      <c r="H793" s="8">
        <v>0.02</v>
      </c>
      <c r="I793" s="8">
        <f t="shared" si="1"/>
        <v>886.18</v>
      </c>
      <c r="J793" s="8">
        <f t="shared" si="2"/>
        <v>-17.7036</v>
      </c>
      <c r="K793" s="8" t="str">
        <f t="shared" si="3"/>
        <v>Sep</v>
      </c>
      <c r="L793" s="8">
        <f t="shared" si="4"/>
        <v>2026</v>
      </c>
      <c r="N793" s="8" t="str">
        <f t="array" ref="N793">XLOOKUP(C793,Customer_Dim!A:A,Customer_Dim!B:B,"Not Found")</f>
        <v>Morgan Bowen</v>
      </c>
      <c r="O793" s="8" t="str">
        <f t="array" ref="O793">XLOOKUP(C793,Customer_Dim!A:A,Customer_Dim!E:E,"Not Found")</f>
        <v>Parksfort</v>
      </c>
      <c r="P793" s="8" t="str">
        <f t="array" ref="P793">XLOOKUP(D793,Product_Dim!A:A,Product_Dim!B:B,"Not Found")</f>
        <v>Wireless Bluetooth Earbuds</v>
      </c>
      <c r="Q793" s="8" t="str">
        <f t="array" ref="Q793">XLOOKUP(D793,Product_Dim!A:A,Product_Dim!C:C,"Not Found")</f>
        <v>Electronics</v>
      </c>
      <c r="R793" s="8" t="str">
        <f t="array" ref="R793">XLOOKUP(E793,Store_Dim!A:A,Store_Dim!B:B,"Not Found")</f>
        <v>North</v>
      </c>
      <c r="S793" s="8" t="str">
        <f t="array" ref="S793">XLOOKUP(E793,Store_Dim!A:A,Store_Dim!D:D,"Not Found")</f>
        <v>Flagship</v>
      </c>
    </row>
    <row r="794" ht="14.25" customHeight="1">
      <c r="A794" s="8" t="s">
        <v>2747</v>
      </c>
      <c r="B794" s="12">
        <v>46272.0</v>
      </c>
      <c r="C794" s="8" t="s">
        <v>1459</v>
      </c>
      <c r="D794" s="8" t="s">
        <v>1638</v>
      </c>
      <c r="E794" s="8" t="s">
        <v>1933</v>
      </c>
      <c r="F794" s="8">
        <v>1.0</v>
      </c>
      <c r="G794" s="8">
        <v>512.16</v>
      </c>
      <c r="H794" s="8">
        <v>0.02</v>
      </c>
      <c r="I794" s="8">
        <f t="shared" si="1"/>
        <v>512.16</v>
      </c>
      <c r="J794" s="8">
        <f t="shared" si="2"/>
        <v>-10.2232</v>
      </c>
      <c r="K794" s="8" t="str">
        <f t="shared" si="3"/>
        <v>Sep</v>
      </c>
      <c r="L794" s="8">
        <f t="shared" si="4"/>
        <v>2026</v>
      </c>
      <c r="N794" s="8" t="str">
        <f t="array" ref="N794">XLOOKUP(C794,Customer_Dim!A:A,Customer_Dim!B:B,"Not Found")</f>
        <v>Gregory Curtis</v>
      </c>
      <c r="O794" s="8" t="str">
        <f t="array" ref="O794">XLOOKUP(C794,Customer_Dim!A:A,Customer_Dim!E:E,"Not Found")</f>
        <v>Bergermouth</v>
      </c>
      <c r="P794" s="8" t="str">
        <f t="array" ref="P794">XLOOKUP(D794,Product_Dim!A:A,Product_Dim!B:B,"Not Found")</f>
        <v>Knee Support Brace</v>
      </c>
      <c r="Q794" s="8" t="str">
        <f t="array" ref="Q794">XLOOKUP(D794,Product_Dim!A:A,Product_Dim!C:C,"Not Found")</f>
        <v>Sports</v>
      </c>
      <c r="R794" s="8" t="str">
        <f t="array" ref="R794">XLOOKUP(E794,Store_Dim!A:A,Store_Dim!B:B,"Not Found")</f>
        <v>North</v>
      </c>
      <c r="S794" s="8" t="str">
        <f t="array" ref="S794">XLOOKUP(E794,Store_Dim!A:A,Store_Dim!D:D,"Not Found")</f>
        <v>Flagship</v>
      </c>
    </row>
    <row r="795" ht="14.25" customHeight="1">
      <c r="A795" s="8" t="s">
        <v>2748</v>
      </c>
      <c r="B795" s="12">
        <v>46273.0</v>
      </c>
      <c r="C795" s="8" t="s">
        <v>690</v>
      </c>
      <c r="D795" s="8" t="s">
        <v>1710</v>
      </c>
      <c r="E795" s="8" t="s">
        <v>1939</v>
      </c>
      <c r="F795" s="8">
        <v>2.0</v>
      </c>
      <c r="G795" s="8">
        <v>602.55</v>
      </c>
      <c r="H795" s="8">
        <v>0.23</v>
      </c>
      <c r="I795" s="8">
        <f t="shared" si="1"/>
        <v>1205.1</v>
      </c>
      <c r="J795" s="8">
        <f t="shared" si="2"/>
        <v>-276.943</v>
      </c>
      <c r="K795" s="8" t="str">
        <f t="shared" si="3"/>
        <v>Sep</v>
      </c>
      <c r="L795" s="8">
        <f t="shared" si="4"/>
        <v>2026</v>
      </c>
      <c r="N795" s="8" t="str">
        <f t="array" ref="N795">XLOOKUP(C795,Customer_Dim!A:A,Customer_Dim!B:B,"Not Found")</f>
        <v>John Perez</v>
      </c>
      <c r="O795" s="8" t="str">
        <f t="array" ref="O795">XLOOKUP(C795,Customer_Dim!A:A,Customer_Dim!E:E,"Not Found")</f>
        <v>Kathrynview</v>
      </c>
      <c r="P795" s="8" t="str">
        <f t="array" ref="P795">XLOOKUP(D795,Product_Dim!A:A,Product_Dim!B:B,"Not Found")</f>
        <v>Yoga Exercise Mat</v>
      </c>
      <c r="Q795" s="8" t="str">
        <f t="array" ref="Q795">XLOOKUP(D795,Product_Dim!A:A,Product_Dim!C:C,"Not Found")</f>
        <v>Sports</v>
      </c>
      <c r="R795" s="8" t="str">
        <f t="array" ref="R795">XLOOKUP(E795,Store_Dim!A:A,Store_Dim!B:B,"Not Found")</f>
        <v>East</v>
      </c>
      <c r="S795" s="8" t="str">
        <f t="array" ref="S795">XLOOKUP(E795,Store_Dim!A:A,Store_Dim!D:D,"Not Found")</f>
        <v>Flagship</v>
      </c>
    </row>
    <row r="796" ht="14.25" customHeight="1">
      <c r="A796" s="8" t="s">
        <v>2749</v>
      </c>
      <c r="B796" s="12">
        <v>46274.0</v>
      </c>
      <c r="C796" s="8" t="s">
        <v>559</v>
      </c>
      <c r="D796" s="8" t="s">
        <v>1713</v>
      </c>
      <c r="E796" s="8" t="s">
        <v>1899</v>
      </c>
      <c r="F796" s="8">
        <v>3.0</v>
      </c>
      <c r="G796" s="8">
        <v>846.19</v>
      </c>
      <c r="H796" s="8">
        <v>0.09</v>
      </c>
      <c r="I796" s="8">
        <f t="shared" si="1"/>
        <v>2538.57</v>
      </c>
      <c r="J796" s="8">
        <f t="shared" si="2"/>
        <v>-228.3813</v>
      </c>
      <c r="K796" s="8" t="str">
        <f t="shared" si="3"/>
        <v>Sep</v>
      </c>
      <c r="L796" s="8">
        <f t="shared" si="4"/>
        <v>2026</v>
      </c>
      <c r="N796" s="8" t="str">
        <f t="array" ref="N796">XLOOKUP(C796,Customer_Dim!A:A,Customer_Dim!B:B,"Not Found")</f>
        <v>Daniel Rivas</v>
      </c>
      <c r="O796" s="8" t="str">
        <f t="array" ref="O796">XLOOKUP(C796,Customer_Dim!A:A,Customer_Dim!E:E,"Not Found")</f>
        <v>Dominiquefort</v>
      </c>
      <c r="P796" s="8" t="str">
        <f t="array" ref="P796">XLOOKUP(D796,Product_Dim!A:A,Product_Dim!B:B,"Not Found")</f>
        <v>Smart Home WiFi Camera</v>
      </c>
      <c r="Q796" s="8" t="str">
        <f t="array" ref="Q796">XLOOKUP(D796,Product_Dim!A:A,Product_Dim!C:C,"Not Found")</f>
        <v>Electronics</v>
      </c>
      <c r="R796" s="8" t="str">
        <f t="array" ref="R796">XLOOKUP(E796,Store_Dim!A:A,Store_Dim!B:B,"Not Found")</f>
        <v>East</v>
      </c>
      <c r="S796" s="8" t="str">
        <f t="array" ref="S796">XLOOKUP(E796,Store_Dim!A:A,Store_Dim!D:D,"Not Found")</f>
        <v>Flagship</v>
      </c>
    </row>
    <row r="797" ht="14.25" customHeight="1">
      <c r="A797" s="8" t="s">
        <v>2750</v>
      </c>
      <c r="B797" s="12">
        <v>46275.0</v>
      </c>
      <c r="C797" s="8" t="s">
        <v>1041</v>
      </c>
      <c r="D797" s="8" t="s">
        <v>1797</v>
      </c>
      <c r="E797" s="8" t="s">
        <v>1921</v>
      </c>
      <c r="F797" s="8">
        <v>1.0</v>
      </c>
      <c r="G797" s="8">
        <v>506.73</v>
      </c>
      <c r="H797" s="8">
        <v>0.29</v>
      </c>
      <c r="I797" s="8">
        <f t="shared" si="1"/>
        <v>506.73</v>
      </c>
      <c r="J797" s="8">
        <f t="shared" si="2"/>
        <v>-146.6617</v>
      </c>
      <c r="K797" s="8" t="str">
        <f t="shared" si="3"/>
        <v>Sep</v>
      </c>
      <c r="L797" s="8">
        <f t="shared" si="4"/>
        <v>2026</v>
      </c>
      <c r="N797" s="8" t="str">
        <f t="array" ref="N797">XLOOKUP(C797,Customer_Dim!A:A,Customer_Dim!B:B,"Not Found")</f>
        <v>Robert King</v>
      </c>
      <c r="O797" s="8" t="str">
        <f t="array" ref="O797">XLOOKUP(C797,Customer_Dim!A:A,Customer_Dim!E:E,"Not Found")</f>
        <v>Cindyton</v>
      </c>
      <c r="P797" s="8" t="str">
        <f t="array" ref="P797">XLOOKUP(D797,Product_Dim!A:A,Product_Dim!B:B,"Not Found")</f>
        <v>Men's Sports Shorts</v>
      </c>
      <c r="Q797" s="8" t="str">
        <f t="array" ref="Q797">XLOOKUP(D797,Product_Dim!A:A,Product_Dim!C:C,"Not Found")</f>
        <v>Clothing</v>
      </c>
      <c r="R797" s="8" t="str">
        <f t="array" ref="R797">XLOOKUP(E797,Store_Dim!A:A,Store_Dim!B:B,"Not Found")</f>
        <v>West</v>
      </c>
      <c r="S797" s="8" t="str">
        <f t="array" ref="S797">XLOOKUP(E797,Store_Dim!A:A,Store_Dim!D:D,"Not Found")</f>
        <v>Online</v>
      </c>
    </row>
    <row r="798" ht="14.25" customHeight="1">
      <c r="A798" s="8" t="s">
        <v>2751</v>
      </c>
      <c r="B798" s="12">
        <v>46276.0</v>
      </c>
      <c r="C798" s="8" t="s">
        <v>208</v>
      </c>
      <c r="D798" s="8" t="s">
        <v>1742</v>
      </c>
      <c r="E798" s="8" t="s">
        <v>1935</v>
      </c>
      <c r="F798" s="8">
        <v>1.0</v>
      </c>
      <c r="G798" s="8">
        <v>408.66</v>
      </c>
      <c r="H798" s="8">
        <v>0.13</v>
      </c>
      <c r="I798" s="8">
        <f t="shared" si="1"/>
        <v>408.66</v>
      </c>
      <c r="J798" s="8">
        <f t="shared" si="2"/>
        <v>-52.9958</v>
      </c>
      <c r="K798" s="8" t="str">
        <f t="shared" si="3"/>
        <v>Sep</v>
      </c>
      <c r="L798" s="8">
        <f t="shared" si="4"/>
        <v>2026</v>
      </c>
      <c r="N798" s="8" t="str">
        <f t="array" ref="N798">XLOOKUP(C798,Customer_Dim!A:A,Customer_Dim!B:B,"Not Found")</f>
        <v>Debra Liu</v>
      </c>
      <c r="O798" s="8" t="str">
        <f t="array" ref="O798">XLOOKUP(C798,Customer_Dim!A:A,Customer_Dim!E:E,"Not Found")</f>
        <v>South Timtown</v>
      </c>
      <c r="P798" s="8" t="str">
        <f t="array" ref="P798">XLOOKUP(D798,Product_Dim!A:A,Product_Dim!B:B,"Not Found")</f>
        <v>HDMI Cable – 2m</v>
      </c>
      <c r="Q798" s="8" t="str">
        <f t="array" ref="Q798">XLOOKUP(D798,Product_Dim!A:A,Product_Dim!C:C,"Not Found")</f>
        <v>Electronics</v>
      </c>
      <c r="R798" s="8" t="str">
        <f t="array" ref="R798">XLOOKUP(E798,Store_Dim!A:A,Store_Dim!B:B,"Not Found")</f>
        <v>West</v>
      </c>
      <c r="S798" s="8" t="str">
        <f t="array" ref="S798">XLOOKUP(E798,Store_Dim!A:A,Store_Dim!D:D,"Not Found")</f>
        <v>Flagship</v>
      </c>
    </row>
    <row r="799" ht="14.25" customHeight="1">
      <c r="A799" s="8" t="s">
        <v>2752</v>
      </c>
      <c r="B799" s="12">
        <v>46277.0</v>
      </c>
      <c r="C799" s="8" t="s">
        <v>397</v>
      </c>
      <c r="D799" s="8" t="s">
        <v>1597</v>
      </c>
      <c r="E799" s="8" t="s">
        <v>1937</v>
      </c>
      <c r="F799" s="8">
        <v>3.0</v>
      </c>
      <c r="G799" s="8">
        <v>170.48</v>
      </c>
      <c r="H799" s="8">
        <v>0.06</v>
      </c>
      <c r="I799" s="8">
        <f t="shared" si="1"/>
        <v>511.44</v>
      </c>
      <c r="J799" s="8">
        <f t="shared" si="2"/>
        <v>-30.6264</v>
      </c>
      <c r="K799" s="8" t="str">
        <f t="shared" si="3"/>
        <v>Sep</v>
      </c>
      <c r="L799" s="8">
        <f t="shared" si="4"/>
        <v>2026</v>
      </c>
      <c r="N799" s="8" t="str">
        <f t="array" ref="N799">XLOOKUP(C799,Customer_Dim!A:A,Customer_Dim!B:B,"Not Found")</f>
        <v>Ashley Griffin</v>
      </c>
      <c r="O799" s="8" t="str">
        <f t="array" ref="O799">XLOOKUP(C799,Customer_Dim!A:A,Customer_Dim!E:E,"Not Found")</f>
        <v>New Dawnton</v>
      </c>
      <c r="P799" s="8" t="str">
        <f t="array" ref="P799">XLOOKUP(D799,Product_Dim!A:A,Product_Dim!B:B,"Not Found")</f>
        <v>Wireless Bluetooth Earbuds</v>
      </c>
      <c r="Q799" s="8" t="str">
        <f t="array" ref="Q799">XLOOKUP(D799,Product_Dim!A:A,Product_Dim!C:C,"Not Found")</f>
        <v>Electronics</v>
      </c>
      <c r="R799" s="8" t="str">
        <f t="array" ref="R799">XLOOKUP(E799,Store_Dim!A:A,Store_Dim!B:B,"Not Found")</f>
        <v>North</v>
      </c>
      <c r="S799" s="8" t="str">
        <f t="array" ref="S799">XLOOKUP(E799,Store_Dim!A:A,Store_Dim!D:D,"Not Found")</f>
        <v>Flagship</v>
      </c>
    </row>
    <row r="800" ht="14.25" customHeight="1">
      <c r="A800" s="8" t="s">
        <v>2753</v>
      </c>
      <c r="B800" s="12">
        <v>46278.0</v>
      </c>
      <c r="C800" s="8" t="s">
        <v>357</v>
      </c>
      <c r="D800" s="8" t="s">
        <v>1635</v>
      </c>
      <c r="E800" s="8" t="s">
        <v>1924</v>
      </c>
      <c r="F800" s="8">
        <v>1.0</v>
      </c>
      <c r="G800" s="8">
        <v>423.48</v>
      </c>
      <c r="H800" s="8">
        <v>0.18</v>
      </c>
      <c r="I800" s="8">
        <f t="shared" si="1"/>
        <v>423.48</v>
      </c>
      <c r="J800" s="8">
        <f t="shared" si="2"/>
        <v>-76.0464</v>
      </c>
      <c r="K800" s="8" t="str">
        <f t="shared" si="3"/>
        <v>Sep</v>
      </c>
      <c r="L800" s="8">
        <f t="shared" si="4"/>
        <v>2026</v>
      </c>
      <c r="N800" s="8" t="str">
        <f t="array" ref="N800">XLOOKUP(C800,Customer_Dim!A:A,Customer_Dim!B:B,"Not Found")</f>
        <v>David Cobb</v>
      </c>
      <c r="O800" s="8" t="str">
        <f t="array" ref="O800">XLOOKUP(C800,Customer_Dim!A:A,Customer_Dim!E:E,"Not Found")</f>
        <v>Lake Thomas</v>
      </c>
      <c r="P800" s="8" t="str">
        <f t="array" ref="P800">XLOOKUP(D800,Product_Dim!A:A,Product_Dim!B:B,"Not Found")</f>
        <v>Women's Denim Jeans</v>
      </c>
      <c r="Q800" s="8" t="str">
        <f t="array" ref="Q800">XLOOKUP(D800,Product_Dim!A:A,Product_Dim!C:C,"Not Found")</f>
        <v>Clothing</v>
      </c>
      <c r="R800" s="8" t="str">
        <f t="array" ref="R800">XLOOKUP(E800,Store_Dim!A:A,Store_Dim!B:B,"Not Found")</f>
        <v>South</v>
      </c>
      <c r="S800" s="8" t="str">
        <f t="array" ref="S800">XLOOKUP(E800,Store_Dim!A:A,Store_Dim!D:D,"Not Found")</f>
        <v>Flagship</v>
      </c>
    </row>
    <row r="801" ht="14.25" customHeight="1">
      <c r="A801" s="8" t="s">
        <v>2754</v>
      </c>
      <c r="B801" s="12">
        <v>46279.0</v>
      </c>
      <c r="C801" s="8" t="s">
        <v>770</v>
      </c>
      <c r="D801" s="8" t="s">
        <v>1866</v>
      </c>
      <c r="E801" s="8" t="s">
        <v>1928</v>
      </c>
      <c r="F801" s="8">
        <v>4.0</v>
      </c>
      <c r="G801" s="8">
        <v>23.57</v>
      </c>
      <c r="H801" s="8">
        <v>0.1</v>
      </c>
      <c r="I801" s="8">
        <f t="shared" si="1"/>
        <v>94.28</v>
      </c>
      <c r="J801" s="8">
        <f t="shared" si="2"/>
        <v>-9.328</v>
      </c>
      <c r="K801" s="8" t="str">
        <f t="shared" si="3"/>
        <v>Sep</v>
      </c>
      <c r="L801" s="8">
        <f t="shared" si="4"/>
        <v>2026</v>
      </c>
      <c r="N801" s="8" t="str">
        <f t="array" ref="N801">XLOOKUP(C801,Customer_Dim!A:A,Customer_Dim!B:B,"Not Found")</f>
        <v>Jon Ortiz</v>
      </c>
      <c r="O801" s="8" t="str">
        <f t="array" ref="O801">XLOOKUP(C801,Customer_Dim!A:A,Customer_Dim!E:E,"Not Found")</f>
        <v>South Angelaport</v>
      </c>
      <c r="P801" s="8" t="str">
        <f t="array" ref="P801">XLOOKUP(D801,Product_Dim!A:A,Product_Dim!B:B,"Not Found")</f>
        <v>Microwave Oven</v>
      </c>
      <c r="Q801" s="8" t="str">
        <f t="array" ref="Q801">XLOOKUP(D801,Product_Dim!A:A,Product_Dim!C:C,"Not Found")</f>
        <v>Home</v>
      </c>
      <c r="R801" s="8" t="str">
        <f t="array" ref="R801">XLOOKUP(E801,Store_Dim!A:A,Store_Dim!B:B,"Not Found")</f>
        <v>South</v>
      </c>
      <c r="S801" s="8" t="str">
        <f t="array" ref="S801">XLOOKUP(E801,Store_Dim!A:A,Store_Dim!D:D,"Not Found")</f>
        <v>Online</v>
      </c>
    </row>
    <row r="802" ht="14.25" customHeight="1">
      <c r="A802" s="8" t="s">
        <v>2755</v>
      </c>
      <c r="B802" s="12">
        <v>46280.0</v>
      </c>
      <c r="C802" s="8" t="s">
        <v>1206</v>
      </c>
      <c r="D802" s="8" t="s">
        <v>1713</v>
      </c>
      <c r="E802" s="8" t="s">
        <v>1939</v>
      </c>
      <c r="F802" s="8">
        <v>2.0</v>
      </c>
      <c r="G802" s="8">
        <v>953.26</v>
      </c>
      <c r="H802" s="8">
        <v>0.1</v>
      </c>
      <c r="I802" s="8">
        <f t="shared" si="1"/>
        <v>1906.52</v>
      </c>
      <c r="J802" s="8">
        <f t="shared" si="2"/>
        <v>-190.552</v>
      </c>
      <c r="K802" s="8" t="str">
        <f t="shared" si="3"/>
        <v>Sep</v>
      </c>
      <c r="L802" s="8">
        <f t="shared" si="4"/>
        <v>2026</v>
      </c>
      <c r="N802" s="8" t="str">
        <f t="array" ref="N802">XLOOKUP(C802,Customer_Dim!A:A,Customer_Dim!B:B,"Not Found")</f>
        <v>Erika Padilla</v>
      </c>
      <c r="O802" s="8" t="str">
        <f t="array" ref="O802">XLOOKUP(C802,Customer_Dim!A:A,Customer_Dim!E:E,"Not Found")</f>
        <v>Andrewsland</v>
      </c>
      <c r="P802" s="8" t="str">
        <f t="array" ref="P802">XLOOKUP(D802,Product_Dim!A:A,Product_Dim!B:B,"Not Found")</f>
        <v>Smart Home WiFi Camera</v>
      </c>
      <c r="Q802" s="8" t="str">
        <f t="array" ref="Q802">XLOOKUP(D802,Product_Dim!A:A,Product_Dim!C:C,"Not Found")</f>
        <v>Electronics</v>
      </c>
      <c r="R802" s="8" t="str">
        <f t="array" ref="R802">XLOOKUP(E802,Store_Dim!A:A,Store_Dim!B:B,"Not Found")</f>
        <v>East</v>
      </c>
      <c r="S802" s="8" t="str">
        <f t="array" ref="S802">XLOOKUP(E802,Store_Dim!A:A,Store_Dim!D:D,"Not Found")</f>
        <v>Flagship</v>
      </c>
    </row>
    <row r="803" ht="14.25" customHeight="1">
      <c r="A803" s="8" t="s">
        <v>2756</v>
      </c>
      <c r="B803" s="12">
        <v>46281.0</v>
      </c>
      <c r="C803" s="8" t="s">
        <v>1104</v>
      </c>
      <c r="D803" s="8" t="s">
        <v>1809</v>
      </c>
      <c r="E803" s="8" t="s">
        <v>1919</v>
      </c>
      <c r="F803" s="8">
        <v>3.0</v>
      </c>
      <c r="G803" s="8">
        <v>405.13</v>
      </c>
      <c r="H803" s="8">
        <v>0.14</v>
      </c>
      <c r="I803" s="8">
        <f t="shared" si="1"/>
        <v>1215.39</v>
      </c>
      <c r="J803" s="8">
        <f t="shared" si="2"/>
        <v>-170.0146</v>
      </c>
      <c r="K803" s="8" t="str">
        <f t="shared" si="3"/>
        <v>Sep</v>
      </c>
      <c r="L803" s="8">
        <f t="shared" si="4"/>
        <v>2026</v>
      </c>
      <c r="N803" s="8" t="str">
        <f t="array" ref="N803">XLOOKUP(C803,Customer_Dim!A:A,Customer_Dim!B:B,"Not Found")</f>
        <v>Justin Mason DDS</v>
      </c>
      <c r="O803" s="8" t="str">
        <f t="array" ref="O803">XLOOKUP(C803,Customer_Dim!A:A,Customer_Dim!E:E,"Not Found")</f>
        <v>Peggystad</v>
      </c>
      <c r="P803" s="8" t="str">
        <f t="array" ref="P803">XLOOKUP(D803,Product_Dim!A:A,Product_Dim!B:B,"Not Found")</f>
        <v>Shin Guards – Adult</v>
      </c>
      <c r="Q803" s="8" t="str">
        <f t="array" ref="Q803">XLOOKUP(D803,Product_Dim!A:A,Product_Dim!C:C,"Not Found")</f>
        <v>Sports</v>
      </c>
      <c r="R803" s="8" t="str">
        <f t="array" ref="R803">XLOOKUP(E803,Store_Dim!A:A,Store_Dim!B:B,"Not Found")</f>
        <v>South</v>
      </c>
      <c r="S803" s="8" t="str">
        <f t="array" ref="S803">XLOOKUP(E803,Store_Dim!A:A,Store_Dim!D:D,"Not Found")</f>
        <v>Online</v>
      </c>
    </row>
    <row r="804" ht="14.25" customHeight="1">
      <c r="A804" s="8" t="s">
        <v>2757</v>
      </c>
      <c r="B804" s="12">
        <v>46282.0</v>
      </c>
      <c r="C804" s="8" t="s">
        <v>1080</v>
      </c>
      <c r="D804" s="8" t="s">
        <v>1572</v>
      </c>
      <c r="E804" s="8" t="s">
        <v>1912</v>
      </c>
      <c r="F804" s="8">
        <v>2.0</v>
      </c>
      <c r="G804" s="8">
        <v>333.83</v>
      </c>
      <c r="H804" s="8">
        <v>0.26</v>
      </c>
      <c r="I804" s="8">
        <f t="shared" si="1"/>
        <v>667.66</v>
      </c>
      <c r="J804" s="8">
        <f t="shared" si="2"/>
        <v>-173.3316</v>
      </c>
      <c r="K804" s="8" t="str">
        <f t="shared" si="3"/>
        <v>Sep</v>
      </c>
      <c r="L804" s="8">
        <f t="shared" si="4"/>
        <v>2026</v>
      </c>
      <c r="N804" s="8" t="str">
        <f t="array" ref="N804">XLOOKUP(C804,Customer_Dim!A:A,Customer_Dim!B:B,"Not Found")</f>
        <v>Mrs. Susan Buckley</v>
      </c>
      <c r="O804" s="8" t="str">
        <f t="array" ref="O804">XLOOKUP(C804,Customer_Dim!A:A,Customer_Dim!E:E,"Not Found")</f>
        <v>Stevensbury</v>
      </c>
      <c r="P804" s="8" t="str">
        <f t="array" ref="P804">XLOOKUP(D804,Product_Dim!A:A,Product_Dim!B:B,"Not Found")</f>
        <v>Women's Casual Hoodie</v>
      </c>
      <c r="Q804" s="8" t="str">
        <f t="array" ref="Q804">XLOOKUP(D804,Product_Dim!A:A,Product_Dim!C:C,"Not Found")</f>
        <v>Clothing</v>
      </c>
      <c r="R804" s="8" t="str">
        <f t="array" ref="R804">XLOOKUP(E804,Store_Dim!A:A,Store_Dim!B:B,"Not Found")</f>
        <v>South</v>
      </c>
      <c r="S804" s="8" t="str">
        <f t="array" ref="S804">XLOOKUP(E804,Store_Dim!A:A,Store_Dim!D:D,"Not Found")</f>
        <v>Online</v>
      </c>
    </row>
    <row r="805" ht="14.25" customHeight="1">
      <c r="A805" s="8" t="s">
        <v>2758</v>
      </c>
      <c r="B805" s="12">
        <v>46283.0</v>
      </c>
      <c r="C805" s="8" t="s">
        <v>1062</v>
      </c>
      <c r="D805" s="8" t="s">
        <v>1863</v>
      </c>
      <c r="E805" s="8" t="s">
        <v>1910</v>
      </c>
      <c r="F805" s="8">
        <v>2.0</v>
      </c>
      <c r="G805" s="8">
        <v>727.18</v>
      </c>
      <c r="H805" s="8">
        <v>0.22</v>
      </c>
      <c r="I805" s="8">
        <f t="shared" si="1"/>
        <v>1454.36</v>
      </c>
      <c r="J805" s="8">
        <f t="shared" si="2"/>
        <v>-319.7392</v>
      </c>
      <c r="K805" s="8" t="str">
        <f t="shared" si="3"/>
        <v>Sep</v>
      </c>
      <c r="L805" s="8">
        <f t="shared" si="4"/>
        <v>2026</v>
      </c>
      <c r="N805" s="8" t="str">
        <f t="array" ref="N805">XLOOKUP(C805,Customer_Dim!A:A,Customer_Dim!B:B,"Not Found")</f>
        <v>Teresa Johnson</v>
      </c>
      <c r="O805" s="8" t="str">
        <f t="array" ref="O805">XLOOKUP(C805,Customer_Dim!A:A,Customer_Dim!E:E,"Not Found")</f>
        <v>Johnsonbury</v>
      </c>
      <c r="P805" s="8" t="str">
        <f t="array" ref="P805">XLOOKUP(D805,Product_Dim!A:A,Product_Dim!B:B,"Not Found")</f>
        <v>Women's High Heels</v>
      </c>
      <c r="Q805" s="8" t="str">
        <f t="array" ref="Q805">XLOOKUP(D805,Product_Dim!A:A,Product_Dim!C:C,"Not Found")</f>
        <v>Clothing</v>
      </c>
      <c r="R805" s="8" t="str">
        <f t="array" ref="R805">XLOOKUP(E805,Store_Dim!A:A,Store_Dim!B:B,"Not Found")</f>
        <v>North</v>
      </c>
      <c r="S805" s="8" t="str">
        <f t="array" ref="S805">XLOOKUP(E805,Store_Dim!A:A,Store_Dim!D:D,"Not Found")</f>
        <v>Outlet</v>
      </c>
    </row>
    <row r="806" ht="14.25" customHeight="1">
      <c r="A806" s="8" t="s">
        <v>2759</v>
      </c>
      <c r="B806" s="12">
        <v>46284.0</v>
      </c>
      <c r="C806" s="8" t="s">
        <v>981</v>
      </c>
      <c r="D806" s="8" t="s">
        <v>1583</v>
      </c>
      <c r="E806" s="8" t="s">
        <v>1926</v>
      </c>
      <c r="F806" s="8">
        <v>2.0</v>
      </c>
      <c r="G806" s="8">
        <v>516.02</v>
      </c>
      <c r="H806" s="8">
        <v>0.19</v>
      </c>
      <c r="I806" s="8">
        <f t="shared" si="1"/>
        <v>1032.04</v>
      </c>
      <c r="J806" s="8">
        <f t="shared" si="2"/>
        <v>-195.8976</v>
      </c>
      <c r="K806" s="8" t="str">
        <f t="shared" si="3"/>
        <v>Sep</v>
      </c>
      <c r="L806" s="8">
        <f t="shared" si="4"/>
        <v>2026</v>
      </c>
      <c r="N806" s="8" t="str">
        <f t="array" ref="N806">XLOOKUP(C806,Customer_Dim!A:A,Customer_Dim!B:B,"Not Found")</f>
        <v>Angela Robinson</v>
      </c>
      <c r="O806" s="8" t="str">
        <f t="array" ref="O806">XLOOKUP(C806,Customer_Dim!A:A,Customer_Dim!E:E,"Not Found")</f>
        <v>New Nicholasstad</v>
      </c>
      <c r="P806" s="8" t="str">
        <f t="array" ref="P806">XLOOKUP(D806,Product_Dim!A:A,Product_Dim!B:B,"Not Found")</f>
        <v>Men's Leather Belt</v>
      </c>
      <c r="Q806" s="8" t="str">
        <f t="array" ref="Q806">XLOOKUP(D806,Product_Dim!A:A,Product_Dim!C:C,"Not Found")</f>
        <v>Clothing</v>
      </c>
      <c r="R806" s="8" t="str">
        <f t="array" ref="R806">XLOOKUP(E806,Store_Dim!A:A,Store_Dim!B:B,"Not Found")</f>
        <v>East</v>
      </c>
      <c r="S806" s="8" t="str">
        <f t="array" ref="S806">XLOOKUP(E806,Store_Dim!A:A,Store_Dim!D:D,"Not Found")</f>
        <v>Online</v>
      </c>
    </row>
    <row r="807" ht="14.25" customHeight="1">
      <c r="A807" s="8" t="s">
        <v>2760</v>
      </c>
      <c r="B807" s="12">
        <v>46285.0</v>
      </c>
      <c r="C807" s="8" t="s">
        <v>947</v>
      </c>
      <c r="D807" s="8" t="s">
        <v>1713</v>
      </c>
      <c r="E807" s="8" t="s">
        <v>1928</v>
      </c>
      <c r="F807" s="8">
        <v>2.0</v>
      </c>
      <c r="G807" s="8">
        <v>705.61</v>
      </c>
      <c r="H807" s="8">
        <v>0.28</v>
      </c>
      <c r="I807" s="8">
        <f t="shared" si="1"/>
        <v>1411.22</v>
      </c>
      <c r="J807" s="8">
        <f t="shared" si="2"/>
        <v>-394.8616</v>
      </c>
      <c r="K807" s="8" t="str">
        <f t="shared" si="3"/>
        <v>Sep</v>
      </c>
      <c r="L807" s="8">
        <f t="shared" si="4"/>
        <v>2026</v>
      </c>
      <c r="N807" s="8" t="str">
        <f t="array" ref="N807">XLOOKUP(C807,Customer_Dim!A:A,Customer_Dim!B:B,"Not Found")</f>
        <v>Lisa Chandler</v>
      </c>
      <c r="O807" s="8" t="str">
        <f t="array" ref="O807">XLOOKUP(C807,Customer_Dim!A:A,Customer_Dim!E:E,"Not Found")</f>
        <v>Port Richard</v>
      </c>
      <c r="P807" s="8" t="str">
        <f t="array" ref="P807">XLOOKUP(D807,Product_Dim!A:A,Product_Dim!B:B,"Not Found")</f>
        <v>Smart Home WiFi Camera</v>
      </c>
      <c r="Q807" s="8" t="str">
        <f t="array" ref="Q807">XLOOKUP(D807,Product_Dim!A:A,Product_Dim!C:C,"Not Found")</f>
        <v>Electronics</v>
      </c>
      <c r="R807" s="8" t="str">
        <f t="array" ref="R807">XLOOKUP(E807,Store_Dim!A:A,Store_Dim!B:B,"Not Found")</f>
        <v>South</v>
      </c>
      <c r="S807" s="8" t="str">
        <f t="array" ref="S807">XLOOKUP(E807,Store_Dim!A:A,Store_Dim!D:D,"Not Found")</f>
        <v>Online</v>
      </c>
    </row>
    <row r="808" ht="14.25" customHeight="1">
      <c r="A808" s="8" t="s">
        <v>2761</v>
      </c>
      <c r="B808" s="12">
        <v>46286.0</v>
      </c>
      <c r="C808" s="8" t="s">
        <v>890</v>
      </c>
      <c r="D808" s="8" t="s">
        <v>1842</v>
      </c>
      <c r="E808" s="8" t="s">
        <v>1921</v>
      </c>
      <c r="F808" s="8">
        <v>3.0</v>
      </c>
      <c r="G808" s="8">
        <v>654.47</v>
      </c>
      <c r="H808" s="8">
        <v>0.18</v>
      </c>
      <c r="I808" s="8">
        <f t="shared" si="1"/>
        <v>1963.41</v>
      </c>
      <c r="J808" s="8">
        <f t="shared" si="2"/>
        <v>-353.2338</v>
      </c>
      <c r="K808" s="8" t="str">
        <f t="shared" si="3"/>
        <v>Sep</v>
      </c>
      <c r="L808" s="8">
        <f t="shared" si="4"/>
        <v>2026</v>
      </c>
      <c r="N808" s="8" t="str">
        <f t="array" ref="N808">XLOOKUP(C808,Customer_Dim!A:A,Customer_Dim!B:B,"Not Found")</f>
        <v>Shannon Miller</v>
      </c>
      <c r="O808" s="8" t="str">
        <f t="array" ref="O808">XLOOKUP(C808,Customer_Dim!A:A,Customer_Dim!E:E,"Not Found")</f>
        <v>North Austinport</v>
      </c>
      <c r="P808" s="8" t="str">
        <f t="array" ref="P808">XLOOKUP(D808,Product_Dim!A:A,Product_Dim!B:B,"Not Found")</f>
        <v>Wooden Bookshelf</v>
      </c>
      <c r="Q808" s="8" t="str">
        <f t="array" ref="Q808">XLOOKUP(D808,Product_Dim!A:A,Product_Dim!C:C,"Not Found")</f>
        <v>Home</v>
      </c>
      <c r="R808" s="8" t="str">
        <f t="array" ref="R808">XLOOKUP(E808,Store_Dim!A:A,Store_Dim!B:B,"Not Found")</f>
        <v>West</v>
      </c>
      <c r="S808" s="8" t="str">
        <f t="array" ref="S808">XLOOKUP(E808,Store_Dim!A:A,Store_Dim!D:D,"Not Found")</f>
        <v>Online</v>
      </c>
    </row>
    <row r="809" ht="14.25" customHeight="1">
      <c r="A809" s="8" t="s">
        <v>2762</v>
      </c>
      <c r="B809" s="12">
        <v>46287.0</v>
      </c>
      <c r="C809" s="8" t="s">
        <v>580</v>
      </c>
      <c r="D809" s="8" t="s">
        <v>1854</v>
      </c>
      <c r="E809" s="8" t="s">
        <v>1933</v>
      </c>
      <c r="F809" s="8">
        <v>2.0</v>
      </c>
      <c r="G809" s="8">
        <v>315.27</v>
      </c>
      <c r="H809" s="8">
        <v>0.23</v>
      </c>
      <c r="I809" s="8">
        <f t="shared" si="1"/>
        <v>630.54</v>
      </c>
      <c r="J809" s="8">
        <f t="shared" si="2"/>
        <v>-144.7942</v>
      </c>
      <c r="K809" s="8" t="str">
        <f t="shared" si="3"/>
        <v>Sep</v>
      </c>
      <c r="L809" s="8">
        <f t="shared" si="4"/>
        <v>2026</v>
      </c>
      <c r="N809" s="8" t="str">
        <f t="array" ref="N809">XLOOKUP(C809,Customer_Dim!A:A,Customer_Dim!B:B,"Not Found")</f>
        <v>Amy Wilson</v>
      </c>
      <c r="O809" s="8" t="str">
        <f t="array" ref="O809">XLOOKUP(C809,Customer_Dim!A:A,Customer_Dim!E:E,"Not Found")</f>
        <v>Morrisburgh</v>
      </c>
      <c r="P809" s="8" t="str">
        <f t="array" ref="P809">XLOOKUP(D809,Product_Dim!A:A,Product_Dim!B:B,"Not Found")</f>
        <v>Sports Wrist Sweatbands</v>
      </c>
      <c r="Q809" s="8" t="str">
        <f t="array" ref="Q809">XLOOKUP(D809,Product_Dim!A:A,Product_Dim!C:C,"Not Found")</f>
        <v>Sports</v>
      </c>
      <c r="R809" s="8" t="str">
        <f t="array" ref="R809">XLOOKUP(E809,Store_Dim!A:A,Store_Dim!B:B,"Not Found")</f>
        <v>North</v>
      </c>
      <c r="S809" s="8" t="str">
        <f t="array" ref="S809">XLOOKUP(E809,Store_Dim!A:A,Store_Dim!D:D,"Not Found")</f>
        <v>Flagship</v>
      </c>
    </row>
    <row r="810" ht="14.25" customHeight="1">
      <c r="A810" s="8" t="s">
        <v>2763</v>
      </c>
      <c r="B810" s="12">
        <v>46288.0</v>
      </c>
      <c r="C810" s="8" t="s">
        <v>733</v>
      </c>
      <c r="D810" s="8" t="s">
        <v>1668</v>
      </c>
      <c r="E810" s="8" t="s">
        <v>1906</v>
      </c>
      <c r="F810" s="8">
        <v>1.0</v>
      </c>
      <c r="G810" s="8">
        <v>974.47</v>
      </c>
      <c r="H810" s="8">
        <v>0.05</v>
      </c>
      <c r="I810" s="8">
        <f t="shared" si="1"/>
        <v>974.47</v>
      </c>
      <c r="J810" s="8">
        <f t="shared" si="2"/>
        <v>-48.6735</v>
      </c>
      <c r="K810" s="8" t="str">
        <f t="shared" si="3"/>
        <v>Sep</v>
      </c>
      <c r="L810" s="8">
        <f t="shared" si="4"/>
        <v>2026</v>
      </c>
      <c r="N810" s="8" t="str">
        <f t="array" ref="N810">XLOOKUP(C810,Customer_Dim!A:A,Customer_Dim!B:B,"Not Found")</f>
        <v>Alejandro Doyle</v>
      </c>
      <c r="O810" s="8" t="str">
        <f t="array" ref="O810">XLOOKUP(C810,Customer_Dim!A:A,Customer_Dim!E:E,"Not Found")</f>
        <v>East Crystalton</v>
      </c>
      <c r="P810" s="8" t="str">
        <f t="array" ref="P810">XLOOKUP(D810,Product_Dim!A:A,Product_Dim!B:B,"Not Found")</f>
        <v>Sports Stopwatch Timer</v>
      </c>
      <c r="Q810" s="8" t="str">
        <f t="array" ref="Q810">XLOOKUP(D810,Product_Dim!A:A,Product_Dim!C:C,"Not Found")</f>
        <v>Sports</v>
      </c>
      <c r="R810" s="8" t="str">
        <f t="array" ref="R810">XLOOKUP(E810,Store_Dim!A:A,Store_Dim!B:B,"Not Found")</f>
        <v>South</v>
      </c>
      <c r="S810" s="8" t="str">
        <f t="array" ref="S810">XLOOKUP(E810,Store_Dim!A:A,Store_Dim!D:D,"Not Found")</f>
        <v>Outlet</v>
      </c>
    </row>
    <row r="811" ht="14.25" customHeight="1">
      <c r="A811" s="8" t="s">
        <v>2764</v>
      </c>
      <c r="B811" s="12">
        <v>46289.0</v>
      </c>
      <c r="C811" s="8" t="s">
        <v>257</v>
      </c>
      <c r="D811" s="8" t="s">
        <v>1572</v>
      </c>
      <c r="E811" s="8" t="s">
        <v>1912</v>
      </c>
      <c r="F811" s="8">
        <v>2.0</v>
      </c>
      <c r="G811" s="8">
        <v>803.3</v>
      </c>
      <c r="H811" s="8">
        <v>0.17</v>
      </c>
      <c r="I811" s="8">
        <f t="shared" si="1"/>
        <v>1606.6</v>
      </c>
      <c r="J811" s="8">
        <f t="shared" si="2"/>
        <v>-272.952</v>
      </c>
      <c r="K811" s="8" t="str">
        <f t="shared" si="3"/>
        <v>Sep</v>
      </c>
      <c r="L811" s="8">
        <f t="shared" si="4"/>
        <v>2026</v>
      </c>
      <c r="N811" s="8" t="str">
        <f t="array" ref="N811">XLOOKUP(C811,Customer_Dim!A:A,Customer_Dim!B:B,"Not Found")</f>
        <v>Amber Mcclain</v>
      </c>
      <c r="O811" s="8" t="str">
        <f t="array" ref="O811">XLOOKUP(C811,Customer_Dim!A:A,Customer_Dim!E:E,"Not Found")</f>
        <v>Brendaburgh</v>
      </c>
      <c r="P811" s="8" t="str">
        <f t="array" ref="P811">XLOOKUP(D811,Product_Dim!A:A,Product_Dim!B:B,"Not Found")</f>
        <v>Women's Casual Hoodie</v>
      </c>
      <c r="Q811" s="8" t="str">
        <f t="array" ref="Q811">XLOOKUP(D811,Product_Dim!A:A,Product_Dim!C:C,"Not Found")</f>
        <v>Clothing</v>
      </c>
      <c r="R811" s="8" t="str">
        <f t="array" ref="R811">XLOOKUP(E811,Store_Dim!A:A,Store_Dim!B:B,"Not Found")</f>
        <v>South</v>
      </c>
      <c r="S811" s="8" t="str">
        <f t="array" ref="S811">XLOOKUP(E811,Store_Dim!A:A,Store_Dim!D:D,"Not Found")</f>
        <v>Online</v>
      </c>
    </row>
    <row r="812" ht="14.25" customHeight="1">
      <c r="A812" s="8" t="s">
        <v>2765</v>
      </c>
      <c r="B812" s="12">
        <v>46290.0</v>
      </c>
      <c r="C812" s="8" t="s">
        <v>72</v>
      </c>
      <c r="D812" s="8" t="s">
        <v>1572</v>
      </c>
      <c r="E812" s="8" t="s">
        <v>1926</v>
      </c>
      <c r="F812" s="8">
        <v>4.0</v>
      </c>
      <c r="G812" s="8">
        <v>863.87</v>
      </c>
      <c r="H812" s="8">
        <v>0.21</v>
      </c>
      <c r="I812" s="8">
        <f t="shared" si="1"/>
        <v>3455.48</v>
      </c>
      <c r="J812" s="8">
        <f t="shared" si="2"/>
        <v>-725.4408</v>
      </c>
      <c r="K812" s="8" t="str">
        <f t="shared" si="3"/>
        <v>Sep</v>
      </c>
      <c r="L812" s="8">
        <f t="shared" si="4"/>
        <v>2026</v>
      </c>
      <c r="N812" s="8" t="str">
        <f t="array" ref="N812">XLOOKUP(C812,Customer_Dim!A:A,Customer_Dim!B:B,"Not Found")</f>
        <v>Nathan Hernandez</v>
      </c>
      <c r="O812" s="8" t="str">
        <f t="array" ref="O812">XLOOKUP(C812,Customer_Dim!A:A,Customer_Dim!E:E,"Not Found")</f>
        <v>New Becky</v>
      </c>
      <c r="P812" s="8" t="str">
        <f t="array" ref="P812">XLOOKUP(D812,Product_Dim!A:A,Product_Dim!B:B,"Not Found")</f>
        <v>Women's Casual Hoodie</v>
      </c>
      <c r="Q812" s="8" t="str">
        <f t="array" ref="Q812">XLOOKUP(D812,Product_Dim!A:A,Product_Dim!C:C,"Not Found")</f>
        <v>Clothing</v>
      </c>
      <c r="R812" s="8" t="str">
        <f t="array" ref="R812">XLOOKUP(E812,Store_Dim!A:A,Store_Dim!B:B,"Not Found")</f>
        <v>East</v>
      </c>
      <c r="S812" s="8" t="str">
        <f t="array" ref="S812">XLOOKUP(E812,Store_Dim!A:A,Store_Dim!D:D,"Not Found")</f>
        <v>Online</v>
      </c>
    </row>
    <row r="813" ht="14.25" customHeight="1">
      <c r="A813" s="8" t="s">
        <v>2766</v>
      </c>
      <c r="B813" s="12">
        <v>46291.0</v>
      </c>
      <c r="C813" s="8" t="s">
        <v>1462</v>
      </c>
      <c r="D813" s="8" t="s">
        <v>1830</v>
      </c>
      <c r="E813" s="8" t="s">
        <v>1939</v>
      </c>
      <c r="F813" s="8">
        <v>1.0</v>
      </c>
      <c r="G813" s="8">
        <v>450.11</v>
      </c>
      <c r="H813" s="8">
        <v>0.17</v>
      </c>
      <c r="I813" s="8">
        <f t="shared" si="1"/>
        <v>450.11</v>
      </c>
      <c r="J813" s="8">
        <f t="shared" si="2"/>
        <v>-76.3487</v>
      </c>
      <c r="K813" s="8" t="str">
        <f t="shared" si="3"/>
        <v>Sep</v>
      </c>
      <c r="L813" s="8">
        <f t="shared" si="4"/>
        <v>2026</v>
      </c>
      <c r="N813" s="8" t="str">
        <f t="array" ref="N813">XLOOKUP(C813,Customer_Dim!A:A,Customer_Dim!B:B,"Not Found")</f>
        <v>James Foster</v>
      </c>
      <c r="O813" s="8" t="str">
        <f t="array" ref="O813">XLOOKUP(C813,Customer_Dim!A:A,Customer_Dim!E:E,"Not Found")</f>
        <v>East Audrey</v>
      </c>
      <c r="P813" s="8" t="str">
        <f t="array" ref="P813">XLOOKUP(D813,Product_Dim!A:A,Product_Dim!B:B,"Not Found")</f>
        <v>Wall-Mounted Spice Rack</v>
      </c>
      <c r="Q813" s="8" t="str">
        <f t="array" ref="Q813">XLOOKUP(D813,Product_Dim!A:A,Product_Dim!C:C,"Not Found")</f>
        <v>Home</v>
      </c>
      <c r="R813" s="8" t="str">
        <f t="array" ref="R813">XLOOKUP(E813,Store_Dim!A:A,Store_Dim!B:B,"Not Found")</f>
        <v>East</v>
      </c>
      <c r="S813" s="8" t="str">
        <f t="array" ref="S813">XLOOKUP(E813,Store_Dim!A:A,Store_Dim!D:D,"Not Found")</f>
        <v>Flagship</v>
      </c>
    </row>
    <row r="814" ht="14.25" customHeight="1">
      <c r="A814" s="8" t="s">
        <v>2767</v>
      </c>
      <c r="B814" s="12">
        <v>46292.0</v>
      </c>
      <c r="C814" s="8" t="s">
        <v>755</v>
      </c>
      <c r="D814" s="8" t="s">
        <v>1793</v>
      </c>
      <c r="E814" s="8" t="s">
        <v>1931</v>
      </c>
      <c r="F814" s="8">
        <v>1.0</v>
      </c>
      <c r="G814" s="8">
        <v>289.82</v>
      </c>
      <c r="H814" s="8">
        <v>0.18</v>
      </c>
      <c r="I814" s="8">
        <f t="shared" si="1"/>
        <v>289.82</v>
      </c>
      <c r="J814" s="8">
        <f t="shared" si="2"/>
        <v>-51.9876</v>
      </c>
      <c r="K814" s="8" t="str">
        <f t="shared" si="3"/>
        <v>Sep</v>
      </c>
      <c r="L814" s="8">
        <f t="shared" si="4"/>
        <v>2026</v>
      </c>
      <c r="N814" s="8" t="str">
        <f t="array" ref="N814">XLOOKUP(C814,Customer_Dim!A:A,Customer_Dim!B:B,"Not Found")</f>
        <v>Timothy Sanders</v>
      </c>
      <c r="O814" s="8" t="str">
        <f t="array" ref="O814">XLOOKUP(C814,Customer_Dim!A:A,Customer_Dim!E:E,"Not Found")</f>
        <v>Aaronmouth</v>
      </c>
      <c r="P814" s="8" t="str">
        <f t="array" ref="P814">XLOOKUP(D814,Product_Dim!A:A,Product_Dim!B:B,"Not Found")</f>
        <v>Wooden Nightstand</v>
      </c>
      <c r="Q814" s="8" t="str">
        <f t="array" ref="Q814">XLOOKUP(D814,Product_Dim!A:A,Product_Dim!C:C,"Not Found")</f>
        <v>Home</v>
      </c>
      <c r="R814" s="8" t="str">
        <f t="array" ref="R814">XLOOKUP(E814,Store_Dim!A:A,Store_Dim!B:B,"Not Found")</f>
        <v>East</v>
      </c>
      <c r="S814" s="8" t="str">
        <f t="array" ref="S814">XLOOKUP(E814,Store_Dim!A:A,Store_Dim!D:D,"Not Found")</f>
        <v>Flagship</v>
      </c>
    </row>
    <row r="815" ht="14.25" customHeight="1">
      <c r="A815" s="8" t="s">
        <v>2768</v>
      </c>
      <c r="B815" s="12">
        <v>46293.0</v>
      </c>
      <c r="C815" s="8" t="s">
        <v>1065</v>
      </c>
      <c r="D815" s="8" t="s">
        <v>1751</v>
      </c>
      <c r="E815" s="8" t="s">
        <v>1926</v>
      </c>
      <c r="F815" s="8">
        <v>4.0</v>
      </c>
      <c r="G815" s="8">
        <v>250.64</v>
      </c>
      <c r="H815" s="8">
        <v>0.1</v>
      </c>
      <c r="I815" s="8">
        <f t="shared" si="1"/>
        <v>1002.56</v>
      </c>
      <c r="J815" s="8">
        <f t="shared" si="2"/>
        <v>-100.156</v>
      </c>
      <c r="K815" s="8" t="str">
        <f t="shared" si="3"/>
        <v>Sep</v>
      </c>
      <c r="L815" s="8">
        <f t="shared" si="4"/>
        <v>2026</v>
      </c>
      <c r="N815" s="8" t="str">
        <f t="array" ref="N815">XLOOKUP(C815,Customer_Dim!A:A,Customer_Dim!B:B,"Not Found")</f>
        <v>Mr. Christopher Sims</v>
      </c>
      <c r="O815" s="8" t="str">
        <f t="array" ref="O815">XLOOKUP(C815,Customer_Dim!A:A,Customer_Dim!E:E,"Not Found")</f>
        <v>Donaldsontown</v>
      </c>
      <c r="P815" s="8" t="str">
        <f t="array" ref="P815">XLOOKUP(D815,Product_Dim!A:A,Product_Dim!B:B,"Not Found")</f>
        <v>Sports Stopwatch Pro</v>
      </c>
      <c r="Q815" s="8" t="str">
        <f t="array" ref="Q815">XLOOKUP(D815,Product_Dim!A:A,Product_Dim!C:C,"Not Found")</f>
        <v>Sports</v>
      </c>
      <c r="R815" s="8" t="str">
        <f t="array" ref="R815">XLOOKUP(E815,Store_Dim!A:A,Store_Dim!B:B,"Not Found")</f>
        <v>East</v>
      </c>
      <c r="S815" s="8" t="str">
        <f t="array" ref="S815">XLOOKUP(E815,Store_Dim!A:A,Store_Dim!D:D,"Not Found")</f>
        <v>Online</v>
      </c>
    </row>
    <row r="816" ht="14.25" customHeight="1">
      <c r="A816" s="8" t="s">
        <v>2769</v>
      </c>
      <c r="B816" s="12">
        <v>46294.0</v>
      </c>
      <c r="C816" s="8" t="s">
        <v>926</v>
      </c>
      <c r="D816" s="8" t="s">
        <v>1797</v>
      </c>
      <c r="E816" s="8" t="s">
        <v>1941</v>
      </c>
      <c r="F816" s="8">
        <v>4.0</v>
      </c>
      <c r="G816" s="8">
        <v>373.49</v>
      </c>
      <c r="H816" s="8">
        <v>0.16</v>
      </c>
      <c r="I816" s="8">
        <f t="shared" si="1"/>
        <v>1493.96</v>
      </c>
      <c r="J816" s="8">
        <f t="shared" si="2"/>
        <v>-238.8736</v>
      </c>
      <c r="K816" s="8" t="str">
        <f t="shared" si="3"/>
        <v>Sep</v>
      </c>
      <c r="L816" s="8">
        <f t="shared" si="4"/>
        <v>2026</v>
      </c>
      <c r="N816" s="8" t="str">
        <f t="array" ref="N816">XLOOKUP(C816,Customer_Dim!A:A,Customer_Dim!B:B,"Not Found")</f>
        <v>Cynthia Roberts</v>
      </c>
      <c r="O816" s="8" t="str">
        <f t="array" ref="O816">XLOOKUP(C816,Customer_Dim!A:A,Customer_Dim!E:E,"Not Found")</f>
        <v>Millerfort</v>
      </c>
      <c r="P816" s="8" t="str">
        <f t="array" ref="P816">XLOOKUP(D816,Product_Dim!A:A,Product_Dim!B:B,"Not Found")</f>
        <v>Men's Sports Shorts</v>
      </c>
      <c r="Q816" s="8" t="str">
        <f t="array" ref="Q816">XLOOKUP(D816,Product_Dim!A:A,Product_Dim!C:C,"Not Found")</f>
        <v>Clothing</v>
      </c>
      <c r="R816" s="8" t="str">
        <f t="array" ref="R816">XLOOKUP(E816,Store_Dim!A:A,Store_Dim!B:B,"Not Found")</f>
        <v>East</v>
      </c>
      <c r="S816" s="8" t="str">
        <f t="array" ref="S816">XLOOKUP(E816,Store_Dim!A:A,Store_Dim!D:D,"Not Found")</f>
        <v>Online</v>
      </c>
    </row>
    <row r="817" ht="14.25" customHeight="1">
      <c r="A817" s="8" t="s">
        <v>2770</v>
      </c>
      <c r="B817" s="12">
        <v>46295.0</v>
      </c>
      <c r="C817" s="8" t="s">
        <v>254</v>
      </c>
      <c r="D817" s="8" t="s">
        <v>2052</v>
      </c>
      <c r="E817" s="8" t="s">
        <v>1924</v>
      </c>
      <c r="F817" s="8">
        <v>4.0</v>
      </c>
      <c r="G817" s="8">
        <v>348.91</v>
      </c>
      <c r="H817" s="8">
        <v>0.18</v>
      </c>
      <c r="I817" s="8">
        <f t="shared" si="1"/>
        <v>1395.64</v>
      </c>
      <c r="J817" s="8">
        <f t="shared" si="2"/>
        <v>-251.0352</v>
      </c>
      <c r="K817" s="8" t="str">
        <f t="shared" si="3"/>
        <v>Sep</v>
      </c>
      <c r="L817" s="8">
        <f t="shared" si="4"/>
        <v>2026</v>
      </c>
      <c r="N817" s="8" t="str">
        <f t="array" ref="N817">XLOOKUP(C817,Customer_Dim!A:A,Customer_Dim!B:B,"Not Found")</f>
        <v>Cody Diaz</v>
      </c>
      <c r="O817" s="8" t="str">
        <f t="array" ref="O817">XLOOKUP(C817,Customer_Dim!A:A,Customer_Dim!E:E,"Not Found")</f>
        <v>South Aaronside</v>
      </c>
      <c r="P817" s="8" t="str">
        <f t="array" ref="P817">XLOOKUP(D817,Product_Dim!A:A,Product_Dim!B:B,"Not Found")</f>
        <v>Not Found</v>
      </c>
      <c r="Q817" s="8" t="str">
        <f t="array" ref="Q817">XLOOKUP(D817,Product_Dim!A:A,Product_Dim!C:C,"Not Found")</f>
        <v>Not Found</v>
      </c>
      <c r="R817" s="8" t="str">
        <f t="array" ref="R817">XLOOKUP(E817,Store_Dim!A:A,Store_Dim!B:B,"Not Found")</f>
        <v>South</v>
      </c>
      <c r="S817" s="8" t="str">
        <f t="array" ref="S817">XLOOKUP(E817,Store_Dim!A:A,Store_Dim!D:D,"Not Found")</f>
        <v>Flagship</v>
      </c>
    </row>
    <row r="818" ht="14.25" customHeight="1">
      <c r="A818" s="8" t="s">
        <v>2771</v>
      </c>
      <c r="B818" s="12">
        <v>46296.0</v>
      </c>
      <c r="C818" s="8" t="s">
        <v>397</v>
      </c>
      <c r="D818" s="8" t="s">
        <v>1872</v>
      </c>
      <c r="E818" s="8" t="s">
        <v>1937</v>
      </c>
      <c r="F818" s="8">
        <v>4.0</v>
      </c>
      <c r="G818" s="8">
        <v>212.96</v>
      </c>
      <c r="H818" s="8">
        <v>0.17</v>
      </c>
      <c r="I818" s="8">
        <f t="shared" si="1"/>
        <v>851.84</v>
      </c>
      <c r="J818" s="8">
        <f t="shared" si="2"/>
        <v>-144.6428</v>
      </c>
      <c r="K818" s="8" t="str">
        <f t="shared" si="3"/>
        <v>Oct</v>
      </c>
      <c r="L818" s="8">
        <f t="shared" si="4"/>
        <v>2026</v>
      </c>
      <c r="N818" s="8" t="str">
        <f t="array" ref="N818">XLOOKUP(C818,Customer_Dim!A:A,Customer_Dim!B:B,"Not Found")</f>
        <v>Ashley Griffin</v>
      </c>
      <c r="O818" s="8" t="str">
        <f t="array" ref="O818">XLOOKUP(C818,Customer_Dim!A:A,Customer_Dim!E:E,"Not Found")</f>
        <v>New Dawnton</v>
      </c>
      <c r="P818" s="8" t="str">
        <f t="array" ref="P818">XLOOKUP(D818,Product_Dim!A:A,Product_Dim!B:B,"Not Found")</f>
        <v>Vitamin E Body Lotion</v>
      </c>
      <c r="Q818" s="8" t="str">
        <f t="array" ref="Q818">XLOOKUP(D818,Product_Dim!A:A,Product_Dim!C:C,"Not Found")</f>
        <v>Beauty</v>
      </c>
      <c r="R818" s="8" t="str">
        <f t="array" ref="R818">XLOOKUP(E818,Store_Dim!A:A,Store_Dim!B:B,"Not Found")</f>
        <v>North</v>
      </c>
      <c r="S818" s="8" t="str">
        <f t="array" ref="S818">XLOOKUP(E818,Store_Dim!A:A,Store_Dim!D:D,"Not Found")</f>
        <v>Flagship</v>
      </c>
    </row>
    <row r="819" ht="14.25" customHeight="1">
      <c r="A819" s="8" t="s">
        <v>2772</v>
      </c>
      <c r="B819" s="12">
        <v>46297.0</v>
      </c>
      <c r="C819" s="8" t="s">
        <v>637</v>
      </c>
      <c r="D819" s="8" t="s">
        <v>1665</v>
      </c>
      <c r="E819" s="8" t="s">
        <v>1941</v>
      </c>
      <c r="F819" s="8">
        <v>3.0</v>
      </c>
      <c r="G819" s="8">
        <v>871.34</v>
      </c>
      <c r="H819" s="8">
        <v>0.11</v>
      </c>
      <c r="I819" s="8">
        <f t="shared" si="1"/>
        <v>2614.02</v>
      </c>
      <c r="J819" s="8">
        <f t="shared" si="2"/>
        <v>-287.4322</v>
      </c>
      <c r="K819" s="8" t="str">
        <f t="shared" si="3"/>
        <v>Oct</v>
      </c>
      <c r="L819" s="8">
        <f t="shared" si="4"/>
        <v>2026</v>
      </c>
      <c r="N819" s="8" t="str">
        <f t="array" ref="N819">XLOOKUP(C819,Customer_Dim!A:A,Customer_Dim!B:B,"Not Found")</f>
        <v>Christopher Stewart</v>
      </c>
      <c r="O819" s="8" t="str">
        <f t="array" ref="O819">XLOOKUP(C819,Customer_Dim!A:A,Customer_Dim!E:E,"Not Found")</f>
        <v>Amandaside</v>
      </c>
      <c r="P819" s="8" t="str">
        <f t="array" ref="P819">XLOOKUP(D819,Product_Dim!A:A,Product_Dim!B:B,"Not Found")</f>
        <v>Decorative Floor Vase</v>
      </c>
      <c r="Q819" s="8" t="str">
        <f t="array" ref="Q819">XLOOKUP(D819,Product_Dim!A:A,Product_Dim!C:C,"Not Found")</f>
        <v>Home</v>
      </c>
      <c r="R819" s="8" t="str">
        <f t="array" ref="R819">XLOOKUP(E819,Store_Dim!A:A,Store_Dim!B:B,"Not Found")</f>
        <v>East</v>
      </c>
      <c r="S819" s="8" t="str">
        <f t="array" ref="S819">XLOOKUP(E819,Store_Dim!A:A,Store_Dim!D:D,"Not Found")</f>
        <v>Online</v>
      </c>
    </row>
    <row r="820" ht="14.25" customHeight="1">
      <c r="A820" s="8" t="s">
        <v>2773</v>
      </c>
      <c r="B820" s="12">
        <v>46298.0</v>
      </c>
      <c r="C820" s="8" t="s">
        <v>366</v>
      </c>
      <c r="D820" s="8" t="s">
        <v>1872</v>
      </c>
      <c r="E820" s="8" t="s">
        <v>1899</v>
      </c>
      <c r="F820" s="8">
        <v>2.0</v>
      </c>
      <c r="G820" s="8">
        <v>698.94</v>
      </c>
      <c r="H820" s="8">
        <v>0.06</v>
      </c>
      <c r="I820" s="8">
        <f t="shared" si="1"/>
        <v>1397.88</v>
      </c>
      <c r="J820" s="8">
        <f t="shared" si="2"/>
        <v>-83.8128</v>
      </c>
      <c r="K820" s="8" t="str">
        <f t="shared" si="3"/>
        <v>Oct</v>
      </c>
      <c r="L820" s="8">
        <f t="shared" si="4"/>
        <v>2026</v>
      </c>
      <c r="N820" s="8" t="str">
        <f t="array" ref="N820">XLOOKUP(C820,Customer_Dim!A:A,Customer_Dim!B:B,"Not Found")</f>
        <v>Diane Watson</v>
      </c>
      <c r="O820" s="8" t="str">
        <f t="array" ref="O820">XLOOKUP(C820,Customer_Dim!A:A,Customer_Dim!E:E,"Not Found")</f>
        <v>North Codyport</v>
      </c>
      <c r="P820" s="8" t="str">
        <f t="array" ref="P820">XLOOKUP(D820,Product_Dim!A:A,Product_Dim!B:B,"Not Found")</f>
        <v>Vitamin E Body Lotion</v>
      </c>
      <c r="Q820" s="8" t="str">
        <f t="array" ref="Q820">XLOOKUP(D820,Product_Dim!A:A,Product_Dim!C:C,"Not Found")</f>
        <v>Beauty</v>
      </c>
      <c r="R820" s="8" t="str">
        <f t="array" ref="R820">XLOOKUP(E820,Store_Dim!A:A,Store_Dim!B:B,"Not Found")</f>
        <v>East</v>
      </c>
      <c r="S820" s="8" t="str">
        <f t="array" ref="S820">XLOOKUP(E820,Store_Dim!A:A,Store_Dim!D:D,"Not Found")</f>
        <v>Flagship</v>
      </c>
    </row>
    <row r="821" ht="14.25" customHeight="1">
      <c r="A821" s="8" t="s">
        <v>2774</v>
      </c>
      <c r="B821" s="12">
        <v>46299.0</v>
      </c>
      <c r="C821" s="8" t="s">
        <v>1011</v>
      </c>
      <c r="D821" s="8" t="s">
        <v>1812</v>
      </c>
      <c r="E821" s="8" t="s">
        <v>1899</v>
      </c>
      <c r="F821" s="8">
        <v>1.0</v>
      </c>
      <c r="G821" s="8">
        <v>719.94</v>
      </c>
      <c r="H821" s="8">
        <v>0.23</v>
      </c>
      <c r="I821" s="8">
        <f t="shared" si="1"/>
        <v>719.94</v>
      </c>
      <c r="J821" s="8">
        <f t="shared" si="2"/>
        <v>-165.3562</v>
      </c>
      <c r="K821" s="8" t="str">
        <f t="shared" si="3"/>
        <v>Oct</v>
      </c>
      <c r="L821" s="8">
        <f t="shared" si="4"/>
        <v>2026</v>
      </c>
      <c r="N821" s="8" t="str">
        <f t="array" ref="N821">XLOOKUP(C821,Customer_Dim!A:A,Customer_Dim!B:B,"Not Found")</f>
        <v>Robert House</v>
      </c>
      <c r="O821" s="8" t="str">
        <f t="array" ref="O821">XLOOKUP(C821,Customer_Dim!A:A,Customer_Dim!E:E,"Not Found")</f>
        <v>Lake James</v>
      </c>
      <c r="P821" s="8" t="str">
        <f t="array" ref="P821">XLOOKUP(D821,Product_Dim!A:A,Product_Dim!B:B,"Not Found")</f>
        <v>Bluetooth Car Audio System</v>
      </c>
      <c r="Q821" s="8" t="str">
        <f t="array" ref="Q821">XLOOKUP(D821,Product_Dim!A:A,Product_Dim!C:C,"Not Found")</f>
        <v>Electronics</v>
      </c>
      <c r="R821" s="8" t="str">
        <f t="array" ref="R821">XLOOKUP(E821,Store_Dim!A:A,Store_Dim!B:B,"Not Found")</f>
        <v>East</v>
      </c>
      <c r="S821" s="8" t="str">
        <f t="array" ref="S821">XLOOKUP(E821,Store_Dim!A:A,Store_Dim!D:D,"Not Found")</f>
        <v>Flagship</v>
      </c>
    </row>
    <row r="822" ht="14.25" customHeight="1">
      <c r="A822" s="8" t="s">
        <v>2775</v>
      </c>
      <c r="B822" s="12">
        <v>46300.0</v>
      </c>
      <c r="C822" s="8" t="s">
        <v>44</v>
      </c>
      <c r="D822" s="8" t="s">
        <v>1668</v>
      </c>
      <c r="E822" s="8" t="s">
        <v>1912</v>
      </c>
      <c r="F822" s="8">
        <v>2.0</v>
      </c>
      <c r="G822" s="8">
        <v>278.16</v>
      </c>
      <c r="H822" s="8">
        <v>0.22</v>
      </c>
      <c r="I822" s="8">
        <f t="shared" si="1"/>
        <v>556.32</v>
      </c>
      <c r="J822" s="8">
        <f t="shared" si="2"/>
        <v>-122.1704</v>
      </c>
      <c r="K822" s="8" t="str">
        <f t="shared" si="3"/>
        <v>Oct</v>
      </c>
      <c r="L822" s="8">
        <f t="shared" si="4"/>
        <v>2026</v>
      </c>
      <c r="N822" s="8" t="str">
        <f t="array" ref="N822">XLOOKUP(C822,Customer_Dim!A:A,Customer_Dim!B:B,"Not Found")</f>
        <v>Amber Jackson</v>
      </c>
      <c r="O822" s="8" t="str">
        <f t="array" ref="O822">XLOOKUP(C822,Customer_Dim!A:A,Customer_Dim!E:E,"Not Found")</f>
        <v>Deborahborough</v>
      </c>
      <c r="P822" s="8" t="str">
        <f t="array" ref="P822">XLOOKUP(D822,Product_Dim!A:A,Product_Dim!B:B,"Not Found")</f>
        <v>Sports Stopwatch Timer</v>
      </c>
      <c r="Q822" s="8" t="str">
        <f t="array" ref="Q822">XLOOKUP(D822,Product_Dim!A:A,Product_Dim!C:C,"Not Found")</f>
        <v>Sports</v>
      </c>
      <c r="R822" s="8" t="str">
        <f t="array" ref="R822">XLOOKUP(E822,Store_Dim!A:A,Store_Dim!B:B,"Not Found")</f>
        <v>South</v>
      </c>
      <c r="S822" s="8" t="str">
        <f t="array" ref="S822">XLOOKUP(E822,Store_Dim!A:A,Store_Dim!D:D,"Not Found")</f>
        <v>Online</v>
      </c>
    </row>
    <row r="823" ht="14.25" customHeight="1">
      <c r="A823" s="8" t="s">
        <v>2776</v>
      </c>
      <c r="B823" s="12">
        <v>46301.0</v>
      </c>
      <c r="C823" s="8" t="s">
        <v>212</v>
      </c>
      <c r="D823" s="8" t="s">
        <v>1735</v>
      </c>
      <c r="E823" s="8" t="s">
        <v>1915</v>
      </c>
      <c r="F823" s="8">
        <v>1.0</v>
      </c>
      <c r="G823" s="8">
        <v>678.9</v>
      </c>
      <c r="H823" s="8">
        <v>0.17</v>
      </c>
      <c r="I823" s="8">
        <f t="shared" si="1"/>
        <v>678.9</v>
      </c>
      <c r="J823" s="8">
        <f t="shared" si="2"/>
        <v>-115.243</v>
      </c>
      <c r="K823" s="8" t="str">
        <f t="shared" si="3"/>
        <v>Oct</v>
      </c>
      <c r="L823" s="8">
        <f t="shared" si="4"/>
        <v>2026</v>
      </c>
      <c r="N823" s="8" t="str">
        <f t="array" ref="N823">XLOOKUP(C823,Customer_Dim!A:A,Customer_Dim!B:B,"Not Found")</f>
        <v>Sharon Brown</v>
      </c>
      <c r="O823" s="8" t="str">
        <f t="array" ref="O823">XLOOKUP(C823,Customer_Dim!A:A,Customer_Dim!E:E,"Not Found")</f>
        <v>East Andrea</v>
      </c>
      <c r="P823" s="8" t="str">
        <f t="array" ref="P823">XLOOKUP(D823,Product_Dim!A:A,Product_Dim!B:B,"Not Found")</f>
        <v>Men's Roll-On Perfume</v>
      </c>
      <c r="Q823" s="8" t="str">
        <f t="array" ref="Q823">XLOOKUP(D823,Product_Dim!A:A,Product_Dim!C:C,"Not Found")</f>
        <v>Beauty</v>
      </c>
      <c r="R823" s="8" t="str">
        <f t="array" ref="R823">XLOOKUP(E823,Store_Dim!A:A,Store_Dim!B:B,"Not Found")</f>
        <v>North</v>
      </c>
      <c r="S823" s="8" t="str">
        <f t="array" ref="S823">XLOOKUP(E823,Store_Dim!A:A,Store_Dim!D:D,"Not Found")</f>
        <v>Outlet</v>
      </c>
    </row>
    <row r="824" ht="14.25" customHeight="1">
      <c r="A824" s="8" t="s">
        <v>2777</v>
      </c>
      <c r="B824" s="12">
        <v>46302.0</v>
      </c>
      <c r="C824" s="8" t="s">
        <v>80</v>
      </c>
      <c r="D824" s="8" t="s">
        <v>1659</v>
      </c>
      <c r="E824" s="8" t="s">
        <v>1933</v>
      </c>
      <c r="F824" s="8">
        <v>4.0</v>
      </c>
      <c r="G824" s="8">
        <v>94.13</v>
      </c>
      <c r="H824" s="8">
        <v>0.15</v>
      </c>
      <c r="I824" s="8">
        <f t="shared" si="1"/>
        <v>376.52</v>
      </c>
      <c r="J824" s="8">
        <f t="shared" si="2"/>
        <v>-56.328</v>
      </c>
      <c r="K824" s="8" t="str">
        <f t="shared" si="3"/>
        <v>Oct</v>
      </c>
      <c r="L824" s="8">
        <f t="shared" si="4"/>
        <v>2026</v>
      </c>
      <c r="N824" s="8" t="str">
        <f t="array" ref="N824">XLOOKUP(C824,Customer_Dim!A:A,Customer_Dim!B:B,"Not Found")</f>
        <v>Laura Alvarez</v>
      </c>
      <c r="O824" s="8" t="str">
        <f t="array" ref="O824">XLOOKUP(C824,Customer_Dim!A:A,Customer_Dim!E:E,"Not Found")</f>
        <v>Lawsonhaven</v>
      </c>
      <c r="P824" s="8" t="str">
        <f t="array" ref="P824">XLOOKUP(D824,Product_Dim!A:A,Product_Dim!B:B,"Not Found")</f>
        <v>Women's Scarf Set</v>
      </c>
      <c r="Q824" s="8" t="str">
        <f t="array" ref="Q824">XLOOKUP(D824,Product_Dim!A:A,Product_Dim!C:C,"Not Found")</f>
        <v>Clothing</v>
      </c>
      <c r="R824" s="8" t="str">
        <f t="array" ref="R824">XLOOKUP(E824,Store_Dim!A:A,Store_Dim!B:B,"Not Found")</f>
        <v>North</v>
      </c>
      <c r="S824" s="8" t="str">
        <f t="array" ref="S824">XLOOKUP(E824,Store_Dim!A:A,Store_Dim!D:D,"Not Found")</f>
        <v>Flagship</v>
      </c>
    </row>
    <row r="825" ht="14.25" customHeight="1">
      <c r="A825" s="8" t="s">
        <v>2778</v>
      </c>
      <c r="B825" s="12">
        <v>46303.0</v>
      </c>
      <c r="C825" s="8" t="s">
        <v>1381</v>
      </c>
      <c r="D825" s="8" t="s">
        <v>1719</v>
      </c>
      <c r="E825" s="8" t="s">
        <v>1903</v>
      </c>
      <c r="F825" s="8">
        <v>4.0</v>
      </c>
      <c r="G825" s="8">
        <v>415.02</v>
      </c>
      <c r="H825" s="8">
        <v>0.01</v>
      </c>
      <c r="I825" s="8">
        <f t="shared" si="1"/>
        <v>1660.08</v>
      </c>
      <c r="J825" s="8">
        <f t="shared" si="2"/>
        <v>-16.5908</v>
      </c>
      <c r="K825" s="8" t="str">
        <f t="shared" si="3"/>
        <v>Oct</v>
      </c>
      <c r="L825" s="8">
        <f t="shared" si="4"/>
        <v>2026</v>
      </c>
      <c r="N825" s="8" t="str">
        <f t="array" ref="N825">XLOOKUP(C825,Customer_Dim!A:A,Customer_Dim!B:B,"Not Found")</f>
        <v>Dalton Walters</v>
      </c>
      <c r="O825" s="8" t="str">
        <f t="array" ref="O825">XLOOKUP(C825,Customer_Dim!A:A,Customer_Dim!E:E,"Not Found")</f>
        <v>Jonesstad</v>
      </c>
      <c r="P825" s="8" t="str">
        <f t="array" ref="P825">XLOOKUP(D825,Product_Dim!A:A,Product_Dim!B:B,"Not Found")</f>
        <v>Adjustable Jump Rope</v>
      </c>
      <c r="Q825" s="8" t="str">
        <f t="array" ref="Q825">XLOOKUP(D825,Product_Dim!A:A,Product_Dim!C:C,"Not Found")</f>
        <v>Sports</v>
      </c>
      <c r="R825" s="8" t="str">
        <f t="array" ref="R825">XLOOKUP(E825,Store_Dim!A:A,Store_Dim!B:B,"Not Found")</f>
        <v>North</v>
      </c>
      <c r="S825" s="8" t="str">
        <f t="array" ref="S825">XLOOKUP(E825,Store_Dim!A:A,Store_Dim!D:D,"Not Found")</f>
        <v>Flagship</v>
      </c>
    </row>
    <row r="826" ht="14.25" customHeight="1">
      <c r="A826" s="8" t="s">
        <v>2779</v>
      </c>
      <c r="B826" s="12">
        <v>46304.0</v>
      </c>
      <c r="C826" s="8" t="s">
        <v>205</v>
      </c>
      <c r="D826" s="8" t="s">
        <v>1610</v>
      </c>
      <c r="E826" s="8" t="s">
        <v>1912</v>
      </c>
      <c r="F826" s="8">
        <v>4.0</v>
      </c>
      <c r="G826" s="8">
        <v>780.07</v>
      </c>
      <c r="H826" s="8">
        <v>0.03</v>
      </c>
      <c r="I826" s="8">
        <f t="shared" si="1"/>
        <v>3120.28</v>
      </c>
      <c r="J826" s="8">
        <f t="shared" si="2"/>
        <v>-93.5784</v>
      </c>
      <c r="K826" s="8" t="str">
        <f t="shared" si="3"/>
        <v>Oct</v>
      </c>
      <c r="L826" s="8">
        <f t="shared" si="4"/>
        <v>2026</v>
      </c>
      <c r="N826" s="8" t="str">
        <f t="array" ref="N826">XLOOKUP(C826,Customer_Dim!A:A,Customer_Dim!B:B,"Not Found")</f>
        <v>Sarah Rodgers</v>
      </c>
      <c r="O826" s="8" t="str">
        <f t="array" ref="O826">XLOOKUP(C826,Customer_Dim!A:A,Customer_Dim!E:E,"Not Found")</f>
        <v>New Julia</v>
      </c>
      <c r="P826" s="8" t="str">
        <f t="array" ref="P826">XLOOKUP(D826,Product_Dim!A:A,Product_Dim!B:B,"Not Found")</f>
        <v>HD Smart TV Stick</v>
      </c>
      <c r="Q826" s="8" t="str">
        <f t="array" ref="Q826">XLOOKUP(D826,Product_Dim!A:A,Product_Dim!C:C,"Not Found")</f>
        <v>Electronics</v>
      </c>
      <c r="R826" s="8" t="str">
        <f t="array" ref="R826">XLOOKUP(E826,Store_Dim!A:A,Store_Dim!B:B,"Not Found")</f>
        <v>South</v>
      </c>
      <c r="S826" s="8" t="str">
        <f t="array" ref="S826">XLOOKUP(E826,Store_Dim!A:A,Store_Dim!D:D,"Not Found")</f>
        <v>Online</v>
      </c>
    </row>
    <row r="827" ht="14.25" customHeight="1">
      <c r="A827" s="8" t="s">
        <v>2780</v>
      </c>
      <c r="B827" s="12">
        <v>46305.0</v>
      </c>
      <c r="C827" s="8" t="s">
        <v>1344</v>
      </c>
      <c r="D827" s="8" t="s">
        <v>1696</v>
      </c>
      <c r="E827" s="8" t="s">
        <v>1933</v>
      </c>
      <c r="F827" s="8">
        <v>4.0</v>
      </c>
      <c r="G827" s="8">
        <v>184.57</v>
      </c>
      <c r="H827" s="8">
        <v>0.28</v>
      </c>
      <c r="I827" s="8">
        <f t="shared" si="1"/>
        <v>738.28</v>
      </c>
      <c r="J827" s="8">
        <f t="shared" si="2"/>
        <v>-206.4384</v>
      </c>
      <c r="K827" s="8" t="str">
        <f t="shared" si="3"/>
        <v>Oct</v>
      </c>
      <c r="L827" s="8">
        <f t="shared" si="4"/>
        <v>2026</v>
      </c>
      <c r="N827" s="8" t="str">
        <f t="array" ref="N827">XLOOKUP(C827,Customer_Dim!A:A,Customer_Dim!B:B,"Not Found")</f>
        <v>Samuel Mullins</v>
      </c>
      <c r="O827" s="8" t="str">
        <f t="array" ref="O827">XLOOKUP(C827,Customer_Dim!A:A,Customer_Dim!E:E,"Not Found")</f>
        <v>Hartmouth</v>
      </c>
      <c r="P827" s="8" t="str">
        <f t="array" ref="P827">XLOOKUP(D827,Product_Dim!A:A,Product_Dim!B:B,"Not Found")</f>
        <v>Men's Casual Sneakers</v>
      </c>
      <c r="Q827" s="8" t="str">
        <f t="array" ref="Q827">XLOOKUP(D827,Product_Dim!A:A,Product_Dim!C:C,"Not Found")</f>
        <v>Clothing</v>
      </c>
      <c r="R827" s="8" t="str">
        <f t="array" ref="R827">XLOOKUP(E827,Store_Dim!A:A,Store_Dim!B:B,"Not Found")</f>
        <v>North</v>
      </c>
      <c r="S827" s="8" t="str">
        <f t="array" ref="S827">XLOOKUP(E827,Store_Dim!A:A,Store_Dim!D:D,"Not Found")</f>
        <v>Flagship</v>
      </c>
    </row>
    <row r="828" ht="14.25" customHeight="1">
      <c r="A828" s="8" t="s">
        <v>2781</v>
      </c>
      <c r="B828" s="12">
        <v>46306.0</v>
      </c>
      <c r="C828" s="8" t="s">
        <v>926</v>
      </c>
      <c r="D828" s="8" t="s">
        <v>1784</v>
      </c>
      <c r="E828" s="8" t="s">
        <v>1912</v>
      </c>
      <c r="F828" s="8">
        <v>4.0</v>
      </c>
      <c r="G828" s="8">
        <v>277.58</v>
      </c>
      <c r="H828" s="8">
        <v>0.22</v>
      </c>
      <c r="I828" s="8">
        <f t="shared" si="1"/>
        <v>1110.32</v>
      </c>
      <c r="J828" s="8">
        <f t="shared" si="2"/>
        <v>-244.0504</v>
      </c>
      <c r="K828" s="8" t="str">
        <f t="shared" si="3"/>
        <v>Oct</v>
      </c>
      <c r="L828" s="8">
        <f t="shared" si="4"/>
        <v>2026</v>
      </c>
      <c r="N828" s="8" t="str">
        <f t="array" ref="N828">XLOOKUP(C828,Customer_Dim!A:A,Customer_Dim!B:B,"Not Found")</f>
        <v>Cynthia Roberts</v>
      </c>
      <c r="O828" s="8" t="str">
        <f t="array" ref="O828">XLOOKUP(C828,Customer_Dim!A:A,Customer_Dim!E:E,"Not Found")</f>
        <v>Millerfort</v>
      </c>
      <c r="P828" s="8" t="str">
        <f t="array" ref="P828">XLOOKUP(D828,Product_Dim!A:A,Product_Dim!B:B,"Not Found")</f>
        <v>Adjustable Dumbbells 20kg</v>
      </c>
      <c r="Q828" s="8" t="str">
        <f t="array" ref="Q828">XLOOKUP(D828,Product_Dim!A:A,Product_Dim!C:C,"Not Found")</f>
        <v>Sports</v>
      </c>
      <c r="R828" s="8" t="str">
        <f t="array" ref="R828">XLOOKUP(E828,Store_Dim!A:A,Store_Dim!B:B,"Not Found")</f>
        <v>South</v>
      </c>
      <c r="S828" s="8" t="str">
        <f t="array" ref="S828">XLOOKUP(E828,Store_Dim!A:A,Store_Dim!D:D,"Not Found")</f>
        <v>Online</v>
      </c>
    </row>
    <row r="829" ht="14.25" customHeight="1">
      <c r="A829" s="8" t="s">
        <v>2782</v>
      </c>
      <c r="B829" s="12">
        <v>46307.0</v>
      </c>
      <c r="C829" s="8" t="s">
        <v>379</v>
      </c>
      <c r="D829" s="8" t="s">
        <v>1677</v>
      </c>
      <c r="E829" s="8" t="s">
        <v>1910</v>
      </c>
      <c r="F829" s="8">
        <v>1.0</v>
      </c>
      <c r="G829" s="8">
        <v>36.8</v>
      </c>
      <c r="H829" s="8">
        <v>0.18</v>
      </c>
      <c r="I829" s="8">
        <f t="shared" si="1"/>
        <v>36.8</v>
      </c>
      <c r="J829" s="8">
        <f t="shared" si="2"/>
        <v>-6.444</v>
      </c>
      <c r="K829" s="8" t="str">
        <f t="shared" si="3"/>
        <v>Oct</v>
      </c>
      <c r="L829" s="8">
        <f t="shared" si="4"/>
        <v>2026</v>
      </c>
      <c r="N829" s="8" t="str">
        <f t="array" ref="N829">XLOOKUP(C829,Customer_Dim!A:A,Customer_Dim!B:B,"Not Found")</f>
        <v>Christopher Lester</v>
      </c>
      <c r="O829" s="8" t="str">
        <f t="array" ref="O829">XLOOKUP(C829,Customer_Dim!A:A,Customer_Dim!E:E,"Not Found")</f>
        <v>South Jenniferville</v>
      </c>
      <c r="P829" s="8" t="str">
        <f t="array" ref="P829">XLOOKUP(D829,Product_Dim!A:A,Product_Dim!B:B,"Not Found")</f>
        <v>Basketball</v>
      </c>
      <c r="Q829" s="8" t="str">
        <f t="array" ref="Q829">XLOOKUP(D829,Product_Dim!A:A,Product_Dim!C:C,"Not Found")</f>
        <v>Sports</v>
      </c>
      <c r="R829" s="8" t="str">
        <f t="array" ref="R829">XLOOKUP(E829,Store_Dim!A:A,Store_Dim!B:B,"Not Found")</f>
        <v>North</v>
      </c>
      <c r="S829" s="8" t="str">
        <f t="array" ref="S829">XLOOKUP(E829,Store_Dim!A:A,Store_Dim!D:D,"Not Found")</f>
        <v>Outlet</v>
      </c>
    </row>
    <row r="830" ht="14.25" customHeight="1">
      <c r="A830" s="8" t="s">
        <v>2783</v>
      </c>
      <c r="B830" s="12">
        <v>46308.0</v>
      </c>
      <c r="C830" s="8" t="s">
        <v>1131</v>
      </c>
      <c r="D830" s="8" t="s">
        <v>1854</v>
      </c>
      <c r="E830" s="8" t="s">
        <v>1917</v>
      </c>
      <c r="F830" s="8">
        <v>1.0</v>
      </c>
      <c r="G830" s="8">
        <v>539.37</v>
      </c>
      <c r="H830" s="8">
        <v>0.14</v>
      </c>
      <c r="I830" s="8">
        <f t="shared" si="1"/>
        <v>539.37</v>
      </c>
      <c r="J830" s="8">
        <f t="shared" si="2"/>
        <v>-75.3718</v>
      </c>
      <c r="K830" s="8" t="str">
        <f t="shared" si="3"/>
        <v>Oct</v>
      </c>
      <c r="L830" s="8">
        <f t="shared" si="4"/>
        <v>2026</v>
      </c>
      <c r="N830" s="8" t="str">
        <f t="array" ref="N830">XLOOKUP(C830,Customer_Dim!A:A,Customer_Dim!B:B,"Not Found")</f>
        <v>Steve Hunt</v>
      </c>
      <c r="O830" s="8" t="str">
        <f t="array" ref="O830">XLOOKUP(C830,Customer_Dim!A:A,Customer_Dim!E:E,"Not Found")</f>
        <v>North Richard</v>
      </c>
      <c r="P830" s="8" t="str">
        <f t="array" ref="P830">XLOOKUP(D830,Product_Dim!A:A,Product_Dim!B:B,"Not Found")</f>
        <v>Sports Wrist Sweatbands</v>
      </c>
      <c r="Q830" s="8" t="str">
        <f t="array" ref="Q830">XLOOKUP(D830,Product_Dim!A:A,Product_Dim!C:C,"Not Found")</f>
        <v>Sports</v>
      </c>
      <c r="R830" s="8" t="str">
        <f t="array" ref="R830">XLOOKUP(E830,Store_Dim!A:A,Store_Dim!B:B,"Not Found")</f>
        <v>East</v>
      </c>
      <c r="S830" s="8" t="str">
        <f t="array" ref="S830">XLOOKUP(E830,Store_Dim!A:A,Store_Dim!D:D,"Not Found")</f>
        <v>Online</v>
      </c>
    </row>
    <row r="831" ht="14.25" customHeight="1">
      <c r="A831" s="8" t="s">
        <v>2784</v>
      </c>
      <c r="B831" s="12">
        <v>46309.0</v>
      </c>
      <c r="C831" s="8" t="s">
        <v>331</v>
      </c>
      <c r="D831" s="8" t="s">
        <v>1642</v>
      </c>
      <c r="E831" s="8" t="s">
        <v>1939</v>
      </c>
      <c r="F831" s="8">
        <v>1.0</v>
      </c>
      <c r="G831" s="8">
        <v>27.83</v>
      </c>
      <c r="H831" s="8">
        <v>0.3</v>
      </c>
      <c r="I831" s="8">
        <f t="shared" si="1"/>
        <v>27.83</v>
      </c>
      <c r="J831" s="8">
        <f t="shared" si="2"/>
        <v>-8.049</v>
      </c>
      <c r="K831" s="8" t="str">
        <f t="shared" si="3"/>
        <v>Oct</v>
      </c>
      <c r="L831" s="8">
        <f t="shared" si="4"/>
        <v>2026</v>
      </c>
      <c r="N831" s="8" t="str">
        <f t="array" ref="N831">XLOOKUP(C831,Customer_Dim!A:A,Customer_Dim!B:B,"Not Found")</f>
        <v>Jamie Yoder</v>
      </c>
      <c r="O831" s="8" t="str">
        <f t="array" ref="O831">XLOOKUP(C831,Customer_Dim!A:A,Customer_Dim!E:E,"Not Found")</f>
        <v>New Gabrielleville</v>
      </c>
      <c r="P831" s="8" t="str">
        <f t="array" ref="P831">XLOOKUP(D831,Product_Dim!A:A,Product_Dim!B:B,"Not Found")</f>
        <v>Outdoor Sports Water Bottle</v>
      </c>
      <c r="Q831" s="8" t="str">
        <f t="array" ref="Q831">XLOOKUP(D831,Product_Dim!A:A,Product_Dim!C:C,"Not Found")</f>
        <v>Sports</v>
      </c>
      <c r="R831" s="8" t="str">
        <f t="array" ref="R831">XLOOKUP(E831,Store_Dim!A:A,Store_Dim!B:B,"Not Found")</f>
        <v>East</v>
      </c>
      <c r="S831" s="8" t="str">
        <f t="array" ref="S831">XLOOKUP(E831,Store_Dim!A:A,Store_Dim!D:D,"Not Found")</f>
        <v>Flagship</v>
      </c>
    </row>
    <row r="832" ht="14.25" customHeight="1">
      <c r="A832" s="8" t="s">
        <v>2785</v>
      </c>
      <c r="B832" s="12">
        <v>46310.0</v>
      </c>
      <c r="C832" s="8" t="s">
        <v>914</v>
      </c>
      <c r="D832" s="8" t="s">
        <v>1800</v>
      </c>
      <c r="E832" s="8" t="s">
        <v>1912</v>
      </c>
      <c r="F832" s="8">
        <v>3.0</v>
      </c>
      <c r="G832" s="8">
        <v>698.72</v>
      </c>
      <c r="H832" s="8">
        <v>0.28</v>
      </c>
      <c r="I832" s="8">
        <f t="shared" si="1"/>
        <v>2096.16</v>
      </c>
      <c r="J832" s="8">
        <f t="shared" si="2"/>
        <v>-586.6448</v>
      </c>
      <c r="K832" s="8" t="str">
        <f t="shared" si="3"/>
        <v>Oct</v>
      </c>
      <c r="L832" s="8">
        <f t="shared" si="4"/>
        <v>2026</v>
      </c>
      <c r="N832" s="8" t="str">
        <f t="array" ref="N832">XLOOKUP(C832,Customer_Dim!A:A,Customer_Dim!B:B,"Not Found")</f>
        <v>Bryan Garcia</v>
      </c>
      <c r="O832" s="8" t="str">
        <f t="array" ref="O832">XLOOKUP(C832,Customer_Dim!A:A,Customer_Dim!E:E,"Not Found")</f>
        <v>Garciaborough</v>
      </c>
      <c r="P832" s="8" t="str">
        <f t="array" ref="P832">XLOOKUP(D832,Product_Dim!A:A,Product_Dim!B:B,"Not Found")</f>
        <v>Kitchen Storage Rack</v>
      </c>
      <c r="Q832" s="8" t="str">
        <f t="array" ref="Q832">XLOOKUP(D832,Product_Dim!A:A,Product_Dim!C:C,"Not Found")</f>
        <v>Home</v>
      </c>
      <c r="R832" s="8" t="str">
        <f t="array" ref="R832">XLOOKUP(E832,Store_Dim!A:A,Store_Dim!B:B,"Not Found")</f>
        <v>South</v>
      </c>
      <c r="S832" s="8" t="str">
        <f t="array" ref="S832">XLOOKUP(E832,Store_Dim!A:A,Store_Dim!D:D,"Not Found")</f>
        <v>Online</v>
      </c>
    </row>
    <row r="833" ht="14.25" customHeight="1">
      <c r="A833" s="8" t="s">
        <v>2786</v>
      </c>
      <c r="B833" s="12">
        <v>46311.0</v>
      </c>
      <c r="C833" s="8" t="s">
        <v>68</v>
      </c>
      <c r="D833" s="8" t="s">
        <v>1818</v>
      </c>
      <c r="E833" s="8" t="s">
        <v>1931</v>
      </c>
      <c r="F833" s="8">
        <v>4.0</v>
      </c>
      <c r="G833" s="8">
        <v>528.23</v>
      </c>
      <c r="H833" s="8">
        <v>0.15</v>
      </c>
      <c r="I833" s="8">
        <f t="shared" si="1"/>
        <v>2112.92</v>
      </c>
      <c r="J833" s="8">
        <f t="shared" si="2"/>
        <v>-316.788</v>
      </c>
      <c r="K833" s="8" t="str">
        <f t="shared" si="3"/>
        <v>Oct</v>
      </c>
      <c r="L833" s="8">
        <f t="shared" si="4"/>
        <v>2026</v>
      </c>
      <c r="N833" s="8" t="str">
        <f t="array" ref="N833">XLOOKUP(C833,Customer_Dim!A:A,Customer_Dim!B:B,"Not Found")</f>
        <v>Kenneth Lambert</v>
      </c>
      <c r="O833" s="8" t="str">
        <f t="array" ref="O833">XLOOKUP(C833,Customer_Dim!A:A,Customer_Dim!E:E,"Not Found")</f>
        <v>North Kathryn</v>
      </c>
      <c r="P833" s="8" t="str">
        <f t="array" ref="P833">XLOOKUP(D833,Product_Dim!A:A,Product_Dim!B:B,"Not Found")</f>
        <v>Wireless Mouse</v>
      </c>
      <c r="Q833" s="8" t="str">
        <f t="array" ref="Q833">XLOOKUP(D833,Product_Dim!A:A,Product_Dim!C:C,"Not Found")</f>
        <v>Electronics</v>
      </c>
      <c r="R833" s="8" t="str">
        <f t="array" ref="R833">XLOOKUP(E833,Store_Dim!A:A,Store_Dim!B:B,"Not Found")</f>
        <v>East</v>
      </c>
      <c r="S833" s="8" t="str">
        <f t="array" ref="S833">XLOOKUP(E833,Store_Dim!A:A,Store_Dim!D:D,"Not Found")</f>
        <v>Flagship</v>
      </c>
    </row>
    <row r="834" ht="14.25" customHeight="1">
      <c r="A834" s="8" t="s">
        <v>2787</v>
      </c>
      <c r="B834" s="12">
        <v>46312.0</v>
      </c>
      <c r="C834" s="8" t="s">
        <v>1529</v>
      </c>
      <c r="D834" s="8" t="s">
        <v>1725</v>
      </c>
      <c r="E834" s="8" t="s">
        <v>1935</v>
      </c>
      <c r="F834" s="8">
        <v>2.0</v>
      </c>
      <c r="G834" s="8">
        <v>780.9</v>
      </c>
      <c r="H834" s="8">
        <v>0.24</v>
      </c>
      <c r="I834" s="8">
        <f t="shared" si="1"/>
        <v>1561.8</v>
      </c>
      <c r="J834" s="8">
        <f t="shared" si="2"/>
        <v>-374.592</v>
      </c>
      <c r="K834" s="8" t="str">
        <f t="shared" si="3"/>
        <v>Oct</v>
      </c>
      <c r="L834" s="8">
        <f t="shared" si="4"/>
        <v>2026</v>
      </c>
      <c r="N834" s="8" t="str">
        <f t="array" ref="N834">XLOOKUP(C834,Customer_Dim!A:A,Customer_Dim!B:B,"Not Found")</f>
        <v>Darrell Miller</v>
      </c>
      <c r="O834" s="8" t="str">
        <f t="array" ref="O834">XLOOKUP(C834,Customer_Dim!A:A,Customer_Dim!E:E,"Not Found")</f>
        <v>Port Carol</v>
      </c>
      <c r="P834" s="8" t="str">
        <f t="array" ref="P834">XLOOKUP(D834,Product_Dim!A:A,Product_Dim!B:B,"Not Found")</f>
        <v>Men's Winter Jacket</v>
      </c>
      <c r="Q834" s="8" t="str">
        <f t="array" ref="Q834">XLOOKUP(D834,Product_Dim!A:A,Product_Dim!C:C,"Not Found")</f>
        <v>Clothing</v>
      </c>
      <c r="R834" s="8" t="str">
        <f t="array" ref="R834">XLOOKUP(E834,Store_Dim!A:A,Store_Dim!B:B,"Not Found")</f>
        <v>West</v>
      </c>
      <c r="S834" s="8" t="str">
        <f t="array" ref="S834">XLOOKUP(E834,Store_Dim!A:A,Store_Dim!D:D,"Not Found")</f>
        <v>Flagship</v>
      </c>
    </row>
    <row r="835" ht="14.25" customHeight="1">
      <c r="A835" s="8" t="s">
        <v>2788</v>
      </c>
      <c r="B835" s="12">
        <v>46313.0</v>
      </c>
      <c r="C835" s="8" t="s">
        <v>607</v>
      </c>
      <c r="D835" s="8" t="s">
        <v>1645</v>
      </c>
      <c r="E835" s="8" t="s">
        <v>1932</v>
      </c>
      <c r="F835" s="8">
        <v>1.0</v>
      </c>
      <c r="G835" s="8">
        <v>977.97</v>
      </c>
      <c r="H835" s="8">
        <v>0.06</v>
      </c>
      <c r="I835" s="8">
        <f t="shared" si="1"/>
        <v>977.97</v>
      </c>
      <c r="J835" s="8">
        <f t="shared" si="2"/>
        <v>-58.6182</v>
      </c>
      <c r="K835" s="8" t="str">
        <f t="shared" si="3"/>
        <v>Oct</v>
      </c>
      <c r="L835" s="8">
        <f t="shared" si="4"/>
        <v>2026</v>
      </c>
      <c r="N835" s="8" t="str">
        <f t="array" ref="N835">XLOOKUP(C835,Customer_Dim!A:A,Customer_Dim!B:B,"Not Found")</f>
        <v>Wesley Thompson</v>
      </c>
      <c r="O835" s="8" t="str">
        <f t="array" ref="O835">XLOOKUP(C835,Customer_Dim!A:A,Customer_Dim!E:E,"Not Found")</f>
        <v>East Davidmouth</v>
      </c>
      <c r="P835" s="8" t="str">
        <f t="array" ref="P835">XLOOKUP(D835,Product_Dim!A:A,Product_Dim!B:B,"Not Found")</f>
        <v>Multi-Purpose Storage Box</v>
      </c>
      <c r="Q835" s="8" t="str">
        <f t="array" ref="Q835">XLOOKUP(D835,Product_Dim!A:A,Product_Dim!C:C,"Not Found")</f>
        <v>Home</v>
      </c>
      <c r="R835" s="8" t="str">
        <f t="array" ref="R835">XLOOKUP(E835,Store_Dim!A:A,Store_Dim!B:B,"Not Found")</f>
        <v>South</v>
      </c>
      <c r="S835" s="8" t="str">
        <f t="array" ref="S835">XLOOKUP(E835,Store_Dim!A:A,Store_Dim!D:D,"Not Found")</f>
        <v>Outlet</v>
      </c>
    </row>
    <row r="836" ht="14.25" customHeight="1">
      <c r="A836" s="8" t="s">
        <v>2789</v>
      </c>
      <c r="B836" s="12">
        <v>46314.0</v>
      </c>
      <c r="C836" s="8" t="s">
        <v>1170</v>
      </c>
      <c r="D836" s="8" t="s">
        <v>1839</v>
      </c>
      <c r="E836" s="8" t="s">
        <v>1929</v>
      </c>
      <c r="F836" s="8">
        <v>4.0</v>
      </c>
      <c r="G836" s="8">
        <v>354.65</v>
      </c>
      <c r="H836" s="8">
        <v>0.19</v>
      </c>
      <c r="I836" s="8">
        <f t="shared" si="1"/>
        <v>1418.6</v>
      </c>
      <c r="J836" s="8">
        <f t="shared" si="2"/>
        <v>-269.344</v>
      </c>
      <c r="K836" s="8" t="str">
        <f t="shared" si="3"/>
        <v>Oct</v>
      </c>
      <c r="L836" s="8">
        <f t="shared" si="4"/>
        <v>2026</v>
      </c>
      <c r="N836" s="8" t="str">
        <f t="array" ref="N836">XLOOKUP(C836,Customer_Dim!A:A,Customer_Dim!B:B,"Not Found")</f>
        <v>Gregory Allen</v>
      </c>
      <c r="O836" s="8" t="str">
        <f t="array" ref="O836">XLOOKUP(C836,Customer_Dim!A:A,Customer_Dim!E:E,"Not Found")</f>
        <v>West Bruce</v>
      </c>
      <c r="P836" s="8" t="str">
        <f t="array" ref="P836">XLOOKUP(D836,Product_Dim!A:A,Product_Dim!B:B,"Not Found")</f>
        <v>Hydrating Face Cleanser</v>
      </c>
      <c r="Q836" s="8" t="str">
        <f t="array" ref="Q836">XLOOKUP(D836,Product_Dim!A:A,Product_Dim!C:C,"Not Found")</f>
        <v>Beauty</v>
      </c>
      <c r="R836" s="8" t="str">
        <f t="array" ref="R836">XLOOKUP(E836,Store_Dim!A:A,Store_Dim!B:B,"Not Found")</f>
        <v>North</v>
      </c>
      <c r="S836" s="8" t="str">
        <f t="array" ref="S836">XLOOKUP(E836,Store_Dim!A:A,Store_Dim!D:D,"Not Found")</f>
        <v>Online</v>
      </c>
    </row>
    <row r="837" ht="14.25" customHeight="1">
      <c r="A837" s="8" t="s">
        <v>2790</v>
      </c>
      <c r="B837" s="12">
        <v>46315.0</v>
      </c>
      <c r="C837" s="8" t="s">
        <v>914</v>
      </c>
      <c r="D837" s="8" t="s">
        <v>1793</v>
      </c>
      <c r="E837" s="8" t="s">
        <v>1941</v>
      </c>
      <c r="F837" s="8">
        <v>1.0</v>
      </c>
      <c r="G837" s="8">
        <v>671.62</v>
      </c>
      <c r="H837" s="8">
        <v>0.09</v>
      </c>
      <c r="I837" s="8">
        <f t="shared" si="1"/>
        <v>671.62</v>
      </c>
      <c r="J837" s="8">
        <f t="shared" si="2"/>
        <v>-60.3558</v>
      </c>
      <c r="K837" s="8" t="str">
        <f t="shared" si="3"/>
        <v>Oct</v>
      </c>
      <c r="L837" s="8">
        <f t="shared" si="4"/>
        <v>2026</v>
      </c>
      <c r="N837" s="8" t="str">
        <f t="array" ref="N837">XLOOKUP(C837,Customer_Dim!A:A,Customer_Dim!B:B,"Not Found")</f>
        <v>Bryan Garcia</v>
      </c>
      <c r="O837" s="8" t="str">
        <f t="array" ref="O837">XLOOKUP(C837,Customer_Dim!A:A,Customer_Dim!E:E,"Not Found")</f>
        <v>Garciaborough</v>
      </c>
      <c r="P837" s="8" t="str">
        <f t="array" ref="P837">XLOOKUP(D837,Product_Dim!A:A,Product_Dim!B:B,"Not Found")</f>
        <v>Wooden Nightstand</v>
      </c>
      <c r="Q837" s="8" t="str">
        <f t="array" ref="Q837">XLOOKUP(D837,Product_Dim!A:A,Product_Dim!C:C,"Not Found")</f>
        <v>Home</v>
      </c>
      <c r="R837" s="8" t="str">
        <f t="array" ref="R837">XLOOKUP(E837,Store_Dim!A:A,Store_Dim!B:B,"Not Found")</f>
        <v>East</v>
      </c>
      <c r="S837" s="8" t="str">
        <f t="array" ref="S837">XLOOKUP(E837,Store_Dim!A:A,Store_Dim!D:D,"Not Found")</f>
        <v>Online</v>
      </c>
    </row>
    <row r="838" ht="14.25" customHeight="1">
      <c r="A838" s="8" t="s">
        <v>2791</v>
      </c>
      <c r="B838" s="12">
        <v>46316.0</v>
      </c>
      <c r="C838" s="8" t="s">
        <v>1014</v>
      </c>
      <c r="D838" s="8" t="s">
        <v>1836</v>
      </c>
      <c r="E838" s="8" t="s">
        <v>1910</v>
      </c>
      <c r="F838" s="8">
        <v>1.0</v>
      </c>
      <c r="G838" s="8">
        <v>867.32</v>
      </c>
      <c r="H838" s="8">
        <v>0.29</v>
      </c>
      <c r="I838" s="8">
        <f t="shared" si="1"/>
        <v>867.32</v>
      </c>
      <c r="J838" s="8">
        <f t="shared" si="2"/>
        <v>-251.2328</v>
      </c>
      <c r="K838" s="8" t="str">
        <f t="shared" si="3"/>
        <v>Oct</v>
      </c>
      <c r="L838" s="8">
        <f t="shared" si="4"/>
        <v>2026</v>
      </c>
      <c r="N838" s="8" t="str">
        <f t="array" ref="N838">XLOOKUP(C838,Customer_Dim!A:A,Customer_Dim!B:B,"Not Found")</f>
        <v>Tiffany Williams</v>
      </c>
      <c r="O838" s="8" t="str">
        <f t="array" ref="O838">XLOOKUP(C838,Customer_Dim!A:A,Customer_Dim!E:E,"Not Found")</f>
        <v>Richardsport</v>
      </c>
      <c r="P838" s="8" t="str">
        <f t="array" ref="P838">XLOOKUP(D838,Product_Dim!A:A,Product_Dim!B:B,"Not Found")</f>
        <v>Fitness Resistance Bands</v>
      </c>
      <c r="Q838" s="8" t="str">
        <f t="array" ref="Q838">XLOOKUP(D838,Product_Dim!A:A,Product_Dim!C:C,"Not Found")</f>
        <v>Sports</v>
      </c>
      <c r="R838" s="8" t="str">
        <f t="array" ref="R838">XLOOKUP(E838,Store_Dim!A:A,Store_Dim!B:B,"Not Found")</f>
        <v>North</v>
      </c>
      <c r="S838" s="8" t="str">
        <f t="array" ref="S838">XLOOKUP(E838,Store_Dim!A:A,Store_Dim!D:D,"Not Found")</f>
        <v>Outlet</v>
      </c>
    </row>
    <row r="839" ht="14.25" customHeight="1">
      <c r="A839" s="8" t="s">
        <v>2792</v>
      </c>
      <c r="B839" s="12">
        <v>46317.0</v>
      </c>
      <c r="C839" s="8" t="s">
        <v>305</v>
      </c>
      <c r="D839" s="8" t="s">
        <v>1606</v>
      </c>
      <c r="E839" s="8" t="s">
        <v>1929</v>
      </c>
      <c r="F839" s="8">
        <v>3.0</v>
      </c>
      <c r="G839" s="8">
        <v>240.27</v>
      </c>
      <c r="H839" s="8">
        <v>0.15</v>
      </c>
      <c r="I839" s="8">
        <f t="shared" si="1"/>
        <v>720.81</v>
      </c>
      <c r="J839" s="8">
        <f t="shared" si="2"/>
        <v>-107.9715</v>
      </c>
      <c r="K839" s="8" t="str">
        <f t="shared" si="3"/>
        <v>Oct</v>
      </c>
      <c r="L839" s="8">
        <f t="shared" si="4"/>
        <v>2026</v>
      </c>
      <c r="N839" s="8" t="str">
        <f t="array" ref="N839">XLOOKUP(C839,Customer_Dim!A:A,Customer_Dim!B:B,"Not Found")</f>
        <v>Krystal Ford</v>
      </c>
      <c r="O839" s="8" t="str">
        <f t="array" ref="O839">XLOOKUP(C839,Customer_Dim!A:A,Customer_Dim!E:E,"Not Found")</f>
        <v>South David</v>
      </c>
      <c r="P839" s="8" t="str">
        <f t="array" ref="P839">XLOOKUP(D839,Product_Dim!A:A,Product_Dim!B:B,"Not Found")</f>
        <v>Ceramic Kitchen Bowl Set</v>
      </c>
      <c r="Q839" s="8" t="str">
        <f t="array" ref="Q839">XLOOKUP(D839,Product_Dim!A:A,Product_Dim!C:C,"Not Found")</f>
        <v>Home</v>
      </c>
      <c r="R839" s="8" t="str">
        <f t="array" ref="R839">XLOOKUP(E839,Store_Dim!A:A,Store_Dim!B:B,"Not Found")</f>
        <v>North</v>
      </c>
      <c r="S839" s="8" t="str">
        <f t="array" ref="S839">XLOOKUP(E839,Store_Dim!A:A,Store_Dim!D:D,"Not Found")</f>
        <v>Online</v>
      </c>
    </row>
    <row r="840" ht="14.25" customHeight="1">
      <c r="A840" s="8" t="s">
        <v>2793</v>
      </c>
      <c r="B840" s="12">
        <v>46318.0</v>
      </c>
      <c r="C840" s="8" t="s">
        <v>285</v>
      </c>
      <c r="D840" s="8" t="s">
        <v>1668</v>
      </c>
      <c r="E840" s="8" t="s">
        <v>1935</v>
      </c>
      <c r="F840" s="8">
        <v>2.0</v>
      </c>
      <c r="G840" s="8">
        <v>619.12</v>
      </c>
      <c r="H840" s="8">
        <v>0.28</v>
      </c>
      <c r="I840" s="8">
        <f t="shared" si="1"/>
        <v>1238.24</v>
      </c>
      <c r="J840" s="8">
        <f t="shared" si="2"/>
        <v>-346.4272</v>
      </c>
      <c r="K840" s="8" t="str">
        <f t="shared" si="3"/>
        <v>Oct</v>
      </c>
      <c r="L840" s="8">
        <f t="shared" si="4"/>
        <v>2026</v>
      </c>
      <c r="N840" s="8" t="str">
        <f t="array" ref="N840">XLOOKUP(C840,Customer_Dim!A:A,Customer_Dim!B:B,"Not Found")</f>
        <v>Rhonda Morales</v>
      </c>
      <c r="O840" s="8" t="str">
        <f t="array" ref="O840">XLOOKUP(C840,Customer_Dim!A:A,Customer_Dim!E:E,"Not Found")</f>
        <v>Lake Barryfurt</v>
      </c>
      <c r="P840" s="8" t="str">
        <f t="array" ref="P840">XLOOKUP(D840,Product_Dim!A:A,Product_Dim!B:B,"Not Found")</f>
        <v>Sports Stopwatch Timer</v>
      </c>
      <c r="Q840" s="8" t="str">
        <f t="array" ref="Q840">XLOOKUP(D840,Product_Dim!A:A,Product_Dim!C:C,"Not Found")</f>
        <v>Sports</v>
      </c>
      <c r="R840" s="8" t="str">
        <f t="array" ref="R840">XLOOKUP(E840,Store_Dim!A:A,Store_Dim!B:B,"Not Found")</f>
        <v>West</v>
      </c>
      <c r="S840" s="8" t="str">
        <f t="array" ref="S840">XLOOKUP(E840,Store_Dim!A:A,Store_Dim!D:D,"Not Found")</f>
        <v>Flagship</v>
      </c>
    </row>
    <row r="841" ht="14.25" customHeight="1">
      <c r="A841" s="8" t="s">
        <v>2794</v>
      </c>
      <c r="B841" s="12">
        <v>46319.0</v>
      </c>
      <c r="C841" s="8" t="s">
        <v>705</v>
      </c>
      <c r="D841" s="8" t="s">
        <v>1851</v>
      </c>
      <c r="E841" s="8" t="s">
        <v>1899</v>
      </c>
      <c r="F841" s="8">
        <v>3.0</v>
      </c>
      <c r="G841" s="8">
        <v>693.42</v>
      </c>
      <c r="H841" s="8">
        <v>0.08</v>
      </c>
      <c r="I841" s="8">
        <f t="shared" si="1"/>
        <v>2080.26</v>
      </c>
      <c r="J841" s="8">
        <f t="shared" si="2"/>
        <v>-166.3408</v>
      </c>
      <c r="K841" s="8" t="str">
        <f t="shared" si="3"/>
        <v>Oct</v>
      </c>
      <c r="L841" s="8">
        <f t="shared" si="4"/>
        <v>2026</v>
      </c>
      <c r="N841" s="8" t="str">
        <f t="array" ref="N841">XLOOKUP(C841,Customer_Dim!A:A,Customer_Dim!B:B,"Not Found")</f>
        <v>Stuart Johnson</v>
      </c>
      <c r="O841" s="8" t="str">
        <f t="array" ref="O841">XLOOKUP(C841,Customer_Dim!A:A,Customer_Dim!E:E,"Not Found")</f>
        <v>West Markport</v>
      </c>
      <c r="P841" s="8" t="str">
        <f t="array" ref="P841">XLOOKUP(D841,Product_Dim!A:A,Product_Dim!B:B,"Not Found")</f>
        <v>LED Bedside Lamp</v>
      </c>
      <c r="Q841" s="8" t="str">
        <f t="array" ref="Q841">XLOOKUP(D841,Product_Dim!A:A,Product_Dim!C:C,"Not Found")</f>
        <v>Home</v>
      </c>
      <c r="R841" s="8" t="str">
        <f t="array" ref="R841">XLOOKUP(E841,Store_Dim!A:A,Store_Dim!B:B,"Not Found")</f>
        <v>East</v>
      </c>
      <c r="S841" s="8" t="str">
        <f t="array" ref="S841">XLOOKUP(E841,Store_Dim!A:A,Store_Dim!D:D,"Not Found")</f>
        <v>Flagship</v>
      </c>
    </row>
    <row r="842" ht="14.25" customHeight="1">
      <c r="A842" s="8" t="s">
        <v>2795</v>
      </c>
      <c r="B842" s="12">
        <v>46320.0</v>
      </c>
      <c r="C842" s="8" t="s">
        <v>391</v>
      </c>
      <c r="D842" s="8" t="s">
        <v>1732</v>
      </c>
      <c r="E842" s="8" t="s">
        <v>1926</v>
      </c>
      <c r="F842" s="8">
        <v>4.0</v>
      </c>
      <c r="G842" s="8">
        <v>751.63</v>
      </c>
      <c r="H842" s="8">
        <v>0.28</v>
      </c>
      <c r="I842" s="8">
        <f t="shared" si="1"/>
        <v>3006.52</v>
      </c>
      <c r="J842" s="8">
        <f t="shared" si="2"/>
        <v>-841.5456</v>
      </c>
      <c r="K842" s="8" t="str">
        <f t="shared" si="3"/>
        <v>Oct</v>
      </c>
      <c r="L842" s="8">
        <f t="shared" si="4"/>
        <v>2026</v>
      </c>
      <c r="N842" s="8" t="str">
        <f t="array" ref="N842">XLOOKUP(C842,Customer_Dim!A:A,Customer_Dim!B:B,"Not Found")</f>
        <v>Travis Holland</v>
      </c>
      <c r="O842" s="8" t="str">
        <f t="array" ref="O842">XLOOKUP(C842,Customer_Dim!A:A,Customer_Dim!E:E,"Not Found")</f>
        <v>Webstermouth</v>
      </c>
      <c r="P842" s="8" t="str">
        <f t="array" ref="P842">XLOOKUP(D842,Product_Dim!A:A,Product_Dim!B:B,"Not Found")</f>
        <v>Car Dashboard Phone Holder</v>
      </c>
      <c r="Q842" s="8" t="str">
        <f t="array" ref="Q842">XLOOKUP(D842,Product_Dim!A:A,Product_Dim!C:C,"Not Found")</f>
        <v>Electronics</v>
      </c>
      <c r="R842" s="8" t="str">
        <f t="array" ref="R842">XLOOKUP(E842,Store_Dim!A:A,Store_Dim!B:B,"Not Found")</f>
        <v>East</v>
      </c>
      <c r="S842" s="8" t="str">
        <f t="array" ref="S842">XLOOKUP(E842,Store_Dim!A:A,Store_Dim!D:D,"Not Found")</f>
        <v>Online</v>
      </c>
    </row>
    <row r="843" ht="14.25" customHeight="1">
      <c r="A843" s="8" t="s">
        <v>2796</v>
      </c>
      <c r="B843" s="12">
        <v>46321.0</v>
      </c>
      <c r="C843" s="8" t="s">
        <v>397</v>
      </c>
      <c r="D843" s="8" t="s">
        <v>1677</v>
      </c>
      <c r="E843" s="8" t="s">
        <v>1933</v>
      </c>
      <c r="F843" s="8">
        <v>3.0</v>
      </c>
      <c r="G843" s="8">
        <v>108.14</v>
      </c>
      <c r="H843" s="8">
        <v>0.19</v>
      </c>
      <c r="I843" s="8">
        <f t="shared" si="1"/>
        <v>324.42</v>
      </c>
      <c r="J843" s="8">
        <f t="shared" si="2"/>
        <v>-61.4498</v>
      </c>
      <c r="K843" s="8" t="str">
        <f t="shared" si="3"/>
        <v>Oct</v>
      </c>
      <c r="L843" s="8">
        <f t="shared" si="4"/>
        <v>2026</v>
      </c>
      <c r="N843" s="8" t="str">
        <f t="array" ref="N843">XLOOKUP(C843,Customer_Dim!A:A,Customer_Dim!B:B,"Not Found")</f>
        <v>Ashley Griffin</v>
      </c>
      <c r="O843" s="8" t="str">
        <f t="array" ref="O843">XLOOKUP(C843,Customer_Dim!A:A,Customer_Dim!E:E,"Not Found")</f>
        <v>New Dawnton</v>
      </c>
      <c r="P843" s="8" t="str">
        <f t="array" ref="P843">XLOOKUP(D843,Product_Dim!A:A,Product_Dim!B:B,"Not Found")</f>
        <v>Basketball</v>
      </c>
      <c r="Q843" s="8" t="str">
        <f t="array" ref="Q843">XLOOKUP(D843,Product_Dim!A:A,Product_Dim!C:C,"Not Found")</f>
        <v>Sports</v>
      </c>
      <c r="R843" s="8" t="str">
        <f t="array" ref="R843">XLOOKUP(E843,Store_Dim!A:A,Store_Dim!B:B,"Not Found")</f>
        <v>North</v>
      </c>
      <c r="S843" s="8" t="str">
        <f t="array" ref="S843">XLOOKUP(E843,Store_Dim!A:A,Store_Dim!D:D,"Not Found")</f>
        <v>Flagship</v>
      </c>
    </row>
    <row r="844" ht="14.25" customHeight="1">
      <c r="A844" s="8" t="s">
        <v>2797</v>
      </c>
      <c r="B844" s="12">
        <v>46322.0</v>
      </c>
      <c r="C844" s="8" t="s">
        <v>833</v>
      </c>
      <c r="D844" s="8" t="s">
        <v>1665</v>
      </c>
      <c r="E844" s="8" t="s">
        <v>1912</v>
      </c>
      <c r="F844" s="8">
        <v>1.0</v>
      </c>
      <c r="G844" s="8">
        <v>964.11</v>
      </c>
      <c r="H844" s="8">
        <v>0.17</v>
      </c>
      <c r="I844" s="8">
        <f t="shared" si="1"/>
        <v>964.11</v>
      </c>
      <c r="J844" s="8">
        <f t="shared" si="2"/>
        <v>-163.7287</v>
      </c>
      <c r="K844" s="8" t="str">
        <f t="shared" si="3"/>
        <v>Oct</v>
      </c>
      <c r="L844" s="8">
        <f t="shared" si="4"/>
        <v>2026</v>
      </c>
      <c r="N844" s="8" t="str">
        <f t="array" ref="N844">XLOOKUP(C844,Customer_Dim!A:A,Customer_Dim!B:B,"Not Found")</f>
        <v>Kristen Fischer</v>
      </c>
      <c r="O844" s="8" t="str">
        <f t="array" ref="O844">XLOOKUP(C844,Customer_Dim!A:A,Customer_Dim!E:E,"Not Found")</f>
        <v>Lake Christopher</v>
      </c>
      <c r="P844" s="8" t="str">
        <f t="array" ref="P844">XLOOKUP(D844,Product_Dim!A:A,Product_Dim!B:B,"Not Found")</f>
        <v>Decorative Floor Vase</v>
      </c>
      <c r="Q844" s="8" t="str">
        <f t="array" ref="Q844">XLOOKUP(D844,Product_Dim!A:A,Product_Dim!C:C,"Not Found")</f>
        <v>Home</v>
      </c>
      <c r="R844" s="8" t="str">
        <f t="array" ref="R844">XLOOKUP(E844,Store_Dim!A:A,Store_Dim!B:B,"Not Found")</f>
        <v>South</v>
      </c>
      <c r="S844" s="8" t="str">
        <f t="array" ref="S844">XLOOKUP(E844,Store_Dim!A:A,Store_Dim!D:D,"Not Found")</f>
        <v>Online</v>
      </c>
    </row>
    <row r="845" ht="14.25" customHeight="1">
      <c r="A845" s="8" t="s">
        <v>2798</v>
      </c>
      <c r="B845" s="12">
        <v>46323.0</v>
      </c>
      <c r="C845" s="8" t="s">
        <v>461</v>
      </c>
      <c r="D845" s="8" t="s">
        <v>1638</v>
      </c>
      <c r="E845" s="8" t="s">
        <v>1899</v>
      </c>
      <c r="F845" s="8">
        <v>1.0</v>
      </c>
      <c r="G845" s="8">
        <v>346.2</v>
      </c>
      <c r="H845" s="8">
        <v>0.29</v>
      </c>
      <c r="I845" s="8">
        <f t="shared" si="1"/>
        <v>346.2</v>
      </c>
      <c r="J845" s="8">
        <f t="shared" si="2"/>
        <v>-100.108</v>
      </c>
      <c r="K845" s="8" t="str">
        <f t="shared" si="3"/>
        <v>Oct</v>
      </c>
      <c r="L845" s="8">
        <f t="shared" si="4"/>
        <v>2026</v>
      </c>
      <c r="N845" s="8" t="str">
        <f t="array" ref="N845">XLOOKUP(C845,Customer_Dim!A:A,Customer_Dim!B:B,"Not Found")</f>
        <v>Joseph Richards</v>
      </c>
      <c r="O845" s="8" t="str">
        <f t="array" ref="O845">XLOOKUP(C845,Customer_Dim!A:A,Customer_Dim!E:E,"Not Found")</f>
        <v>Wigginsville</v>
      </c>
      <c r="P845" s="8" t="str">
        <f t="array" ref="P845">XLOOKUP(D845,Product_Dim!A:A,Product_Dim!B:B,"Not Found")</f>
        <v>Knee Support Brace</v>
      </c>
      <c r="Q845" s="8" t="str">
        <f t="array" ref="Q845">XLOOKUP(D845,Product_Dim!A:A,Product_Dim!C:C,"Not Found")</f>
        <v>Sports</v>
      </c>
      <c r="R845" s="8" t="str">
        <f t="array" ref="R845">XLOOKUP(E845,Store_Dim!A:A,Store_Dim!B:B,"Not Found")</f>
        <v>East</v>
      </c>
      <c r="S845" s="8" t="str">
        <f t="array" ref="S845">XLOOKUP(E845,Store_Dim!A:A,Store_Dim!D:D,"Not Found")</f>
        <v>Flagship</v>
      </c>
    </row>
    <row r="846" ht="14.25" customHeight="1">
      <c r="A846" s="8" t="s">
        <v>2799</v>
      </c>
      <c r="B846" s="12">
        <v>46324.0</v>
      </c>
      <c r="C846" s="8" t="s">
        <v>1427</v>
      </c>
      <c r="D846" s="8" t="s">
        <v>1716</v>
      </c>
      <c r="E846" s="8" t="s">
        <v>1933</v>
      </c>
      <c r="F846" s="8">
        <v>3.0</v>
      </c>
      <c r="G846" s="8">
        <v>791.75</v>
      </c>
      <c r="H846" s="8">
        <v>0.29</v>
      </c>
      <c r="I846" s="8">
        <f t="shared" si="1"/>
        <v>2375.25</v>
      </c>
      <c r="J846" s="8">
        <f t="shared" si="2"/>
        <v>-688.5325</v>
      </c>
      <c r="K846" s="8" t="str">
        <f t="shared" si="3"/>
        <v>Oct</v>
      </c>
      <c r="L846" s="8">
        <f t="shared" si="4"/>
        <v>2026</v>
      </c>
      <c r="N846" s="8" t="str">
        <f t="array" ref="N846">XLOOKUP(C846,Customer_Dim!A:A,Customer_Dim!B:B,"Not Found")</f>
        <v>Christina Robertson</v>
      </c>
      <c r="O846" s="8" t="str">
        <f t="array" ref="O846">XLOOKUP(C846,Customer_Dim!A:A,Customer_Dim!E:E,"Not Found")</f>
        <v>Hubbardborough</v>
      </c>
      <c r="P846" s="8" t="str">
        <f t="array" ref="P846">XLOOKUP(D846,Product_Dim!A:A,Product_Dim!B:B,"Not Found")</f>
        <v>USB External Hard Drive</v>
      </c>
      <c r="Q846" s="8" t="str">
        <f t="array" ref="Q846">XLOOKUP(D846,Product_Dim!A:A,Product_Dim!C:C,"Not Found")</f>
        <v>Electronics</v>
      </c>
      <c r="R846" s="8" t="str">
        <f t="array" ref="R846">XLOOKUP(E846,Store_Dim!A:A,Store_Dim!B:B,"Not Found")</f>
        <v>North</v>
      </c>
      <c r="S846" s="8" t="str">
        <f t="array" ref="S846">XLOOKUP(E846,Store_Dim!A:A,Store_Dim!D:D,"Not Found")</f>
        <v>Flagship</v>
      </c>
    </row>
    <row r="847" ht="14.25" customHeight="1">
      <c r="A847" s="8" t="s">
        <v>2800</v>
      </c>
      <c r="B847" s="12">
        <v>46325.0</v>
      </c>
      <c r="C847" s="8" t="s">
        <v>1020</v>
      </c>
      <c r="D847" s="8" t="s">
        <v>1703</v>
      </c>
      <c r="E847" s="8" t="s">
        <v>1931</v>
      </c>
      <c r="F847" s="8">
        <v>1.0</v>
      </c>
      <c r="G847" s="8">
        <v>529.84</v>
      </c>
      <c r="H847" s="8">
        <v>0.13</v>
      </c>
      <c r="I847" s="8">
        <f t="shared" si="1"/>
        <v>529.84</v>
      </c>
      <c r="J847" s="8">
        <f t="shared" si="2"/>
        <v>-68.7492</v>
      </c>
      <c r="K847" s="8" t="str">
        <f t="shared" si="3"/>
        <v>Oct</v>
      </c>
      <c r="L847" s="8">
        <f t="shared" si="4"/>
        <v>2026</v>
      </c>
      <c r="N847" s="8" t="str">
        <f t="array" ref="N847">XLOOKUP(C847,Customer_Dim!A:A,Customer_Dim!B:B,"Not Found")</f>
        <v>Casey Simpson</v>
      </c>
      <c r="O847" s="8" t="str">
        <f t="array" ref="O847">XLOOKUP(C847,Customer_Dim!A:A,Customer_Dim!E:E,"Not Found")</f>
        <v>West Mathewside</v>
      </c>
      <c r="P847" s="8" t="str">
        <f t="array" ref="P847">XLOOKUP(D847,Product_Dim!A:A,Product_Dim!B:B,"Not Found")</f>
        <v>Portable Power Bank</v>
      </c>
      <c r="Q847" s="8" t="str">
        <f t="array" ref="Q847">XLOOKUP(D847,Product_Dim!A:A,Product_Dim!C:C,"Not Found")</f>
        <v>Electronics</v>
      </c>
      <c r="R847" s="8" t="str">
        <f t="array" ref="R847">XLOOKUP(E847,Store_Dim!A:A,Store_Dim!B:B,"Not Found")</f>
        <v>East</v>
      </c>
      <c r="S847" s="8" t="str">
        <f t="array" ref="S847">XLOOKUP(E847,Store_Dim!A:A,Store_Dim!D:D,"Not Found")</f>
        <v>Flagship</v>
      </c>
    </row>
    <row r="848" ht="14.25" customHeight="1">
      <c r="A848" s="8" t="s">
        <v>2801</v>
      </c>
      <c r="B848" s="12">
        <v>46326.0</v>
      </c>
      <c r="C848" s="8" t="s">
        <v>1468</v>
      </c>
      <c r="D848" s="8" t="s">
        <v>1751</v>
      </c>
      <c r="E848" s="8" t="s">
        <v>1910</v>
      </c>
      <c r="F848" s="8">
        <v>3.0</v>
      </c>
      <c r="G848" s="8">
        <v>582.57</v>
      </c>
      <c r="H848" s="8">
        <v>0.11</v>
      </c>
      <c r="I848" s="8">
        <f t="shared" si="1"/>
        <v>1747.71</v>
      </c>
      <c r="J848" s="8">
        <f t="shared" si="2"/>
        <v>-192.1381</v>
      </c>
      <c r="K848" s="8" t="str">
        <f t="shared" si="3"/>
        <v>Oct</v>
      </c>
      <c r="L848" s="8">
        <f t="shared" si="4"/>
        <v>2026</v>
      </c>
      <c r="N848" s="8" t="str">
        <f t="array" ref="N848">XLOOKUP(C848,Customer_Dim!A:A,Customer_Dim!B:B,"Not Found")</f>
        <v>Debra Mccullough</v>
      </c>
      <c r="O848" s="8" t="str">
        <f t="array" ref="O848">XLOOKUP(C848,Customer_Dim!A:A,Customer_Dim!E:E,"Not Found")</f>
        <v>Mcdanielfurt</v>
      </c>
      <c r="P848" s="8" t="str">
        <f t="array" ref="P848">XLOOKUP(D848,Product_Dim!A:A,Product_Dim!B:B,"Not Found")</f>
        <v>Sports Stopwatch Pro</v>
      </c>
      <c r="Q848" s="8" t="str">
        <f t="array" ref="Q848">XLOOKUP(D848,Product_Dim!A:A,Product_Dim!C:C,"Not Found")</f>
        <v>Sports</v>
      </c>
      <c r="R848" s="8" t="str">
        <f t="array" ref="R848">XLOOKUP(E848,Store_Dim!A:A,Store_Dim!B:B,"Not Found")</f>
        <v>North</v>
      </c>
      <c r="S848" s="8" t="str">
        <f t="array" ref="S848">XLOOKUP(E848,Store_Dim!A:A,Store_Dim!D:D,"Not Found")</f>
        <v>Outlet</v>
      </c>
    </row>
    <row r="849" ht="14.25" customHeight="1">
      <c r="A849" s="8" t="s">
        <v>2802</v>
      </c>
      <c r="B849" s="12">
        <v>46327.0</v>
      </c>
      <c r="C849" s="8" t="s">
        <v>699</v>
      </c>
      <c r="D849" s="8" t="s">
        <v>1875</v>
      </c>
      <c r="E849" s="8" t="s">
        <v>1937</v>
      </c>
      <c r="F849" s="8">
        <v>1.0</v>
      </c>
      <c r="G849" s="8">
        <v>219.81</v>
      </c>
      <c r="H849" s="8">
        <v>0.22</v>
      </c>
      <c r="I849" s="8">
        <f t="shared" si="1"/>
        <v>219.81</v>
      </c>
      <c r="J849" s="8">
        <f t="shared" si="2"/>
        <v>-48.1382</v>
      </c>
      <c r="K849" s="8" t="str">
        <f t="shared" si="3"/>
        <v>Nov</v>
      </c>
      <c r="L849" s="8">
        <f t="shared" si="4"/>
        <v>2026</v>
      </c>
      <c r="N849" s="8" t="str">
        <f t="array" ref="N849">XLOOKUP(C849,Customer_Dim!A:A,Customer_Dim!B:B,"Not Found")</f>
        <v>Rodney Huffman</v>
      </c>
      <c r="O849" s="8" t="str">
        <f t="array" ref="O849">XLOOKUP(C849,Customer_Dim!A:A,Customer_Dim!E:E,"Not Found")</f>
        <v>Garzafort</v>
      </c>
      <c r="P849" s="8" t="str">
        <f t="array" ref="P849">XLOOKUP(D849,Product_Dim!A:A,Product_Dim!B:B,"Not Found")</f>
        <v>Sports Stopwatch Basic</v>
      </c>
      <c r="Q849" s="8" t="str">
        <f t="array" ref="Q849">XLOOKUP(D849,Product_Dim!A:A,Product_Dim!C:C,"Not Found")</f>
        <v>Sports</v>
      </c>
      <c r="R849" s="8" t="str">
        <f t="array" ref="R849">XLOOKUP(E849,Store_Dim!A:A,Store_Dim!B:B,"Not Found")</f>
        <v>North</v>
      </c>
      <c r="S849" s="8" t="str">
        <f t="array" ref="S849">XLOOKUP(E849,Store_Dim!A:A,Store_Dim!D:D,"Not Found")</f>
        <v>Flagship</v>
      </c>
    </row>
    <row r="850" ht="14.25" customHeight="1">
      <c r="A850" s="8" t="s">
        <v>2803</v>
      </c>
      <c r="B850" s="12">
        <v>46328.0</v>
      </c>
      <c r="C850" s="8" t="s">
        <v>1543</v>
      </c>
      <c r="D850" s="8" t="s">
        <v>1800</v>
      </c>
      <c r="E850" s="8" t="s">
        <v>1939</v>
      </c>
      <c r="F850" s="8">
        <v>4.0</v>
      </c>
      <c r="G850" s="8">
        <v>883.31</v>
      </c>
      <c r="H850" s="8">
        <v>0.27</v>
      </c>
      <c r="I850" s="8">
        <f t="shared" si="1"/>
        <v>3533.24</v>
      </c>
      <c r="J850" s="8">
        <f t="shared" si="2"/>
        <v>-953.7048</v>
      </c>
      <c r="K850" s="8" t="str">
        <f t="shared" si="3"/>
        <v>Nov</v>
      </c>
      <c r="L850" s="8">
        <f t="shared" si="4"/>
        <v>2026</v>
      </c>
      <c r="N850" s="8" t="str">
        <f t="array" ref="N850">XLOOKUP(C850,Customer_Dim!A:A,Customer_Dim!B:B,"Not Found")</f>
        <v>Sarah Marsh</v>
      </c>
      <c r="O850" s="8" t="str">
        <f t="array" ref="O850">XLOOKUP(C850,Customer_Dim!A:A,Customer_Dim!E:E,"Not Found")</f>
        <v>Port William</v>
      </c>
      <c r="P850" s="8" t="str">
        <f t="array" ref="P850">XLOOKUP(D850,Product_Dim!A:A,Product_Dim!B:B,"Not Found")</f>
        <v>Kitchen Storage Rack</v>
      </c>
      <c r="Q850" s="8" t="str">
        <f t="array" ref="Q850">XLOOKUP(D850,Product_Dim!A:A,Product_Dim!C:C,"Not Found")</f>
        <v>Home</v>
      </c>
      <c r="R850" s="8" t="str">
        <f t="array" ref="R850">XLOOKUP(E850,Store_Dim!A:A,Store_Dim!B:B,"Not Found")</f>
        <v>East</v>
      </c>
      <c r="S850" s="8" t="str">
        <f t="array" ref="S850">XLOOKUP(E850,Store_Dim!A:A,Store_Dim!D:D,"Not Found")</f>
        <v>Flagship</v>
      </c>
    </row>
    <row r="851" ht="14.25" customHeight="1">
      <c r="A851" s="8" t="s">
        <v>2804</v>
      </c>
      <c r="B851" s="12">
        <v>46329.0</v>
      </c>
      <c r="C851" s="8" t="s">
        <v>767</v>
      </c>
      <c r="D851" s="8" t="s">
        <v>1632</v>
      </c>
      <c r="E851" s="8" t="s">
        <v>1932</v>
      </c>
      <c r="F851" s="8">
        <v>4.0</v>
      </c>
      <c r="G851" s="8">
        <v>329.06</v>
      </c>
      <c r="H851" s="8">
        <v>0.04</v>
      </c>
      <c r="I851" s="8">
        <f t="shared" si="1"/>
        <v>1316.24</v>
      </c>
      <c r="J851" s="8">
        <f t="shared" si="2"/>
        <v>-52.6096</v>
      </c>
      <c r="K851" s="8" t="str">
        <f t="shared" si="3"/>
        <v>Nov</v>
      </c>
      <c r="L851" s="8">
        <f t="shared" si="4"/>
        <v>2026</v>
      </c>
      <c r="N851" s="8" t="str">
        <f t="array" ref="N851">XLOOKUP(C851,Customer_Dim!A:A,Customer_Dim!B:B,"Not Found")</f>
        <v>Nathaniel Hill</v>
      </c>
      <c r="O851" s="8" t="str">
        <f t="array" ref="O851">XLOOKUP(C851,Customer_Dim!A:A,Customer_Dim!E:E,"Not Found")</f>
        <v>Lake Mark</v>
      </c>
      <c r="P851" s="8" t="str">
        <f t="array" ref="P851">XLOOKUP(D851,Product_Dim!A:A,Product_Dim!B:B,"Not Found")</f>
        <v>Soccer Training Cone Set</v>
      </c>
      <c r="Q851" s="8" t="str">
        <f t="array" ref="Q851">XLOOKUP(D851,Product_Dim!A:A,Product_Dim!C:C,"Not Found")</f>
        <v>Sports</v>
      </c>
      <c r="R851" s="8" t="str">
        <f t="array" ref="R851">XLOOKUP(E851,Store_Dim!A:A,Store_Dim!B:B,"Not Found")</f>
        <v>South</v>
      </c>
      <c r="S851" s="8" t="str">
        <f t="array" ref="S851">XLOOKUP(E851,Store_Dim!A:A,Store_Dim!D:D,"Not Found")</f>
        <v>Outlet</v>
      </c>
    </row>
    <row r="852" ht="14.25" customHeight="1">
      <c r="A852" s="8" t="s">
        <v>2805</v>
      </c>
      <c r="B852" s="12">
        <v>46330.0</v>
      </c>
      <c r="C852" s="8" t="s">
        <v>382</v>
      </c>
      <c r="D852" s="8" t="s">
        <v>1793</v>
      </c>
      <c r="E852" s="8" t="s">
        <v>1928</v>
      </c>
      <c r="F852" s="8">
        <v>1.0</v>
      </c>
      <c r="G852" s="8">
        <v>935.78</v>
      </c>
      <c r="H852" s="8">
        <v>0.03</v>
      </c>
      <c r="I852" s="8">
        <f t="shared" si="1"/>
        <v>935.78</v>
      </c>
      <c r="J852" s="8">
        <f t="shared" si="2"/>
        <v>-28.0434</v>
      </c>
      <c r="K852" s="8" t="str">
        <f t="shared" si="3"/>
        <v>Nov</v>
      </c>
      <c r="L852" s="8">
        <f t="shared" si="4"/>
        <v>2026</v>
      </c>
      <c r="N852" s="8" t="str">
        <f t="array" ref="N852">XLOOKUP(C852,Customer_Dim!A:A,Customer_Dim!B:B,"Not Found")</f>
        <v>Lance Baker</v>
      </c>
      <c r="O852" s="8" t="str">
        <f t="array" ref="O852">XLOOKUP(C852,Customer_Dim!A:A,Customer_Dim!E:E,"Not Found")</f>
        <v>Port Victoria</v>
      </c>
      <c r="P852" s="8" t="str">
        <f t="array" ref="P852">XLOOKUP(D852,Product_Dim!A:A,Product_Dim!B:B,"Not Found")</f>
        <v>Wooden Nightstand</v>
      </c>
      <c r="Q852" s="8" t="str">
        <f t="array" ref="Q852">XLOOKUP(D852,Product_Dim!A:A,Product_Dim!C:C,"Not Found")</f>
        <v>Home</v>
      </c>
      <c r="R852" s="8" t="str">
        <f t="array" ref="R852">XLOOKUP(E852,Store_Dim!A:A,Store_Dim!B:B,"Not Found")</f>
        <v>South</v>
      </c>
      <c r="S852" s="8" t="str">
        <f t="array" ref="S852">XLOOKUP(E852,Store_Dim!A:A,Store_Dim!D:D,"Not Found")</f>
        <v>Online</v>
      </c>
    </row>
    <row r="853" ht="14.25" customHeight="1">
      <c r="A853" s="8" t="s">
        <v>2806</v>
      </c>
      <c r="B853" s="12">
        <v>46331.0</v>
      </c>
      <c r="C853" s="8" t="s">
        <v>1023</v>
      </c>
      <c r="D853" s="8" t="s">
        <v>1769</v>
      </c>
      <c r="E853" s="8" t="s">
        <v>1926</v>
      </c>
      <c r="F853" s="8">
        <v>4.0</v>
      </c>
      <c r="G853" s="8">
        <v>597.8</v>
      </c>
      <c r="H853" s="8">
        <v>0.2</v>
      </c>
      <c r="I853" s="8">
        <f t="shared" si="1"/>
        <v>2391.2</v>
      </c>
      <c r="J853" s="8">
        <f t="shared" si="2"/>
        <v>-478.04</v>
      </c>
      <c r="K853" s="8" t="str">
        <f t="shared" si="3"/>
        <v>Nov</v>
      </c>
      <c r="L853" s="8">
        <f t="shared" si="4"/>
        <v>2026</v>
      </c>
      <c r="N853" s="8" t="str">
        <f t="array" ref="N853">XLOOKUP(C853,Customer_Dim!A:A,Customer_Dim!B:B,"Not Found")</f>
        <v>Jessica Gonzalez</v>
      </c>
      <c r="O853" s="8" t="str">
        <f t="array" ref="O853">XLOOKUP(C853,Customer_Dim!A:A,Customer_Dim!E:E,"Not Found")</f>
        <v>South Darrenland</v>
      </c>
      <c r="P853" s="8" t="str">
        <f t="array" ref="P853">XLOOKUP(D853,Product_Dim!A:A,Product_Dim!B:B,"Not Found")</f>
        <v>Luxury Perfume Spray</v>
      </c>
      <c r="Q853" s="8" t="str">
        <f t="array" ref="Q853">XLOOKUP(D853,Product_Dim!A:A,Product_Dim!C:C,"Not Found")</f>
        <v>Beauty</v>
      </c>
      <c r="R853" s="8" t="str">
        <f t="array" ref="R853">XLOOKUP(E853,Store_Dim!A:A,Store_Dim!B:B,"Not Found")</f>
        <v>East</v>
      </c>
      <c r="S853" s="8" t="str">
        <f t="array" ref="S853">XLOOKUP(E853,Store_Dim!A:A,Store_Dim!D:D,"Not Found")</f>
        <v>Online</v>
      </c>
    </row>
    <row r="854" ht="14.25" customHeight="1">
      <c r="A854" s="8" t="s">
        <v>2807</v>
      </c>
      <c r="B854" s="12">
        <v>46332.0</v>
      </c>
      <c r="C854" s="8" t="s">
        <v>842</v>
      </c>
      <c r="D854" s="8" t="s">
        <v>1617</v>
      </c>
      <c r="E854" s="8" t="s">
        <v>1939</v>
      </c>
      <c r="F854" s="8">
        <v>4.0</v>
      </c>
      <c r="G854" s="8">
        <v>266.98</v>
      </c>
      <c r="H854" s="8">
        <v>0.16</v>
      </c>
      <c r="I854" s="8">
        <f t="shared" si="1"/>
        <v>1067.92</v>
      </c>
      <c r="J854" s="8">
        <f t="shared" si="2"/>
        <v>-170.7072</v>
      </c>
      <c r="K854" s="8" t="str">
        <f t="shared" si="3"/>
        <v>Nov</v>
      </c>
      <c r="L854" s="8">
        <f t="shared" si="4"/>
        <v>2026</v>
      </c>
      <c r="N854" s="8" t="str">
        <f t="array" ref="N854">XLOOKUP(C854,Customer_Dim!A:A,Customer_Dim!B:B,"Not Found")</f>
        <v>Beth Allen</v>
      </c>
      <c r="O854" s="8" t="str">
        <f t="array" ref="O854">XLOOKUP(C854,Customer_Dim!A:A,Customer_Dim!E:E,"Not Found")</f>
        <v>South Kathrynmouth</v>
      </c>
      <c r="P854" s="8" t="str">
        <f t="array" ref="P854">XLOOKUP(D854,Product_Dim!A:A,Product_Dim!B:B,"Not Found")</f>
        <v>USB-C Fast Charger</v>
      </c>
      <c r="Q854" s="8" t="str">
        <f t="array" ref="Q854">XLOOKUP(D854,Product_Dim!A:A,Product_Dim!C:C,"Not Found")</f>
        <v>Electronics</v>
      </c>
      <c r="R854" s="8" t="str">
        <f t="array" ref="R854">XLOOKUP(E854,Store_Dim!A:A,Store_Dim!B:B,"Not Found")</f>
        <v>East</v>
      </c>
      <c r="S854" s="8" t="str">
        <f t="array" ref="S854">XLOOKUP(E854,Store_Dim!A:A,Store_Dim!D:D,"Not Found")</f>
        <v>Flagship</v>
      </c>
    </row>
    <row r="855" ht="14.25" customHeight="1">
      <c r="A855" s="8" t="s">
        <v>2808</v>
      </c>
      <c r="B855" s="12">
        <v>46333.0</v>
      </c>
      <c r="C855" s="8" t="s">
        <v>1282</v>
      </c>
      <c r="D855" s="8" t="s">
        <v>1800</v>
      </c>
      <c r="E855" s="8" t="s">
        <v>1933</v>
      </c>
      <c r="F855" s="8">
        <v>3.0</v>
      </c>
      <c r="G855" s="8">
        <v>360.18</v>
      </c>
      <c r="H855" s="8">
        <v>0.03</v>
      </c>
      <c r="I855" s="8">
        <f t="shared" si="1"/>
        <v>1080.54</v>
      </c>
      <c r="J855" s="8">
        <f t="shared" si="2"/>
        <v>-32.3862</v>
      </c>
      <c r="K855" s="8" t="str">
        <f t="shared" si="3"/>
        <v>Nov</v>
      </c>
      <c r="L855" s="8">
        <f t="shared" si="4"/>
        <v>2026</v>
      </c>
      <c r="N855" s="8" t="str">
        <f t="array" ref="N855">XLOOKUP(C855,Customer_Dim!A:A,Customer_Dim!B:B,"Not Found")</f>
        <v>Joseph Mendoza</v>
      </c>
      <c r="O855" s="8" t="str">
        <f t="array" ref="O855">XLOOKUP(C855,Customer_Dim!A:A,Customer_Dim!E:E,"Not Found")</f>
        <v>Ashleymouth</v>
      </c>
      <c r="P855" s="8" t="str">
        <f t="array" ref="P855">XLOOKUP(D855,Product_Dim!A:A,Product_Dim!B:B,"Not Found")</f>
        <v>Kitchen Storage Rack</v>
      </c>
      <c r="Q855" s="8" t="str">
        <f t="array" ref="Q855">XLOOKUP(D855,Product_Dim!A:A,Product_Dim!C:C,"Not Found")</f>
        <v>Home</v>
      </c>
      <c r="R855" s="8" t="str">
        <f t="array" ref="R855">XLOOKUP(E855,Store_Dim!A:A,Store_Dim!B:B,"Not Found")</f>
        <v>North</v>
      </c>
      <c r="S855" s="8" t="str">
        <f t="array" ref="S855">XLOOKUP(E855,Store_Dim!A:A,Store_Dim!D:D,"Not Found")</f>
        <v>Flagship</v>
      </c>
    </row>
    <row r="856" ht="14.25" customHeight="1">
      <c r="A856" s="8" t="s">
        <v>2809</v>
      </c>
      <c r="B856" s="12">
        <v>46334.0</v>
      </c>
      <c r="C856" s="8" t="s">
        <v>1152</v>
      </c>
      <c r="D856" s="8" t="s">
        <v>1757</v>
      </c>
      <c r="E856" s="8" t="s">
        <v>1899</v>
      </c>
      <c r="F856" s="8">
        <v>3.0</v>
      </c>
      <c r="G856" s="8">
        <v>247.41</v>
      </c>
      <c r="H856" s="8">
        <v>0.05</v>
      </c>
      <c r="I856" s="8">
        <f t="shared" si="1"/>
        <v>742.23</v>
      </c>
      <c r="J856" s="8">
        <f t="shared" si="2"/>
        <v>-37.0615</v>
      </c>
      <c r="K856" s="8" t="str">
        <f t="shared" si="3"/>
        <v>Nov</v>
      </c>
      <c r="L856" s="8">
        <f t="shared" si="4"/>
        <v>2026</v>
      </c>
      <c r="N856" s="8" t="str">
        <f t="array" ref="N856">XLOOKUP(C856,Customer_Dim!A:A,Customer_Dim!B:B,"Not Found")</f>
        <v>Elizabeth Smith</v>
      </c>
      <c r="O856" s="8" t="str">
        <f t="array" ref="O856">XLOOKUP(C856,Customer_Dim!A:A,Customer_Dim!E:E,"Not Found")</f>
        <v>Murphytown</v>
      </c>
      <c r="P856" s="8" t="str">
        <f t="array" ref="P856">XLOOKUP(D856,Product_Dim!A:A,Product_Dim!B:B,"Not Found")</f>
        <v>Premium Blanket Throw</v>
      </c>
      <c r="Q856" s="8" t="str">
        <f t="array" ref="Q856">XLOOKUP(D856,Product_Dim!A:A,Product_Dim!C:C,"Not Found")</f>
        <v>Home</v>
      </c>
      <c r="R856" s="8" t="str">
        <f t="array" ref="R856">XLOOKUP(E856,Store_Dim!A:A,Store_Dim!B:B,"Not Found")</f>
        <v>East</v>
      </c>
      <c r="S856" s="8" t="str">
        <f t="array" ref="S856">XLOOKUP(E856,Store_Dim!A:A,Store_Dim!D:D,"Not Found")</f>
        <v>Flagship</v>
      </c>
    </row>
    <row r="857" ht="14.25" customHeight="1">
      <c r="A857" s="8" t="s">
        <v>2810</v>
      </c>
      <c r="B857" s="12">
        <v>46335.0</v>
      </c>
      <c r="C857" s="8" t="s">
        <v>294</v>
      </c>
      <c r="D857" s="8" t="s">
        <v>1722</v>
      </c>
      <c r="E857" s="8" t="s">
        <v>1933</v>
      </c>
      <c r="F857" s="8">
        <v>3.0</v>
      </c>
      <c r="G857" s="8">
        <v>674.66</v>
      </c>
      <c r="H857" s="8">
        <v>0.23</v>
      </c>
      <c r="I857" s="8">
        <f t="shared" si="1"/>
        <v>2023.98</v>
      </c>
      <c r="J857" s="8">
        <f t="shared" si="2"/>
        <v>-465.2854</v>
      </c>
      <c r="K857" s="8" t="str">
        <f t="shared" si="3"/>
        <v>Nov</v>
      </c>
      <c r="L857" s="8">
        <f t="shared" si="4"/>
        <v>2026</v>
      </c>
      <c r="N857" s="8" t="str">
        <f t="array" ref="N857">XLOOKUP(C857,Customer_Dim!A:A,Customer_Dim!B:B,"Not Found")</f>
        <v>Cody Blake</v>
      </c>
      <c r="O857" s="8" t="str">
        <f t="array" ref="O857">XLOOKUP(C857,Customer_Dim!A:A,Customer_Dim!E:E,"Not Found")</f>
        <v>North Scottport</v>
      </c>
      <c r="P857" s="8" t="str">
        <f t="array" ref="P857">XLOOKUP(D857,Product_Dim!A:A,Product_Dim!B:B,"Not Found")</f>
        <v>High-Grip Football</v>
      </c>
      <c r="Q857" s="8" t="str">
        <f t="array" ref="Q857">XLOOKUP(D857,Product_Dim!A:A,Product_Dim!C:C,"Not Found")</f>
        <v>Sports</v>
      </c>
      <c r="R857" s="8" t="str">
        <f t="array" ref="R857">XLOOKUP(E857,Store_Dim!A:A,Store_Dim!B:B,"Not Found")</f>
        <v>North</v>
      </c>
      <c r="S857" s="8" t="str">
        <f t="array" ref="S857">XLOOKUP(E857,Store_Dim!A:A,Store_Dim!D:D,"Not Found")</f>
        <v>Flagship</v>
      </c>
    </row>
    <row r="858" ht="14.25" customHeight="1">
      <c r="A858" s="8" t="s">
        <v>2811</v>
      </c>
      <c r="B858" s="12">
        <v>46336.0</v>
      </c>
      <c r="C858" s="8" t="s">
        <v>1305</v>
      </c>
      <c r="D858" s="8" t="s">
        <v>1713</v>
      </c>
      <c r="E858" s="8" t="s">
        <v>1912</v>
      </c>
      <c r="F858" s="8">
        <v>1.0</v>
      </c>
      <c r="G858" s="8">
        <v>913.98</v>
      </c>
      <c r="H858" s="8">
        <v>0.27</v>
      </c>
      <c r="I858" s="8">
        <f t="shared" si="1"/>
        <v>913.98</v>
      </c>
      <c r="J858" s="8">
        <f t="shared" si="2"/>
        <v>-246.5046</v>
      </c>
      <c r="K858" s="8" t="str">
        <f t="shared" si="3"/>
        <v>Nov</v>
      </c>
      <c r="L858" s="8">
        <f t="shared" si="4"/>
        <v>2026</v>
      </c>
      <c r="N858" s="8" t="str">
        <f t="array" ref="N858">XLOOKUP(C858,Customer_Dim!A:A,Customer_Dim!B:B,"Not Found")</f>
        <v>Tyler Cook</v>
      </c>
      <c r="O858" s="8" t="str">
        <f t="array" ref="O858">XLOOKUP(C858,Customer_Dim!A:A,Customer_Dim!E:E,"Not Found")</f>
        <v>Kramerview</v>
      </c>
      <c r="P858" s="8" t="str">
        <f t="array" ref="P858">XLOOKUP(D858,Product_Dim!A:A,Product_Dim!B:B,"Not Found")</f>
        <v>Smart Home WiFi Camera</v>
      </c>
      <c r="Q858" s="8" t="str">
        <f t="array" ref="Q858">XLOOKUP(D858,Product_Dim!A:A,Product_Dim!C:C,"Not Found")</f>
        <v>Electronics</v>
      </c>
      <c r="R858" s="8" t="str">
        <f t="array" ref="R858">XLOOKUP(E858,Store_Dim!A:A,Store_Dim!B:B,"Not Found")</f>
        <v>South</v>
      </c>
      <c r="S858" s="8" t="str">
        <f t="array" ref="S858">XLOOKUP(E858,Store_Dim!A:A,Store_Dim!D:D,"Not Found")</f>
        <v>Online</v>
      </c>
    </row>
    <row r="859" ht="14.25" customHeight="1">
      <c r="A859" s="8" t="s">
        <v>2812</v>
      </c>
      <c r="B859" s="12">
        <v>46337.0</v>
      </c>
      <c r="C859" s="8" t="s">
        <v>1005</v>
      </c>
      <c r="D859" s="8" t="s">
        <v>1869</v>
      </c>
      <c r="E859" s="8" t="s">
        <v>1926</v>
      </c>
      <c r="F859" s="8">
        <v>4.0</v>
      </c>
      <c r="G859" s="8">
        <v>370.5</v>
      </c>
      <c r="H859" s="8">
        <v>0.13</v>
      </c>
      <c r="I859" s="8">
        <f t="shared" si="1"/>
        <v>1482</v>
      </c>
      <c r="J859" s="8">
        <f t="shared" si="2"/>
        <v>-192.53</v>
      </c>
      <c r="K859" s="8" t="str">
        <f t="shared" si="3"/>
        <v>Nov</v>
      </c>
      <c r="L859" s="8">
        <f t="shared" si="4"/>
        <v>2026</v>
      </c>
      <c r="N859" s="8" t="str">
        <f t="array" ref="N859">XLOOKUP(C859,Customer_Dim!A:A,Customer_Dim!B:B,"Not Found")</f>
        <v>Elizabeth Johnson</v>
      </c>
      <c r="O859" s="8" t="str">
        <f t="array" ref="O859">XLOOKUP(C859,Customer_Dim!A:A,Customer_Dim!E:E,"Not Found")</f>
        <v>Anitaland</v>
      </c>
      <c r="P859" s="8" t="str">
        <f t="array" ref="P859">XLOOKUP(D859,Product_Dim!A:A,Product_Dim!B:B,"Not Found")</f>
        <v>USB-C Laptop Charger</v>
      </c>
      <c r="Q859" s="8" t="str">
        <f t="array" ref="Q859">XLOOKUP(D859,Product_Dim!A:A,Product_Dim!C:C,"Not Found")</f>
        <v>Electronics</v>
      </c>
      <c r="R859" s="8" t="str">
        <f t="array" ref="R859">XLOOKUP(E859,Store_Dim!A:A,Store_Dim!B:B,"Not Found")</f>
        <v>East</v>
      </c>
      <c r="S859" s="8" t="str">
        <f t="array" ref="S859">XLOOKUP(E859,Store_Dim!A:A,Store_Dim!D:D,"Not Found")</f>
        <v>Online</v>
      </c>
    </row>
    <row r="860" ht="14.25" customHeight="1">
      <c r="A860" s="8" t="s">
        <v>2813</v>
      </c>
      <c r="B860" s="12">
        <v>46338.0</v>
      </c>
      <c r="C860" s="8" t="s">
        <v>1137</v>
      </c>
      <c r="D860" s="8" t="s">
        <v>1806</v>
      </c>
      <c r="E860" s="8" t="s">
        <v>1931</v>
      </c>
      <c r="F860" s="8">
        <v>1.0</v>
      </c>
      <c r="G860" s="8">
        <v>735.1</v>
      </c>
      <c r="H860" s="8">
        <v>0.1</v>
      </c>
      <c r="I860" s="8">
        <f t="shared" si="1"/>
        <v>735.1</v>
      </c>
      <c r="J860" s="8">
        <f t="shared" si="2"/>
        <v>-73.41</v>
      </c>
      <c r="K860" s="8" t="str">
        <f t="shared" si="3"/>
        <v>Nov</v>
      </c>
      <c r="L860" s="8">
        <f t="shared" si="4"/>
        <v>2026</v>
      </c>
      <c r="N860" s="8" t="str">
        <f t="array" ref="N860">XLOOKUP(C860,Customer_Dim!A:A,Customer_Dim!B:B,"Not Found")</f>
        <v>Ashley Anderson</v>
      </c>
      <c r="O860" s="8" t="str">
        <f t="array" ref="O860">XLOOKUP(C860,Customer_Dim!A:A,Customer_Dim!E:E,"Not Found")</f>
        <v>West Johnmouth</v>
      </c>
      <c r="P860" s="8" t="str">
        <f t="array" ref="P860">XLOOKUP(D860,Product_Dim!A:A,Product_Dim!B:B,"Not Found")</f>
        <v>Professional Jump Rope</v>
      </c>
      <c r="Q860" s="8" t="str">
        <f t="array" ref="Q860">XLOOKUP(D860,Product_Dim!A:A,Product_Dim!C:C,"Not Found")</f>
        <v>Sports</v>
      </c>
      <c r="R860" s="8" t="str">
        <f t="array" ref="R860">XLOOKUP(E860,Store_Dim!A:A,Store_Dim!B:B,"Not Found")</f>
        <v>East</v>
      </c>
      <c r="S860" s="8" t="str">
        <f t="array" ref="S860">XLOOKUP(E860,Store_Dim!A:A,Store_Dim!D:D,"Not Found")</f>
        <v>Flagship</v>
      </c>
    </row>
    <row r="861" ht="14.25" customHeight="1">
      <c r="A861" s="8" t="s">
        <v>2814</v>
      </c>
      <c r="B861" s="12">
        <v>46339.0</v>
      </c>
      <c r="C861" s="8" t="s">
        <v>473</v>
      </c>
      <c r="D861" s="8" t="s">
        <v>1827</v>
      </c>
      <c r="E861" s="8" t="s">
        <v>1906</v>
      </c>
      <c r="F861" s="8">
        <v>3.0</v>
      </c>
      <c r="G861" s="8">
        <v>448.55</v>
      </c>
      <c r="H861" s="8">
        <v>0.05</v>
      </c>
      <c r="I861" s="8">
        <f t="shared" si="1"/>
        <v>1345.65</v>
      </c>
      <c r="J861" s="8">
        <f t="shared" si="2"/>
        <v>-67.2325</v>
      </c>
      <c r="K861" s="8" t="str">
        <f t="shared" si="3"/>
        <v>Nov</v>
      </c>
      <c r="L861" s="8">
        <f t="shared" si="4"/>
        <v>2026</v>
      </c>
      <c r="N861" s="8" t="str">
        <f t="array" ref="N861">XLOOKUP(C861,Customer_Dim!A:A,Customer_Dim!B:B,"Not Found")</f>
        <v>Matthew Hanna</v>
      </c>
      <c r="O861" s="8" t="str">
        <f t="array" ref="O861">XLOOKUP(C861,Customer_Dim!A:A,Customer_Dim!E:E,"Not Found")</f>
        <v>Gonzalezbury</v>
      </c>
      <c r="P861" s="8" t="str">
        <f t="array" ref="P861">XLOOKUP(D861,Product_Dim!A:A,Product_Dim!B:B,"Not Found")</f>
        <v>Decorative Lamp Shade</v>
      </c>
      <c r="Q861" s="8" t="str">
        <f t="array" ref="Q861">XLOOKUP(D861,Product_Dim!A:A,Product_Dim!C:C,"Not Found")</f>
        <v>Home</v>
      </c>
      <c r="R861" s="8" t="str">
        <f t="array" ref="R861">XLOOKUP(E861,Store_Dim!A:A,Store_Dim!B:B,"Not Found")</f>
        <v>South</v>
      </c>
      <c r="S861" s="8" t="str">
        <f t="array" ref="S861">XLOOKUP(E861,Store_Dim!A:A,Store_Dim!D:D,"Not Found")</f>
        <v>Outlet</v>
      </c>
    </row>
    <row r="862" ht="14.25" customHeight="1">
      <c r="A862" s="8" t="s">
        <v>2815</v>
      </c>
      <c r="B862" s="12">
        <v>46340.0</v>
      </c>
      <c r="C862" s="8" t="s">
        <v>231</v>
      </c>
      <c r="D862" s="8" t="s">
        <v>1842</v>
      </c>
      <c r="E862" s="8" t="s">
        <v>1931</v>
      </c>
      <c r="F862" s="8">
        <v>3.0</v>
      </c>
      <c r="G862" s="8">
        <v>904.96</v>
      </c>
      <c r="H862" s="8">
        <v>0.07</v>
      </c>
      <c r="I862" s="8">
        <f t="shared" si="1"/>
        <v>2714.88</v>
      </c>
      <c r="J862" s="8">
        <f t="shared" si="2"/>
        <v>-189.9716</v>
      </c>
      <c r="K862" s="8" t="str">
        <f t="shared" si="3"/>
        <v>Nov</v>
      </c>
      <c r="L862" s="8">
        <f t="shared" si="4"/>
        <v>2026</v>
      </c>
      <c r="N862" s="8" t="str">
        <f t="array" ref="N862">XLOOKUP(C862,Customer_Dim!A:A,Customer_Dim!B:B,"Not Found")</f>
        <v>Alyssa Vargas</v>
      </c>
      <c r="O862" s="8" t="str">
        <f t="array" ref="O862">XLOOKUP(C862,Customer_Dim!A:A,Customer_Dim!E:E,"Not Found")</f>
        <v>New Kathrynland</v>
      </c>
      <c r="P862" s="8" t="str">
        <f t="array" ref="P862">XLOOKUP(D862,Product_Dim!A:A,Product_Dim!B:B,"Not Found")</f>
        <v>Wooden Bookshelf</v>
      </c>
      <c r="Q862" s="8" t="str">
        <f t="array" ref="Q862">XLOOKUP(D862,Product_Dim!A:A,Product_Dim!C:C,"Not Found")</f>
        <v>Home</v>
      </c>
      <c r="R862" s="8" t="str">
        <f t="array" ref="R862">XLOOKUP(E862,Store_Dim!A:A,Store_Dim!B:B,"Not Found")</f>
        <v>East</v>
      </c>
      <c r="S862" s="8" t="str">
        <f t="array" ref="S862">XLOOKUP(E862,Store_Dim!A:A,Store_Dim!D:D,"Not Found")</f>
        <v>Flagship</v>
      </c>
    </row>
    <row r="863" ht="14.25" customHeight="1">
      <c r="A863" s="8" t="s">
        <v>2816</v>
      </c>
      <c r="B863" s="12">
        <v>46341.0</v>
      </c>
      <c r="C863" s="8" t="s">
        <v>1203</v>
      </c>
      <c r="D863" s="8" t="s">
        <v>1793</v>
      </c>
      <c r="E863" s="8" t="s">
        <v>1931</v>
      </c>
      <c r="F863" s="8">
        <v>4.0</v>
      </c>
      <c r="G863" s="8">
        <v>408.72</v>
      </c>
      <c r="H863" s="8">
        <v>0.16</v>
      </c>
      <c r="I863" s="8">
        <f t="shared" si="1"/>
        <v>1634.88</v>
      </c>
      <c r="J863" s="8">
        <f t="shared" si="2"/>
        <v>-261.4208</v>
      </c>
      <c r="K863" s="8" t="str">
        <f t="shared" si="3"/>
        <v>Nov</v>
      </c>
      <c r="L863" s="8">
        <f t="shared" si="4"/>
        <v>2026</v>
      </c>
      <c r="N863" s="8" t="str">
        <f t="array" ref="N863">XLOOKUP(C863,Customer_Dim!A:A,Customer_Dim!B:B,"Not Found")</f>
        <v>Shelley Ponce</v>
      </c>
      <c r="O863" s="8" t="str">
        <f t="array" ref="O863">XLOOKUP(C863,Customer_Dim!A:A,Customer_Dim!E:E,"Not Found")</f>
        <v>South Cassandrachester</v>
      </c>
      <c r="P863" s="8" t="str">
        <f t="array" ref="P863">XLOOKUP(D863,Product_Dim!A:A,Product_Dim!B:B,"Not Found")</f>
        <v>Wooden Nightstand</v>
      </c>
      <c r="Q863" s="8" t="str">
        <f t="array" ref="Q863">XLOOKUP(D863,Product_Dim!A:A,Product_Dim!C:C,"Not Found")</f>
        <v>Home</v>
      </c>
      <c r="R863" s="8" t="str">
        <f t="array" ref="R863">XLOOKUP(E863,Store_Dim!A:A,Store_Dim!B:B,"Not Found")</f>
        <v>East</v>
      </c>
      <c r="S863" s="8" t="str">
        <f t="array" ref="S863">XLOOKUP(E863,Store_Dim!A:A,Store_Dim!D:D,"Not Found")</f>
        <v>Flagship</v>
      </c>
    </row>
    <row r="864" ht="14.25" customHeight="1">
      <c r="A864" s="8" t="s">
        <v>2817</v>
      </c>
      <c r="B864" s="12">
        <v>46342.0</v>
      </c>
      <c r="C864" s="8" t="s">
        <v>911</v>
      </c>
      <c r="D864" s="8" t="s">
        <v>1803</v>
      </c>
      <c r="E864" s="8" t="s">
        <v>1910</v>
      </c>
      <c r="F864" s="8">
        <v>4.0</v>
      </c>
      <c r="G864" s="8">
        <v>770.65</v>
      </c>
      <c r="H864" s="8">
        <v>0.27</v>
      </c>
      <c r="I864" s="8">
        <f t="shared" si="1"/>
        <v>3082.6</v>
      </c>
      <c r="J864" s="8">
        <f t="shared" si="2"/>
        <v>-832.032</v>
      </c>
      <c r="K864" s="8" t="str">
        <f t="shared" si="3"/>
        <v>Nov</v>
      </c>
      <c r="L864" s="8">
        <f t="shared" si="4"/>
        <v>2026</v>
      </c>
      <c r="N864" s="8" t="str">
        <f t="array" ref="N864">XLOOKUP(C864,Customer_Dim!A:A,Customer_Dim!B:B,"Not Found")</f>
        <v>Kristi Lopez</v>
      </c>
      <c r="O864" s="8" t="str">
        <f t="array" ref="O864">XLOOKUP(C864,Customer_Dim!A:A,Customer_Dim!E:E,"Not Found")</f>
        <v>Spencermouth</v>
      </c>
      <c r="P864" s="8" t="str">
        <f t="array" ref="P864">XLOOKUP(D864,Product_Dim!A:A,Product_Dim!B:B,"Not Found")</f>
        <v>Hair Repair Oil Treatment</v>
      </c>
      <c r="Q864" s="8" t="str">
        <f t="array" ref="Q864">XLOOKUP(D864,Product_Dim!A:A,Product_Dim!C:C,"Not Found")</f>
        <v>Beauty</v>
      </c>
      <c r="R864" s="8" t="str">
        <f t="array" ref="R864">XLOOKUP(E864,Store_Dim!A:A,Store_Dim!B:B,"Not Found")</f>
        <v>North</v>
      </c>
      <c r="S864" s="8" t="str">
        <f t="array" ref="S864">XLOOKUP(E864,Store_Dim!A:A,Store_Dim!D:D,"Not Found")</f>
        <v>Outlet</v>
      </c>
    </row>
    <row r="865" ht="14.25" customHeight="1">
      <c r="A865" s="8" t="s">
        <v>2818</v>
      </c>
      <c r="B865" s="12">
        <v>46343.0</v>
      </c>
      <c r="C865" s="8" t="s">
        <v>675</v>
      </c>
      <c r="D865" s="8" t="s">
        <v>1674</v>
      </c>
      <c r="E865" s="8" t="s">
        <v>1917</v>
      </c>
      <c r="F865" s="8">
        <v>1.0</v>
      </c>
      <c r="G865" s="8">
        <v>649.22</v>
      </c>
      <c r="H865" s="8">
        <v>0.03</v>
      </c>
      <c r="I865" s="8">
        <f t="shared" si="1"/>
        <v>649.22</v>
      </c>
      <c r="J865" s="8">
        <f t="shared" si="2"/>
        <v>-19.4466</v>
      </c>
      <c r="K865" s="8" t="str">
        <f t="shared" si="3"/>
        <v>Nov</v>
      </c>
      <c r="L865" s="8">
        <f t="shared" si="4"/>
        <v>2026</v>
      </c>
      <c r="N865" s="8" t="str">
        <f t="array" ref="N865">XLOOKUP(C865,Customer_Dim!A:A,Customer_Dim!B:B,"Not Found")</f>
        <v>Sarah Brady</v>
      </c>
      <c r="O865" s="8" t="str">
        <f t="array" ref="O865">XLOOKUP(C865,Customer_Dim!A:A,Customer_Dim!E:E,"Not Found")</f>
        <v>Johnsonland</v>
      </c>
      <c r="P865" s="8" t="str">
        <f t="array" ref="P865">XLOOKUP(D865,Product_Dim!A:A,Product_Dim!B:B,"Not Found")</f>
        <v>Stainless Steel Cutlery Set</v>
      </c>
      <c r="Q865" s="8" t="str">
        <f t="array" ref="Q865">XLOOKUP(D865,Product_Dim!A:A,Product_Dim!C:C,"Not Found")</f>
        <v>Home</v>
      </c>
      <c r="R865" s="8" t="str">
        <f t="array" ref="R865">XLOOKUP(E865,Store_Dim!A:A,Store_Dim!B:B,"Not Found")</f>
        <v>East</v>
      </c>
      <c r="S865" s="8" t="str">
        <f t="array" ref="S865">XLOOKUP(E865,Store_Dim!A:A,Store_Dim!D:D,"Not Found")</f>
        <v>Online</v>
      </c>
    </row>
    <row r="866" ht="14.25" customHeight="1">
      <c r="A866" s="8" t="s">
        <v>2819</v>
      </c>
      <c r="B866" s="12">
        <v>46344.0</v>
      </c>
      <c r="C866" s="8" t="s">
        <v>1107</v>
      </c>
      <c r="D866" s="8" t="s">
        <v>1684</v>
      </c>
      <c r="E866" s="8" t="s">
        <v>1926</v>
      </c>
      <c r="F866" s="8">
        <v>2.0</v>
      </c>
      <c r="G866" s="8">
        <v>379.78</v>
      </c>
      <c r="H866" s="8">
        <v>0.2</v>
      </c>
      <c r="I866" s="8">
        <f t="shared" si="1"/>
        <v>759.56</v>
      </c>
      <c r="J866" s="8">
        <f t="shared" si="2"/>
        <v>-151.712</v>
      </c>
      <c r="K866" s="8" t="str">
        <f t="shared" si="3"/>
        <v>Nov</v>
      </c>
      <c r="L866" s="8">
        <f t="shared" si="4"/>
        <v>2026</v>
      </c>
      <c r="N866" s="8" t="str">
        <f t="array" ref="N866">XLOOKUP(C866,Customer_Dim!A:A,Customer_Dim!B:B,"Not Found")</f>
        <v>Sherry Cabrera</v>
      </c>
      <c r="O866" s="8" t="str">
        <f t="array" ref="O866">XLOOKUP(C866,Customer_Dim!A:A,Customer_Dim!E:E,"Not Found")</f>
        <v>Shannonview</v>
      </c>
      <c r="P866" s="8" t="str">
        <f t="array" ref="P866">XLOOKUP(D866,Product_Dim!A:A,Product_Dim!B:B,"Not Found")</f>
        <v>Modern Wall Clock</v>
      </c>
      <c r="Q866" s="8" t="str">
        <f t="array" ref="Q866">XLOOKUP(D866,Product_Dim!A:A,Product_Dim!C:C,"Not Found")</f>
        <v>Home</v>
      </c>
      <c r="R866" s="8" t="str">
        <f t="array" ref="R866">XLOOKUP(E866,Store_Dim!A:A,Store_Dim!B:B,"Not Found")</f>
        <v>East</v>
      </c>
      <c r="S866" s="8" t="str">
        <f t="array" ref="S866">XLOOKUP(E866,Store_Dim!A:A,Store_Dim!D:D,"Not Found")</f>
        <v>Online</v>
      </c>
    </row>
    <row r="867" ht="14.25" customHeight="1">
      <c r="A867" s="8" t="s">
        <v>2820</v>
      </c>
      <c r="B867" s="12">
        <v>46345.0</v>
      </c>
      <c r="C867" s="8" t="s">
        <v>809</v>
      </c>
      <c r="D867" s="8" t="s">
        <v>1716</v>
      </c>
      <c r="E867" s="8" t="s">
        <v>1921</v>
      </c>
      <c r="F867" s="8">
        <v>3.0</v>
      </c>
      <c r="G867" s="8">
        <v>924.15</v>
      </c>
      <c r="H867" s="8">
        <v>0.1</v>
      </c>
      <c r="I867" s="8">
        <f t="shared" si="1"/>
        <v>2772.45</v>
      </c>
      <c r="J867" s="8">
        <f t="shared" si="2"/>
        <v>-277.145</v>
      </c>
      <c r="K867" s="8" t="str">
        <f t="shared" si="3"/>
        <v>Nov</v>
      </c>
      <c r="L867" s="8">
        <f t="shared" si="4"/>
        <v>2026</v>
      </c>
      <c r="N867" s="8" t="str">
        <f t="array" ref="N867">XLOOKUP(C867,Customer_Dim!A:A,Customer_Dim!B:B,"Not Found")</f>
        <v>Nicholas Webb</v>
      </c>
      <c r="O867" s="8" t="str">
        <f t="array" ref="O867">XLOOKUP(C867,Customer_Dim!A:A,Customer_Dim!E:E,"Not Found")</f>
        <v>Lake Timothy</v>
      </c>
      <c r="P867" s="8" t="str">
        <f t="array" ref="P867">XLOOKUP(D867,Product_Dim!A:A,Product_Dim!B:B,"Not Found")</f>
        <v>USB External Hard Drive</v>
      </c>
      <c r="Q867" s="8" t="str">
        <f t="array" ref="Q867">XLOOKUP(D867,Product_Dim!A:A,Product_Dim!C:C,"Not Found")</f>
        <v>Electronics</v>
      </c>
      <c r="R867" s="8" t="str">
        <f t="array" ref="R867">XLOOKUP(E867,Store_Dim!A:A,Store_Dim!B:B,"Not Found")</f>
        <v>West</v>
      </c>
      <c r="S867" s="8" t="str">
        <f t="array" ref="S867">XLOOKUP(E867,Store_Dim!A:A,Store_Dim!D:D,"Not Found")</f>
        <v>Online</v>
      </c>
    </row>
    <row r="868" ht="14.25" customHeight="1">
      <c r="A868" s="8" t="s">
        <v>2821</v>
      </c>
      <c r="B868" s="12">
        <v>46346.0</v>
      </c>
      <c r="C868" s="8" t="s">
        <v>1462</v>
      </c>
      <c r="D868" s="8" t="s">
        <v>1722</v>
      </c>
      <c r="E868" s="8" t="s">
        <v>1937</v>
      </c>
      <c r="F868" s="8">
        <v>3.0</v>
      </c>
      <c r="G868" s="8">
        <v>144.67</v>
      </c>
      <c r="H868" s="8">
        <v>0.29</v>
      </c>
      <c r="I868" s="8">
        <f t="shared" si="1"/>
        <v>434.01</v>
      </c>
      <c r="J868" s="8">
        <f t="shared" si="2"/>
        <v>-125.5729</v>
      </c>
      <c r="K868" s="8" t="str">
        <f t="shared" si="3"/>
        <v>Nov</v>
      </c>
      <c r="L868" s="8">
        <f t="shared" si="4"/>
        <v>2026</v>
      </c>
      <c r="N868" s="8" t="str">
        <f t="array" ref="N868">XLOOKUP(C868,Customer_Dim!A:A,Customer_Dim!B:B,"Not Found")</f>
        <v>James Foster</v>
      </c>
      <c r="O868" s="8" t="str">
        <f t="array" ref="O868">XLOOKUP(C868,Customer_Dim!A:A,Customer_Dim!E:E,"Not Found")</f>
        <v>East Audrey</v>
      </c>
      <c r="P868" s="8" t="str">
        <f t="array" ref="P868">XLOOKUP(D868,Product_Dim!A:A,Product_Dim!B:B,"Not Found")</f>
        <v>High-Grip Football</v>
      </c>
      <c r="Q868" s="8" t="str">
        <f t="array" ref="Q868">XLOOKUP(D868,Product_Dim!A:A,Product_Dim!C:C,"Not Found")</f>
        <v>Sports</v>
      </c>
      <c r="R868" s="8" t="str">
        <f t="array" ref="R868">XLOOKUP(E868,Store_Dim!A:A,Store_Dim!B:B,"Not Found")</f>
        <v>North</v>
      </c>
      <c r="S868" s="8" t="str">
        <f t="array" ref="S868">XLOOKUP(E868,Store_Dim!A:A,Store_Dim!D:D,"Not Found")</f>
        <v>Flagship</v>
      </c>
    </row>
    <row r="869" ht="14.25" customHeight="1">
      <c r="A869" s="8" t="s">
        <v>2822</v>
      </c>
      <c r="B869" s="12">
        <v>46347.0</v>
      </c>
      <c r="C869" s="8" t="s">
        <v>430</v>
      </c>
      <c r="D869" s="8" t="s">
        <v>1684</v>
      </c>
      <c r="E869" s="8" t="s">
        <v>1933</v>
      </c>
      <c r="F869" s="8">
        <v>2.0</v>
      </c>
      <c r="G869" s="8">
        <v>667.17</v>
      </c>
      <c r="H869" s="8">
        <v>0.1</v>
      </c>
      <c r="I869" s="8">
        <f t="shared" si="1"/>
        <v>1334.34</v>
      </c>
      <c r="J869" s="8">
        <f t="shared" si="2"/>
        <v>-133.334</v>
      </c>
      <c r="K869" s="8" t="str">
        <f t="shared" si="3"/>
        <v>Nov</v>
      </c>
      <c r="L869" s="8">
        <f t="shared" si="4"/>
        <v>2026</v>
      </c>
      <c r="N869" s="8" t="str">
        <f t="array" ref="N869">XLOOKUP(C869,Customer_Dim!A:A,Customer_Dim!B:B,"Not Found")</f>
        <v>Joel Robinson</v>
      </c>
      <c r="O869" s="8" t="str">
        <f t="array" ref="O869">XLOOKUP(C869,Customer_Dim!A:A,Customer_Dim!E:E,"Not Found")</f>
        <v>Lake Danielport</v>
      </c>
      <c r="P869" s="8" t="str">
        <f t="array" ref="P869">XLOOKUP(D869,Product_Dim!A:A,Product_Dim!B:B,"Not Found")</f>
        <v>Modern Wall Clock</v>
      </c>
      <c r="Q869" s="8" t="str">
        <f t="array" ref="Q869">XLOOKUP(D869,Product_Dim!A:A,Product_Dim!C:C,"Not Found")</f>
        <v>Home</v>
      </c>
      <c r="R869" s="8" t="str">
        <f t="array" ref="R869">XLOOKUP(E869,Store_Dim!A:A,Store_Dim!B:B,"Not Found")</f>
        <v>North</v>
      </c>
      <c r="S869" s="8" t="str">
        <f t="array" ref="S869">XLOOKUP(E869,Store_Dim!A:A,Store_Dim!D:D,"Not Found")</f>
        <v>Flagship</v>
      </c>
    </row>
    <row r="870" ht="14.25" customHeight="1">
      <c r="A870" s="8" t="s">
        <v>2823</v>
      </c>
      <c r="B870" s="12">
        <v>46348.0</v>
      </c>
      <c r="C870" s="8" t="s">
        <v>1268</v>
      </c>
      <c r="D870" s="8" t="s">
        <v>1787</v>
      </c>
      <c r="E870" s="8" t="s">
        <v>1910</v>
      </c>
      <c r="F870" s="8">
        <v>1.0</v>
      </c>
      <c r="G870" s="8">
        <v>984.6</v>
      </c>
      <c r="H870" s="8">
        <v>0.22</v>
      </c>
      <c r="I870" s="8">
        <f t="shared" si="1"/>
        <v>984.6</v>
      </c>
      <c r="J870" s="8">
        <f t="shared" si="2"/>
        <v>-216.392</v>
      </c>
      <c r="K870" s="8" t="str">
        <f t="shared" si="3"/>
        <v>Nov</v>
      </c>
      <c r="L870" s="8">
        <f t="shared" si="4"/>
        <v>2026</v>
      </c>
      <c r="N870" s="8" t="str">
        <f t="array" ref="N870">XLOOKUP(C870,Customer_Dim!A:A,Customer_Dim!B:B,"Not Found")</f>
        <v>Cassandra Perez</v>
      </c>
      <c r="O870" s="8" t="str">
        <f t="array" ref="O870">XLOOKUP(C870,Customer_Dim!A:A,Customer_Dim!E:E,"Not Found")</f>
        <v>Brandonville</v>
      </c>
      <c r="P870" s="8" t="str">
        <f t="array" ref="P870">XLOOKUP(D870,Product_Dim!A:A,Product_Dim!B:B,"Not Found")</f>
        <v>Women's Hair Dryer Brush</v>
      </c>
      <c r="Q870" s="8" t="str">
        <f t="array" ref="Q870">XLOOKUP(D870,Product_Dim!A:A,Product_Dim!C:C,"Not Found")</f>
        <v>Beauty</v>
      </c>
      <c r="R870" s="8" t="str">
        <f t="array" ref="R870">XLOOKUP(E870,Store_Dim!A:A,Store_Dim!B:B,"Not Found")</f>
        <v>North</v>
      </c>
      <c r="S870" s="8" t="str">
        <f t="array" ref="S870">XLOOKUP(E870,Store_Dim!A:A,Store_Dim!D:D,"Not Found")</f>
        <v>Outlet</v>
      </c>
    </row>
    <row r="871" ht="14.25" customHeight="1">
      <c r="A871" s="8" t="s">
        <v>2824</v>
      </c>
      <c r="B871" s="12">
        <v>46349.0</v>
      </c>
      <c r="C871" s="8" t="s">
        <v>902</v>
      </c>
      <c r="D871" s="8" t="s">
        <v>1617</v>
      </c>
      <c r="E871" s="8" t="s">
        <v>1921</v>
      </c>
      <c r="F871" s="8">
        <v>1.0</v>
      </c>
      <c r="G871" s="8">
        <v>139.29</v>
      </c>
      <c r="H871" s="8">
        <v>0.0</v>
      </c>
      <c r="I871" s="8">
        <f t="shared" si="1"/>
        <v>139.29</v>
      </c>
      <c r="J871" s="8">
        <f t="shared" si="2"/>
        <v>0</v>
      </c>
      <c r="K871" s="8" t="str">
        <f t="shared" si="3"/>
        <v>Nov</v>
      </c>
      <c r="L871" s="8">
        <f t="shared" si="4"/>
        <v>2026</v>
      </c>
      <c r="N871" s="8" t="str">
        <f t="array" ref="N871">XLOOKUP(C871,Customer_Dim!A:A,Customer_Dim!B:B,"Not Found")</f>
        <v>Aaron Luna</v>
      </c>
      <c r="O871" s="8" t="str">
        <f t="array" ref="O871">XLOOKUP(C871,Customer_Dim!A:A,Customer_Dim!E:E,"Not Found")</f>
        <v>Gilltown</v>
      </c>
      <c r="P871" s="8" t="str">
        <f t="array" ref="P871">XLOOKUP(D871,Product_Dim!A:A,Product_Dim!B:B,"Not Found")</f>
        <v>USB-C Fast Charger</v>
      </c>
      <c r="Q871" s="8" t="str">
        <f t="array" ref="Q871">XLOOKUP(D871,Product_Dim!A:A,Product_Dim!C:C,"Not Found")</f>
        <v>Electronics</v>
      </c>
      <c r="R871" s="8" t="str">
        <f t="array" ref="R871">XLOOKUP(E871,Store_Dim!A:A,Store_Dim!B:B,"Not Found")</f>
        <v>West</v>
      </c>
      <c r="S871" s="8" t="str">
        <f t="array" ref="S871">XLOOKUP(E871,Store_Dim!A:A,Store_Dim!D:D,"Not Found")</f>
        <v>Online</v>
      </c>
    </row>
    <row r="872" ht="14.25" customHeight="1">
      <c r="A872" s="8" t="s">
        <v>2825</v>
      </c>
      <c r="B872" s="12">
        <v>46350.0</v>
      </c>
      <c r="C872" s="8" t="s">
        <v>144</v>
      </c>
      <c r="D872" s="8" t="s">
        <v>1989</v>
      </c>
      <c r="E872" s="8" t="s">
        <v>1921</v>
      </c>
      <c r="F872" s="8">
        <v>3.0</v>
      </c>
      <c r="G872" s="8">
        <v>459.57</v>
      </c>
      <c r="H872" s="8">
        <v>0.1</v>
      </c>
      <c r="I872" s="8">
        <f t="shared" si="1"/>
        <v>1378.71</v>
      </c>
      <c r="J872" s="8">
        <f t="shared" si="2"/>
        <v>-137.771</v>
      </c>
      <c r="K872" s="8" t="str">
        <f t="shared" si="3"/>
        <v>Nov</v>
      </c>
      <c r="L872" s="8">
        <f t="shared" si="4"/>
        <v>2026</v>
      </c>
      <c r="N872" s="8" t="str">
        <f t="array" ref="N872">XLOOKUP(C872,Customer_Dim!A:A,Customer_Dim!B:B,"Not Found")</f>
        <v>Robert Jones DDS</v>
      </c>
      <c r="O872" s="8" t="str">
        <f t="array" ref="O872">XLOOKUP(C872,Customer_Dim!A:A,Customer_Dim!E:E,"Not Found")</f>
        <v>Tristanton</v>
      </c>
      <c r="P872" s="8" t="str">
        <f t="array" ref="P872">XLOOKUP(D872,Product_Dim!A:A,Product_Dim!B:B,"Not Found")</f>
        <v>Not Found</v>
      </c>
      <c r="Q872" s="8" t="str">
        <f t="array" ref="Q872">XLOOKUP(D872,Product_Dim!A:A,Product_Dim!C:C,"Not Found")</f>
        <v>Not Found</v>
      </c>
      <c r="R872" s="8" t="str">
        <f t="array" ref="R872">XLOOKUP(E872,Store_Dim!A:A,Store_Dim!B:B,"Not Found")</f>
        <v>West</v>
      </c>
      <c r="S872" s="8" t="str">
        <f t="array" ref="S872">XLOOKUP(E872,Store_Dim!A:A,Store_Dim!D:D,"Not Found")</f>
        <v>Online</v>
      </c>
    </row>
    <row r="873" ht="14.25" customHeight="1">
      <c r="A873" s="8" t="s">
        <v>2826</v>
      </c>
      <c r="B873" s="12">
        <v>46351.0</v>
      </c>
      <c r="C873" s="8" t="s">
        <v>254</v>
      </c>
      <c r="D873" s="8" t="s">
        <v>1707</v>
      </c>
      <c r="E873" s="8" t="s">
        <v>1933</v>
      </c>
      <c r="F873" s="8">
        <v>1.0</v>
      </c>
      <c r="G873" s="8">
        <v>517.82</v>
      </c>
      <c r="H873" s="8">
        <v>0.29</v>
      </c>
      <c r="I873" s="8">
        <f t="shared" si="1"/>
        <v>517.82</v>
      </c>
      <c r="J873" s="8">
        <f t="shared" si="2"/>
        <v>-149.8778</v>
      </c>
      <c r="K873" s="8" t="str">
        <f t="shared" si="3"/>
        <v>Nov</v>
      </c>
      <c r="L873" s="8">
        <f t="shared" si="4"/>
        <v>2026</v>
      </c>
      <c r="N873" s="8" t="str">
        <f t="array" ref="N873">XLOOKUP(C873,Customer_Dim!A:A,Customer_Dim!B:B,"Not Found")</f>
        <v>Cody Diaz</v>
      </c>
      <c r="O873" s="8" t="str">
        <f t="array" ref="O873">XLOOKUP(C873,Customer_Dim!A:A,Customer_Dim!E:E,"Not Found")</f>
        <v>South Aaronside</v>
      </c>
      <c r="P873" s="8" t="str">
        <f t="array" ref="P873">XLOOKUP(D873,Product_Dim!A:A,Product_Dim!B:B,"Not Found")</f>
        <v>Noise-Canceling Headphones</v>
      </c>
      <c r="Q873" s="8" t="str">
        <f t="array" ref="Q873">XLOOKUP(D873,Product_Dim!A:A,Product_Dim!C:C,"Not Found")</f>
        <v>Electronics</v>
      </c>
      <c r="R873" s="8" t="str">
        <f t="array" ref="R873">XLOOKUP(E873,Store_Dim!A:A,Store_Dim!B:B,"Not Found")</f>
        <v>North</v>
      </c>
      <c r="S873" s="8" t="str">
        <f t="array" ref="S873">XLOOKUP(E873,Store_Dim!A:A,Store_Dim!D:D,"Not Found")</f>
        <v>Flagship</v>
      </c>
    </row>
    <row r="874" ht="14.25" customHeight="1">
      <c r="A874" s="8" t="s">
        <v>2827</v>
      </c>
      <c r="B874" s="12">
        <v>46352.0</v>
      </c>
      <c r="C874" s="8" t="s">
        <v>1200</v>
      </c>
      <c r="D874" s="8" t="s">
        <v>1818</v>
      </c>
      <c r="E874" s="8" t="s">
        <v>1917</v>
      </c>
      <c r="F874" s="8">
        <v>4.0</v>
      </c>
      <c r="G874" s="8">
        <v>282.45</v>
      </c>
      <c r="H874" s="8">
        <v>0.29</v>
      </c>
      <c r="I874" s="8">
        <f t="shared" si="1"/>
        <v>1129.8</v>
      </c>
      <c r="J874" s="8">
        <f t="shared" si="2"/>
        <v>-327.352</v>
      </c>
      <c r="K874" s="8" t="str">
        <f t="shared" si="3"/>
        <v>Nov</v>
      </c>
      <c r="L874" s="8">
        <f t="shared" si="4"/>
        <v>2026</v>
      </c>
      <c r="N874" s="8" t="str">
        <f t="array" ref="N874">XLOOKUP(C874,Customer_Dim!A:A,Customer_Dim!B:B,"Not Found")</f>
        <v>Tanya Lopez</v>
      </c>
      <c r="O874" s="8" t="str">
        <f t="array" ref="O874">XLOOKUP(C874,Customer_Dim!A:A,Customer_Dim!E:E,"Not Found")</f>
        <v>West Jeffreyburgh</v>
      </c>
      <c r="P874" s="8" t="str">
        <f t="array" ref="P874">XLOOKUP(D874,Product_Dim!A:A,Product_Dim!B:B,"Not Found")</f>
        <v>Wireless Mouse</v>
      </c>
      <c r="Q874" s="8" t="str">
        <f t="array" ref="Q874">XLOOKUP(D874,Product_Dim!A:A,Product_Dim!C:C,"Not Found")</f>
        <v>Electronics</v>
      </c>
      <c r="R874" s="8" t="str">
        <f t="array" ref="R874">XLOOKUP(E874,Store_Dim!A:A,Store_Dim!B:B,"Not Found")</f>
        <v>East</v>
      </c>
      <c r="S874" s="8" t="str">
        <f t="array" ref="S874">XLOOKUP(E874,Store_Dim!A:A,Store_Dim!D:D,"Not Found")</f>
        <v>Online</v>
      </c>
    </row>
    <row r="875" ht="14.25" customHeight="1">
      <c r="A875" s="8" t="s">
        <v>2828</v>
      </c>
      <c r="B875" s="12">
        <v>46353.0</v>
      </c>
      <c r="C875" s="8" t="s">
        <v>1421</v>
      </c>
      <c r="D875" s="8" t="s">
        <v>1851</v>
      </c>
      <c r="E875" s="8" t="s">
        <v>1919</v>
      </c>
      <c r="F875" s="8">
        <v>2.0</v>
      </c>
      <c r="G875" s="8">
        <v>386.46</v>
      </c>
      <c r="H875" s="8">
        <v>0.23</v>
      </c>
      <c r="I875" s="8">
        <f t="shared" si="1"/>
        <v>772.92</v>
      </c>
      <c r="J875" s="8">
        <f t="shared" si="2"/>
        <v>-177.5416</v>
      </c>
      <c r="K875" s="8" t="str">
        <f t="shared" si="3"/>
        <v>Nov</v>
      </c>
      <c r="L875" s="8">
        <f t="shared" si="4"/>
        <v>2026</v>
      </c>
      <c r="N875" s="8" t="str">
        <f t="array" ref="N875">XLOOKUP(C875,Customer_Dim!A:A,Customer_Dim!B:B,"Not Found")</f>
        <v>Tyler Weber</v>
      </c>
      <c r="O875" s="8" t="str">
        <f t="array" ref="O875">XLOOKUP(C875,Customer_Dim!A:A,Customer_Dim!E:E,"Not Found")</f>
        <v>East Yvette</v>
      </c>
      <c r="P875" s="8" t="str">
        <f t="array" ref="P875">XLOOKUP(D875,Product_Dim!A:A,Product_Dim!B:B,"Not Found")</f>
        <v>LED Bedside Lamp</v>
      </c>
      <c r="Q875" s="8" t="str">
        <f t="array" ref="Q875">XLOOKUP(D875,Product_Dim!A:A,Product_Dim!C:C,"Not Found")</f>
        <v>Home</v>
      </c>
      <c r="R875" s="8" t="str">
        <f t="array" ref="R875">XLOOKUP(E875,Store_Dim!A:A,Store_Dim!B:B,"Not Found")</f>
        <v>South</v>
      </c>
      <c r="S875" s="8" t="str">
        <f t="array" ref="S875">XLOOKUP(E875,Store_Dim!A:A,Store_Dim!D:D,"Not Found")</f>
        <v>Online</v>
      </c>
    </row>
    <row r="876" ht="14.25" customHeight="1">
      <c r="A876" s="8" t="s">
        <v>2829</v>
      </c>
      <c r="B876" s="12">
        <v>46354.0</v>
      </c>
      <c r="C876" s="8" t="s">
        <v>652</v>
      </c>
      <c r="D876" s="8" t="s">
        <v>1638</v>
      </c>
      <c r="E876" s="8" t="s">
        <v>1910</v>
      </c>
      <c r="F876" s="8">
        <v>1.0</v>
      </c>
      <c r="G876" s="8">
        <v>270.45</v>
      </c>
      <c r="H876" s="8">
        <v>0.15</v>
      </c>
      <c r="I876" s="8">
        <f t="shared" si="1"/>
        <v>270.45</v>
      </c>
      <c r="J876" s="8">
        <f t="shared" si="2"/>
        <v>-40.4175</v>
      </c>
      <c r="K876" s="8" t="str">
        <f t="shared" si="3"/>
        <v>Nov</v>
      </c>
      <c r="L876" s="8">
        <f t="shared" si="4"/>
        <v>2026</v>
      </c>
      <c r="N876" s="8" t="str">
        <f t="array" ref="N876">XLOOKUP(C876,Customer_Dim!A:A,Customer_Dim!B:B,"Not Found")</f>
        <v>Anthony Garcia</v>
      </c>
      <c r="O876" s="8" t="str">
        <f t="array" ref="O876">XLOOKUP(C876,Customer_Dim!A:A,Customer_Dim!E:E,"Not Found")</f>
        <v>Taraberg</v>
      </c>
      <c r="P876" s="8" t="str">
        <f t="array" ref="P876">XLOOKUP(D876,Product_Dim!A:A,Product_Dim!B:B,"Not Found")</f>
        <v>Knee Support Brace</v>
      </c>
      <c r="Q876" s="8" t="str">
        <f t="array" ref="Q876">XLOOKUP(D876,Product_Dim!A:A,Product_Dim!C:C,"Not Found")</f>
        <v>Sports</v>
      </c>
      <c r="R876" s="8" t="str">
        <f t="array" ref="R876">XLOOKUP(E876,Store_Dim!A:A,Store_Dim!B:B,"Not Found")</f>
        <v>North</v>
      </c>
      <c r="S876" s="8" t="str">
        <f t="array" ref="S876">XLOOKUP(E876,Store_Dim!A:A,Store_Dim!D:D,"Not Found")</f>
        <v>Outlet</v>
      </c>
    </row>
    <row r="877" ht="14.25" customHeight="1">
      <c r="A877" s="8" t="s">
        <v>2830</v>
      </c>
      <c r="B877" s="12">
        <v>46355.0</v>
      </c>
      <c r="C877" s="8" t="s">
        <v>170</v>
      </c>
      <c r="D877" s="8" t="s">
        <v>1818</v>
      </c>
      <c r="E877" s="8" t="s">
        <v>1926</v>
      </c>
      <c r="F877" s="8">
        <v>4.0</v>
      </c>
      <c r="G877" s="8">
        <v>762.94</v>
      </c>
      <c r="H877" s="8">
        <v>0.09</v>
      </c>
      <c r="I877" s="8">
        <f t="shared" si="1"/>
        <v>3051.76</v>
      </c>
      <c r="J877" s="8">
        <f t="shared" si="2"/>
        <v>-274.5684</v>
      </c>
      <c r="K877" s="8" t="str">
        <f t="shared" si="3"/>
        <v>Nov</v>
      </c>
      <c r="L877" s="8">
        <f t="shared" si="4"/>
        <v>2026</v>
      </c>
      <c r="N877" s="8" t="str">
        <f t="array" ref="N877">XLOOKUP(C877,Customer_Dim!A:A,Customer_Dim!B:B,"Not Found")</f>
        <v>James Gibbs</v>
      </c>
      <c r="O877" s="8" t="str">
        <f t="array" ref="O877">XLOOKUP(C877,Customer_Dim!A:A,Customer_Dim!E:E,"Not Found")</f>
        <v>Mooneyshire</v>
      </c>
      <c r="P877" s="8" t="str">
        <f t="array" ref="P877">XLOOKUP(D877,Product_Dim!A:A,Product_Dim!B:B,"Not Found")</f>
        <v>Wireless Mouse</v>
      </c>
      <c r="Q877" s="8" t="str">
        <f t="array" ref="Q877">XLOOKUP(D877,Product_Dim!A:A,Product_Dim!C:C,"Not Found")</f>
        <v>Electronics</v>
      </c>
      <c r="R877" s="8" t="str">
        <f t="array" ref="R877">XLOOKUP(E877,Store_Dim!A:A,Store_Dim!B:B,"Not Found")</f>
        <v>East</v>
      </c>
      <c r="S877" s="8" t="str">
        <f t="array" ref="S877">XLOOKUP(E877,Store_Dim!A:A,Store_Dim!D:D,"Not Found")</f>
        <v>Online</v>
      </c>
    </row>
    <row r="878" ht="14.25" customHeight="1">
      <c r="A878" s="8" t="s">
        <v>2831</v>
      </c>
      <c r="B878" s="12">
        <v>46356.0</v>
      </c>
      <c r="C878" s="8" t="s">
        <v>1534</v>
      </c>
      <c r="D878" s="8" t="s">
        <v>1710</v>
      </c>
      <c r="E878" s="8" t="s">
        <v>1931</v>
      </c>
      <c r="F878" s="8">
        <v>1.0</v>
      </c>
      <c r="G878" s="8">
        <v>409.03</v>
      </c>
      <c r="H878" s="8">
        <v>0.25</v>
      </c>
      <c r="I878" s="8">
        <f t="shared" si="1"/>
        <v>409.03</v>
      </c>
      <c r="J878" s="8">
        <f t="shared" si="2"/>
        <v>-102.0075</v>
      </c>
      <c r="K878" s="8" t="str">
        <f t="shared" si="3"/>
        <v>Nov</v>
      </c>
      <c r="L878" s="8">
        <f t="shared" si="4"/>
        <v>2026</v>
      </c>
      <c r="N878" s="8" t="str">
        <f t="array" ref="N878">XLOOKUP(C878,Customer_Dim!A:A,Customer_Dim!B:B,"Not Found")</f>
        <v>Justin Lopez</v>
      </c>
      <c r="O878" s="8" t="str">
        <f t="array" ref="O878">XLOOKUP(C878,Customer_Dim!A:A,Customer_Dim!E:E,"Not Found")</f>
        <v>Port Cheryl</v>
      </c>
      <c r="P878" s="8" t="str">
        <f t="array" ref="P878">XLOOKUP(D878,Product_Dim!A:A,Product_Dim!B:B,"Not Found")</f>
        <v>Yoga Exercise Mat</v>
      </c>
      <c r="Q878" s="8" t="str">
        <f t="array" ref="Q878">XLOOKUP(D878,Product_Dim!A:A,Product_Dim!C:C,"Not Found")</f>
        <v>Sports</v>
      </c>
      <c r="R878" s="8" t="str">
        <f t="array" ref="R878">XLOOKUP(E878,Store_Dim!A:A,Store_Dim!B:B,"Not Found")</f>
        <v>East</v>
      </c>
      <c r="S878" s="8" t="str">
        <f t="array" ref="S878">XLOOKUP(E878,Store_Dim!A:A,Store_Dim!D:D,"Not Found")</f>
        <v>Flagship</v>
      </c>
    </row>
    <row r="879" ht="14.25" customHeight="1">
      <c r="A879" s="8" t="s">
        <v>2832</v>
      </c>
      <c r="B879" s="12">
        <v>46357.0</v>
      </c>
      <c r="C879" s="8" t="s">
        <v>723</v>
      </c>
      <c r="D879" s="8" t="s">
        <v>1878</v>
      </c>
      <c r="E879" s="8" t="s">
        <v>1939</v>
      </c>
      <c r="F879" s="8">
        <v>2.0</v>
      </c>
      <c r="G879" s="8">
        <v>891.13</v>
      </c>
      <c r="H879" s="8">
        <v>0.13</v>
      </c>
      <c r="I879" s="8">
        <f t="shared" si="1"/>
        <v>1782.26</v>
      </c>
      <c r="J879" s="8">
        <f t="shared" si="2"/>
        <v>-231.5638</v>
      </c>
      <c r="K879" s="8" t="str">
        <f t="shared" si="3"/>
        <v>Dec</v>
      </c>
      <c r="L879" s="8">
        <f t="shared" si="4"/>
        <v>2026</v>
      </c>
      <c r="N879" s="8" t="str">
        <f t="array" ref="N879">XLOOKUP(C879,Customer_Dim!A:A,Customer_Dim!B:B,"Not Found")</f>
        <v>Jordan Wells</v>
      </c>
      <c r="O879" s="8" t="str">
        <f t="array" ref="O879">XLOOKUP(C879,Customer_Dim!A:A,Customer_Dim!E:E,"Not Found")</f>
        <v>Phillipschester   </v>
      </c>
      <c r="P879" s="8" t="str">
        <f t="array" ref="P879">XLOOKUP(D879,Product_Dim!A:A,Product_Dim!B:B,"Not Found")</f>
        <v>Women's Formal Blazer</v>
      </c>
      <c r="Q879" s="8" t="str">
        <f t="array" ref="Q879">XLOOKUP(D879,Product_Dim!A:A,Product_Dim!C:C,"Not Found")</f>
        <v>Clothing</v>
      </c>
      <c r="R879" s="8" t="str">
        <f t="array" ref="R879">XLOOKUP(E879,Store_Dim!A:A,Store_Dim!B:B,"Not Found")</f>
        <v>East</v>
      </c>
      <c r="S879" s="8" t="str">
        <f t="array" ref="S879">XLOOKUP(E879,Store_Dim!A:A,Store_Dim!D:D,"Not Found")</f>
        <v>Flagship</v>
      </c>
    </row>
    <row r="880" ht="14.25" customHeight="1">
      <c r="A880" s="8" t="s">
        <v>2833</v>
      </c>
      <c r="B880" s="12">
        <v>46358.0</v>
      </c>
      <c r="C880" s="8" t="s">
        <v>140</v>
      </c>
      <c r="D880" s="8" t="s">
        <v>1866</v>
      </c>
      <c r="E880" s="8" t="s">
        <v>1935</v>
      </c>
      <c r="F880" s="8">
        <v>1.0</v>
      </c>
      <c r="G880" s="8">
        <v>553.38</v>
      </c>
      <c r="H880" s="8">
        <v>0.21</v>
      </c>
      <c r="I880" s="8">
        <f t="shared" si="1"/>
        <v>553.38</v>
      </c>
      <c r="J880" s="8">
        <f t="shared" si="2"/>
        <v>-115.9998</v>
      </c>
      <c r="K880" s="8" t="str">
        <f t="shared" si="3"/>
        <v>Dec</v>
      </c>
      <c r="L880" s="8">
        <f t="shared" si="4"/>
        <v>2026</v>
      </c>
      <c r="N880" s="8" t="str">
        <f t="array" ref="N880">XLOOKUP(C880,Customer_Dim!A:A,Customer_Dim!B:B,"Not Found")</f>
        <v>Mike Jennings</v>
      </c>
      <c r="O880" s="8" t="str">
        <f t="array" ref="O880">XLOOKUP(C880,Customer_Dim!A:A,Customer_Dim!E:E,"Not Found")</f>
        <v>Fostermouth</v>
      </c>
      <c r="P880" s="8" t="str">
        <f t="array" ref="P880">XLOOKUP(D880,Product_Dim!A:A,Product_Dim!B:B,"Not Found")</f>
        <v>Microwave Oven</v>
      </c>
      <c r="Q880" s="8" t="str">
        <f t="array" ref="Q880">XLOOKUP(D880,Product_Dim!A:A,Product_Dim!C:C,"Not Found")</f>
        <v>Home</v>
      </c>
      <c r="R880" s="8" t="str">
        <f t="array" ref="R880">XLOOKUP(E880,Store_Dim!A:A,Store_Dim!B:B,"Not Found")</f>
        <v>West</v>
      </c>
      <c r="S880" s="8" t="str">
        <f t="array" ref="S880">XLOOKUP(E880,Store_Dim!A:A,Store_Dim!D:D,"Not Found")</f>
        <v>Flagship</v>
      </c>
    </row>
    <row r="881" ht="14.25" customHeight="1">
      <c r="A881" s="8" t="s">
        <v>2834</v>
      </c>
      <c r="B881" s="12">
        <v>46359.0</v>
      </c>
      <c r="C881" s="8" t="s">
        <v>547</v>
      </c>
      <c r="D881" s="8" t="s">
        <v>1845</v>
      </c>
      <c r="E881" s="8" t="s">
        <v>1931</v>
      </c>
      <c r="F881" s="8">
        <v>2.0</v>
      </c>
      <c r="G881" s="8">
        <v>652.3</v>
      </c>
      <c r="H881" s="8">
        <v>0.16</v>
      </c>
      <c r="I881" s="8">
        <f t="shared" si="1"/>
        <v>1304.6</v>
      </c>
      <c r="J881" s="8">
        <f t="shared" si="2"/>
        <v>-208.576</v>
      </c>
      <c r="K881" s="8" t="str">
        <f t="shared" si="3"/>
        <v>Dec</v>
      </c>
      <c r="L881" s="8">
        <f t="shared" si="4"/>
        <v>2026</v>
      </c>
      <c r="N881" s="8" t="str">
        <f t="array" ref="N881">XLOOKUP(C881,Customer_Dim!A:A,Customer_Dim!B:B,"Not Found")</f>
        <v>John Lawson</v>
      </c>
      <c r="O881" s="8" t="str">
        <f t="array" ref="O881">XLOOKUP(C881,Customer_Dim!A:A,Customer_Dim!E:E,"Not Found")</f>
        <v>New Juliemouth</v>
      </c>
      <c r="P881" s="8" t="str">
        <f t="array" ref="P881">XLOOKUP(D881,Product_Dim!A:A,Product_Dim!B:B,"Not Found")</f>
        <v>Women's Beanie Hat</v>
      </c>
      <c r="Q881" s="8" t="str">
        <f t="array" ref="Q881">XLOOKUP(D881,Product_Dim!A:A,Product_Dim!C:C,"Not Found")</f>
        <v>Clothing</v>
      </c>
      <c r="R881" s="8" t="str">
        <f t="array" ref="R881">XLOOKUP(E881,Store_Dim!A:A,Store_Dim!B:B,"Not Found")</f>
        <v>East</v>
      </c>
      <c r="S881" s="8" t="str">
        <f t="array" ref="S881">XLOOKUP(E881,Store_Dim!A:A,Store_Dim!D:D,"Not Found")</f>
        <v>Flagship</v>
      </c>
    </row>
    <row r="882" ht="14.25" customHeight="1">
      <c r="A882" s="8" t="s">
        <v>2835</v>
      </c>
      <c r="B882" s="12">
        <v>46360.0</v>
      </c>
      <c r="C882" s="8" t="s">
        <v>433</v>
      </c>
      <c r="D882" s="8" t="s">
        <v>1713</v>
      </c>
      <c r="E882" s="8" t="s">
        <v>1924</v>
      </c>
      <c r="F882" s="8">
        <v>4.0</v>
      </c>
      <c r="G882" s="8">
        <v>194.36</v>
      </c>
      <c r="H882" s="8">
        <v>0.18</v>
      </c>
      <c r="I882" s="8">
        <f t="shared" si="1"/>
        <v>777.44</v>
      </c>
      <c r="J882" s="8">
        <f t="shared" si="2"/>
        <v>-139.7592</v>
      </c>
      <c r="K882" s="8" t="str">
        <f t="shared" si="3"/>
        <v>Dec</v>
      </c>
      <c r="L882" s="8">
        <f t="shared" si="4"/>
        <v>2026</v>
      </c>
      <c r="N882" s="8" t="str">
        <f t="array" ref="N882">XLOOKUP(C882,Customer_Dim!A:A,Customer_Dim!B:B,"Not Found")</f>
        <v>Michael Chang</v>
      </c>
      <c r="O882" s="8" t="str">
        <f t="array" ref="O882">XLOOKUP(C882,Customer_Dim!A:A,Customer_Dim!E:E,"Not Found")</f>
        <v>Kathrynport</v>
      </c>
      <c r="P882" s="8" t="str">
        <f t="array" ref="P882">XLOOKUP(D882,Product_Dim!A:A,Product_Dim!B:B,"Not Found")</f>
        <v>Smart Home WiFi Camera</v>
      </c>
      <c r="Q882" s="8" t="str">
        <f t="array" ref="Q882">XLOOKUP(D882,Product_Dim!A:A,Product_Dim!C:C,"Not Found")</f>
        <v>Electronics</v>
      </c>
      <c r="R882" s="8" t="str">
        <f t="array" ref="R882">XLOOKUP(E882,Store_Dim!A:A,Store_Dim!B:B,"Not Found")</f>
        <v>South</v>
      </c>
      <c r="S882" s="8" t="str">
        <f t="array" ref="S882">XLOOKUP(E882,Store_Dim!A:A,Store_Dim!D:D,"Not Found")</f>
        <v>Flagship</v>
      </c>
    </row>
    <row r="883" ht="14.25" customHeight="1">
      <c r="A883" s="8" t="s">
        <v>2836</v>
      </c>
      <c r="B883" s="12">
        <v>46361.0</v>
      </c>
      <c r="C883" s="8" t="s">
        <v>526</v>
      </c>
      <c r="D883" s="8" t="s">
        <v>1866</v>
      </c>
      <c r="E883" s="8" t="s">
        <v>1903</v>
      </c>
      <c r="F883" s="8">
        <v>3.0</v>
      </c>
      <c r="G883" s="8">
        <v>476.37</v>
      </c>
      <c r="H883" s="8">
        <v>0.21</v>
      </c>
      <c r="I883" s="8">
        <f t="shared" si="1"/>
        <v>1429.11</v>
      </c>
      <c r="J883" s="8">
        <f t="shared" si="2"/>
        <v>-299.9031</v>
      </c>
      <c r="K883" s="8" t="str">
        <f t="shared" si="3"/>
        <v>Dec</v>
      </c>
      <c r="L883" s="8">
        <f t="shared" si="4"/>
        <v>2026</v>
      </c>
      <c r="N883" s="8" t="str">
        <f t="array" ref="N883">XLOOKUP(C883,Customer_Dim!A:A,Customer_Dim!B:B,"Not Found")</f>
        <v>Joseph Faulkner</v>
      </c>
      <c r="O883" s="8" t="str">
        <f t="array" ref="O883">XLOOKUP(C883,Customer_Dim!A:A,Customer_Dim!E:E,"Not Found")</f>
        <v>New Leahfurt</v>
      </c>
      <c r="P883" s="8" t="str">
        <f t="array" ref="P883">XLOOKUP(D883,Product_Dim!A:A,Product_Dim!B:B,"Not Found")</f>
        <v>Microwave Oven</v>
      </c>
      <c r="Q883" s="8" t="str">
        <f t="array" ref="Q883">XLOOKUP(D883,Product_Dim!A:A,Product_Dim!C:C,"Not Found")</f>
        <v>Home</v>
      </c>
      <c r="R883" s="8" t="str">
        <f t="array" ref="R883">XLOOKUP(E883,Store_Dim!A:A,Store_Dim!B:B,"Not Found")</f>
        <v>North</v>
      </c>
      <c r="S883" s="8" t="str">
        <f t="array" ref="S883">XLOOKUP(E883,Store_Dim!A:A,Store_Dim!D:D,"Not Found")</f>
        <v>Flagship</v>
      </c>
    </row>
    <row r="884" ht="14.25" customHeight="1">
      <c r="A884" s="8" t="s">
        <v>2837</v>
      </c>
      <c r="B884" s="12">
        <v>46362.0</v>
      </c>
      <c r="C884" s="8" t="s">
        <v>1158</v>
      </c>
      <c r="D884" s="8" t="s">
        <v>1707</v>
      </c>
      <c r="E884" s="8" t="s">
        <v>1915</v>
      </c>
      <c r="F884" s="8">
        <v>3.0</v>
      </c>
      <c r="G884" s="8">
        <v>174.57</v>
      </c>
      <c r="H884" s="8">
        <v>0.0</v>
      </c>
      <c r="I884" s="8">
        <f t="shared" si="1"/>
        <v>523.71</v>
      </c>
      <c r="J884" s="8">
        <f t="shared" si="2"/>
        <v>0</v>
      </c>
      <c r="K884" s="8" t="str">
        <f t="shared" si="3"/>
        <v>Dec</v>
      </c>
      <c r="L884" s="8">
        <f t="shared" si="4"/>
        <v>2026</v>
      </c>
      <c r="N884" s="8" t="str">
        <f t="array" ref="N884">XLOOKUP(C884,Customer_Dim!A:A,Customer_Dim!B:B,"Not Found")</f>
        <v>Brandon Mcbride</v>
      </c>
      <c r="O884" s="8" t="str">
        <f t="array" ref="O884">XLOOKUP(C884,Customer_Dim!A:A,Customer_Dim!E:E,"Not Found")</f>
        <v>Kellyside</v>
      </c>
      <c r="P884" s="8" t="str">
        <f t="array" ref="P884">XLOOKUP(D884,Product_Dim!A:A,Product_Dim!B:B,"Not Found")</f>
        <v>Noise-Canceling Headphones</v>
      </c>
      <c r="Q884" s="8" t="str">
        <f t="array" ref="Q884">XLOOKUP(D884,Product_Dim!A:A,Product_Dim!C:C,"Not Found")</f>
        <v>Electronics</v>
      </c>
      <c r="R884" s="8" t="str">
        <f t="array" ref="R884">XLOOKUP(E884,Store_Dim!A:A,Store_Dim!B:B,"Not Found")</f>
        <v>North</v>
      </c>
      <c r="S884" s="8" t="str">
        <f t="array" ref="S884">XLOOKUP(E884,Store_Dim!A:A,Store_Dim!D:D,"Not Found")</f>
        <v>Outlet</v>
      </c>
    </row>
    <row r="885" ht="14.25" customHeight="1">
      <c r="A885" s="8" t="s">
        <v>2838</v>
      </c>
      <c r="B885" s="12">
        <v>46363.0</v>
      </c>
      <c r="C885" s="8" t="s">
        <v>424</v>
      </c>
      <c r="D885" s="8" t="s">
        <v>1845</v>
      </c>
      <c r="E885" s="8" t="s">
        <v>1899</v>
      </c>
      <c r="F885" s="8">
        <v>3.0</v>
      </c>
      <c r="G885" s="8">
        <v>762.0</v>
      </c>
      <c r="H885" s="8">
        <v>0.02</v>
      </c>
      <c r="I885" s="8">
        <f t="shared" si="1"/>
        <v>2286</v>
      </c>
      <c r="J885" s="8">
        <f t="shared" si="2"/>
        <v>-45.7</v>
      </c>
      <c r="K885" s="8" t="str">
        <f t="shared" si="3"/>
        <v>Dec</v>
      </c>
      <c r="L885" s="8">
        <f t="shared" si="4"/>
        <v>2026</v>
      </c>
      <c r="N885" s="8" t="str">
        <f t="array" ref="N885">XLOOKUP(C885,Customer_Dim!A:A,Customer_Dim!B:B,"Not Found")</f>
        <v>Michael Jones</v>
      </c>
      <c r="O885" s="8" t="str">
        <f t="array" ref="O885">XLOOKUP(C885,Customer_Dim!A:A,Customer_Dim!E:E,"Not Found")</f>
        <v>North Edwardton</v>
      </c>
      <c r="P885" s="8" t="str">
        <f t="array" ref="P885">XLOOKUP(D885,Product_Dim!A:A,Product_Dim!B:B,"Not Found")</f>
        <v>Women's Beanie Hat</v>
      </c>
      <c r="Q885" s="8" t="str">
        <f t="array" ref="Q885">XLOOKUP(D885,Product_Dim!A:A,Product_Dim!C:C,"Not Found")</f>
        <v>Clothing</v>
      </c>
      <c r="R885" s="8" t="str">
        <f t="array" ref="R885">XLOOKUP(E885,Store_Dim!A:A,Store_Dim!B:B,"Not Found")</f>
        <v>East</v>
      </c>
      <c r="S885" s="8" t="str">
        <f t="array" ref="S885">XLOOKUP(E885,Store_Dim!A:A,Store_Dim!D:D,"Not Found")</f>
        <v>Flagship</v>
      </c>
    </row>
    <row r="886" ht="14.25" customHeight="1">
      <c r="A886" s="8" t="s">
        <v>2839</v>
      </c>
      <c r="B886" s="12">
        <v>46364.0</v>
      </c>
      <c r="C886" s="8" t="s">
        <v>1335</v>
      </c>
      <c r="D886" s="8" t="s">
        <v>1806</v>
      </c>
      <c r="E886" s="8" t="s">
        <v>1941</v>
      </c>
      <c r="F886" s="8">
        <v>1.0</v>
      </c>
      <c r="G886" s="8">
        <v>44.08</v>
      </c>
      <c r="H886" s="8">
        <v>0.05</v>
      </c>
      <c r="I886" s="8">
        <f t="shared" si="1"/>
        <v>44.08</v>
      </c>
      <c r="J886" s="8">
        <f t="shared" si="2"/>
        <v>-2.154</v>
      </c>
      <c r="K886" s="8" t="str">
        <f t="shared" si="3"/>
        <v>Dec</v>
      </c>
      <c r="L886" s="8">
        <f t="shared" si="4"/>
        <v>2026</v>
      </c>
      <c r="N886" s="8" t="str">
        <f t="array" ref="N886">XLOOKUP(C886,Customer_Dim!A:A,Customer_Dim!B:B,"Not Found")</f>
        <v>Bryce Hawkins</v>
      </c>
      <c r="O886" s="8" t="str">
        <f t="array" ref="O886">XLOOKUP(C886,Customer_Dim!A:A,Customer_Dim!E:E,"Not Found")</f>
        <v>Lake Monique</v>
      </c>
      <c r="P886" s="8" t="str">
        <f t="array" ref="P886">XLOOKUP(D886,Product_Dim!A:A,Product_Dim!B:B,"Not Found")</f>
        <v>Professional Jump Rope</v>
      </c>
      <c r="Q886" s="8" t="str">
        <f t="array" ref="Q886">XLOOKUP(D886,Product_Dim!A:A,Product_Dim!C:C,"Not Found")</f>
        <v>Sports</v>
      </c>
      <c r="R886" s="8" t="str">
        <f t="array" ref="R886">XLOOKUP(E886,Store_Dim!A:A,Store_Dim!B:B,"Not Found")</f>
        <v>East</v>
      </c>
      <c r="S886" s="8" t="str">
        <f t="array" ref="S886">XLOOKUP(E886,Store_Dim!A:A,Store_Dim!D:D,"Not Found")</f>
        <v>Online</v>
      </c>
    </row>
    <row r="887" ht="14.25" customHeight="1">
      <c r="A887" s="8" t="s">
        <v>2840</v>
      </c>
      <c r="B887" s="12">
        <v>46365.0</v>
      </c>
      <c r="C887" s="8" t="s">
        <v>1537</v>
      </c>
      <c r="D887" s="8" t="s">
        <v>1766</v>
      </c>
      <c r="E887" s="8" t="s">
        <v>1931</v>
      </c>
      <c r="F887" s="8">
        <v>1.0</v>
      </c>
      <c r="G887" s="8">
        <v>992.37</v>
      </c>
      <c r="H887" s="8">
        <v>0.24</v>
      </c>
      <c r="I887" s="8">
        <f t="shared" si="1"/>
        <v>992.37</v>
      </c>
      <c r="J887" s="8">
        <f t="shared" si="2"/>
        <v>-237.9288</v>
      </c>
      <c r="K887" s="8" t="str">
        <f t="shared" si="3"/>
        <v>Dec</v>
      </c>
      <c r="L887" s="8">
        <f t="shared" si="4"/>
        <v>2026</v>
      </c>
      <c r="N887" s="8" t="str">
        <f t="array" ref="N887">XLOOKUP(C887,Customer_Dim!A:A,Customer_Dim!B:B,"Not Found")</f>
        <v>James Berger</v>
      </c>
      <c r="O887" s="8" t="str">
        <f t="array" ref="O887">XLOOKUP(C887,Customer_Dim!A:A,Customer_Dim!E:E,"Not Found")</f>
        <v>Bryanmouth</v>
      </c>
      <c r="P887" s="8" t="str">
        <f t="array" ref="P887">XLOOKUP(D887,Product_Dim!A:A,Product_Dim!B:B,"Not Found")</f>
        <v>Men's Hair Styling Gel</v>
      </c>
      <c r="Q887" s="8" t="str">
        <f t="array" ref="Q887">XLOOKUP(D887,Product_Dim!A:A,Product_Dim!C:C,"Not Found")</f>
        <v>Beauty</v>
      </c>
      <c r="R887" s="8" t="str">
        <f t="array" ref="R887">XLOOKUP(E887,Store_Dim!A:A,Store_Dim!B:B,"Not Found")</f>
        <v>East</v>
      </c>
      <c r="S887" s="8" t="str">
        <f t="array" ref="S887">XLOOKUP(E887,Store_Dim!A:A,Store_Dim!D:D,"Not Found")</f>
        <v>Flagship</v>
      </c>
    </row>
    <row r="888" ht="14.25" customHeight="1">
      <c r="A888" s="8" t="s">
        <v>2841</v>
      </c>
      <c r="B888" s="12">
        <v>46366.0</v>
      </c>
      <c r="C888" s="8" t="s">
        <v>669</v>
      </c>
      <c r="D888" s="8" t="s">
        <v>1677</v>
      </c>
      <c r="E888" s="8" t="s">
        <v>1926</v>
      </c>
      <c r="F888" s="8">
        <v>3.0</v>
      </c>
      <c r="G888" s="8">
        <v>465.4</v>
      </c>
      <c r="H888" s="8">
        <v>0.29</v>
      </c>
      <c r="I888" s="8">
        <f t="shared" si="1"/>
        <v>1396.2</v>
      </c>
      <c r="J888" s="8">
        <f t="shared" si="2"/>
        <v>-404.608</v>
      </c>
      <c r="K888" s="8" t="str">
        <f t="shared" si="3"/>
        <v>Dec</v>
      </c>
      <c r="L888" s="8">
        <f t="shared" si="4"/>
        <v>2026</v>
      </c>
      <c r="N888" s="8" t="str">
        <f t="array" ref="N888">XLOOKUP(C888,Customer_Dim!A:A,Customer_Dim!B:B,"Not Found")</f>
        <v>Mary Boyd</v>
      </c>
      <c r="O888" s="8" t="str">
        <f t="array" ref="O888">XLOOKUP(C888,Customer_Dim!A:A,Customer_Dim!E:E,"Not Found")</f>
        <v>New Logan</v>
      </c>
      <c r="P888" s="8" t="str">
        <f t="array" ref="P888">XLOOKUP(D888,Product_Dim!A:A,Product_Dim!B:B,"Not Found")</f>
        <v>Basketball</v>
      </c>
      <c r="Q888" s="8" t="str">
        <f t="array" ref="Q888">XLOOKUP(D888,Product_Dim!A:A,Product_Dim!C:C,"Not Found")</f>
        <v>Sports</v>
      </c>
      <c r="R888" s="8" t="str">
        <f t="array" ref="R888">XLOOKUP(E888,Store_Dim!A:A,Store_Dim!B:B,"Not Found")</f>
        <v>East</v>
      </c>
      <c r="S888" s="8" t="str">
        <f t="array" ref="S888">XLOOKUP(E888,Store_Dim!A:A,Store_Dim!D:D,"Not Found")</f>
        <v>Online</v>
      </c>
    </row>
    <row r="889" ht="14.25" customHeight="1">
      <c r="A889" s="8" t="s">
        <v>2842</v>
      </c>
      <c r="B889" s="12">
        <v>46367.0</v>
      </c>
      <c r="C889" s="8" t="s">
        <v>1074</v>
      </c>
      <c r="D889" s="8" t="s">
        <v>1989</v>
      </c>
      <c r="E889" s="8" t="s">
        <v>1926</v>
      </c>
      <c r="F889" s="8">
        <v>2.0</v>
      </c>
      <c r="G889" s="8">
        <v>693.61</v>
      </c>
      <c r="H889" s="8">
        <v>0.15</v>
      </c>
      <c r="I889" s="8">
        <f t="shared" si="1"/>
        <v>1387.22</v>
      </c>
      <c r="J889" s="8">
        <f t="shared" si="2"/>
        <v>-207.933</v>
      </c>
      <c r="K889" s="8" t="str">
        <f t="shared" si="3"/>
        <v>Dec</v>
      </c>
      <c r="L889" s="8">
        <f t="shared" si="4"/>
        <v>2026</v>
      </c>
      <c r="N889" s="8" t="str">
        <f t="array" ref="N889">XLOOKUP(C889,Customer_Dim!A:A,Customer_Dim!B:B,"Not Found")</f>
        <v>Carol Lewis</v>
      </c>
      <c r="O889" s="8" t="str">
        <f t="array" ref="O889">XLOOKUP(C889,Customer_Dim!A:A,Customer_Dim!E:E,"Not Found")</f>
        <v>Ryanport</v>
      </c>
      <c r="P889" s="8" t="str">
        <f t="array" ref="P889">XLOOKUP(D889,Product_Dim!A:A,Product_Dim!B:B,"Not Found")</f>
        <v>Not Found</v>
      </c>
      <c r="Q889" s="8" t="str">
        <f t="array" ref="Q889">XLOOKUP(D889,Product_Dim!A:A,Product_Dim!C:C,"Not Found")</f>
        <v>Not Found</v>
      </c>
      <c r="R889" s="8" t="str">
        <f t="array" ref="R889">XLOOKUP(E889,Store_Dim!A:A,Store_Dim!B:B,"Not Found")</f>
        <v>East</v>
      </c>
      <c r="S889" s="8" t="str">
        <f t="array" ref="S889">XLOOKUP(E889,Store_Dim!A:A,Store_Dim!D:D,"Not Found")</f>
        <v>Online</v>
      </c>
    </row>
    <row r="890" ht="14.25" customHeight="1">
      <c r="A890" s="8" t="s">
        <v>2843</v>
      </c>
      <c r="B890" s="12">
        <v>46368.0</v>
      </c>
      <c r="C890" s="8" t="s">
        <v>1450</v>
      </c>
      <c r="D890" s="8" t="s">
        <v>1790</v>
      </c>
      <c r="E890" s="8" t="s">
        <v>1921</v>
      </c>
      <c r="F890" s="8">
        <v>2.0</v>
      </c>
      <c r="G890" s="8">
        <v>995.11</v>
      </c>
      <c r="H890" s="8">
        <v>0.13</v>
      </c>
      <c r="I890" s="8">
        <f t="shared" si="1"/>
        <v>1990.22</v>
      </c>
      <c r="J890" s="8">
        <f t="shared" si="2"/>
        <v>-258.5986</v>
      </c>
      <c r="K890" s="8" t="str">
        <f t="shared" si="3"/>
        <v>Dec</v>
      </c>
      <c r="L890" s="8">
        <f t="shared" si="4"/>
        <v>2026</v>
      </c>
      <c r="N890" s="8" t="str">
        <f t="array" ref="N890">XLOOKUP(C890,Customer_Dim!A:A,Customer_Dim!B:B,"Not Found")</f>
        <v>Ronald Ross</v>
      </c>
      <c r="O890" s="8" t="str">
        <f t="array" ref="O890">XLOOKUP(C890,Customer_Dim!A:A,Customer_Dim!E:E,"Not Found")</f>
        <v>Hartmanside</v>
      </c>
      <c r="P890" s="8" t="str">
        <f t="array" ref="P890">XLOOKUP(D890,Product_Dim!A:A,Product_Dim!B:B,"Not Found")</f>
        <v>Smart LED Light Strip</v>
      </c>
      <c r="Q890" s="8" t="str">
        <f t="array" ref="Q890">XLOOKUP(D890,Product_Dim!A:A,Product_Dim!C:C,"Not Found")</f>
        <v>Electronics</v>
      </c>
      <c r="R890" s="8" t="str">
        <f t="array" ref="R890">XLOOKUP(E890,Store_Dim!A:A,Store_Dim!B:B,"Not Found")</f>
        <v>West</v>
      </c>
      <c r="S890" s="8" t="str">
        <f t="array" ref="S890">XLOOKUP(E890,Store_Dim!A:A,Store_Dim!D:D,"Not Found")</f>
        <v>Online</v>
      </c>
    </row>
    <row r="891" ht="14.25" customHeight="1">
      <c r="A891" s="8" t="s">
        <v>2844</v>
      </c>
      <c r="B891" s="12">
        <v>46369.0</v>
      </c>
      <c r="C891" s="8" t="s">
        <v>1206</v>
      </c>
      <c r="D891" s="8" t="s">
        <v>1652</v>
      </c>
      <c r="E891" s="8" t="s">
        <v>1912</v>
      </c>
      <c r="F891" s="8">
        <v>3.0</v>
      </c>
      <c r="G891" s="8">
        <v>70.97</v>
      </c>
      <c r="H891" s="8">
        <v>0.06</v>
      </c>
      <c r="I891" s="8">
        <f t="shared" si="1"/>
        <v>212.91</v>
      </c>
      <c r="J891" s="8">
        <f t="shared" si="2"/>
        <v>-12.7146</v>
      </c>
      <c r="K891" s="8" t="str">
        <f t="shared" si="3"/>
        <v>Dec</v>
      </c>
      <c r="L891" s="8">
        <f t="shared" si="4"/>
        <v>2026</v>
      </c>
      <c r="N891" s="8" t="str">
        <f t="array" ref="N891">XLOOKUP(C891,Customer_Dim!A:A,Customer_Dim!B:B,"Not Found")</f>
        <v>Erika Padilla</v>
      </c>
      <c r="O891" s="8" t="str">
        <f t="array" ref="O891">XLOOKUP(C891,Customer_Dim!A:A,Customer_Dim!E:E,"Not Found")</f>
        <v>Andrewsland</v>
      </c>
      <c r="P891" s="8" t="str">
        <f t="array" ref="P891">XLOOKUP(D891,Product_Dim!A:A,Product_Dim!B:B,"Not Found")</f>
        <v>Men's Formal Shirt</v>
      </c>
      <c r="Q891" s="8" t="str">
        <f t="array" ref="Q891">XLOOKUP(D891,Product_Dim!A:A,Product_Dim!C:C,"Not Found")</f>
        <v>Clothing</v>
      </c>
      <c r="R891" s="8" t="str">
        <f t="array" ref="R891">XLOOKUP(E891,Store_Dim!A:A,Store_Dim!B:B,"Not Found")</f>
        <v>South</v>
      </c>
      <c r="S891" s="8" t="str">
        <f t="array" ref="S891">XLOOKUP(E891,Store_Dim!A:A,Store_Dim!D:D,"Not Found")</f>
        <v>Online</v>
      </c>
    </row>
    <row r="892" ht="14.25" customHeight="1">
      <c r="A892" s="8" t="s">
        <v>2845</v>
      </c>
      <c r="B892" s="12">
        <v>46370.0</v>
      </c>
      <c r="C892" s="8" t="s">
        <v>406</v>
      </c>
      <c r="D892" s="8" t="s">
        <v>1839</v>
      </c>
      <c r="E892" s="8" t="s">
        <v>1924</v>
      </c>
      <c r="F892" s="8">
        <v>3.0</v>
      </c>
      <c r="G892" s="8">
        <v>470.42</v>
      </c>
      <c r="H892" s="8">
        <v>0.16</v>
      </c>
      <c r="I892" s="8">
        <f t="shared" si="1"/>
        <v>1411.26</v>
      </c>
      <c r="J892" s="8">
        <f t="shared" si="2"/>
        <v>-225.6416</v>
      </c>
      <c r="K892" s="8" t="str">
        <f t="shared" si="3"/>
        <v>Dec</v>
      </c>
      <c r="L892" s="8">
        <f t="shared" si="4"/>
        <v>2026</v>
      </c>
      <c r="N892" s="8" t="str">
        <f t="array" ref="N892">XLOOKUP(C892,Customer_Dim!A:A,Customer_Dim!B:B,"Not Found")</f>
        <v>Edward Hall</v>
      </c>
      <c r="O892" s="8" t="str">
        <f t="array" ref="O892">XLOOKUP(C892,Customer_Dim!A:A,Customer_Dim!E:E,"Not Found")</f>
        <v>New William</v>
      </c>
      <c r="P892" s="8" t="str">
        <f t="array" ref="P892">XLOOKUP(D892,Product_Dim!A:A,Product_Dim!B:B,"Not Found")</f>
        <v>Hydrating Face Cleanser</v>
      </c>
      <c r="Q892" s="8" t="str">
        <f t="array" ref="Q892">XLOOKUP(D892,Product_Dim!A:A,Product_Dim!C:C,"Not Found")</f>
        <v>Beauty</v>
      </c>
      <c r="R892" s="8" t="str">
        <f t="array" ref="R892">XLOOKUP(E892,Store_Dim!A:A,Store_Dim!B:B,"Not Found")</f>
        <v>South</v>
      </c>
      <c r="S892" s="8" t="str">
        <f t="array" ref="S892">XLOOKUP(E892,Store_Dim!A:A,Store_Dim!D:D,"Not Found")</f>
        <v>Flagship</v>
      </c>
    </row>
    <row r="893" ht="14.25" customHeight="1">
      <c r="A893" s="8" t="s">
        <v>2846</v>
      </c>
      <c r="B893" s="12">
        <v>46371.0</v>
      </c>
      <c r="C893" s="8" t="s">
        <v>1005</v>
      </c>
      <c r="D893" s="8" t="s">
        <v>1848</v>
      </c>
      <c r="E893" s="8" t="s">
        <v>1935</v>
      </c>
      <c r="F893" s="8">
        <v>2.0</v>
      </c>
      <c r="G893" s="8">
        <v>215.59</v>
      </c>
      <c r="H893" s="8">
        <v>0.18</v>
      </c>
      <c r="I893" s="8">
        <f t="shared" si="1"/>
        <v>431.18</v>
      </c>
      <c r="J893" s="8">
        <f t="shared" si="2"/>
        <v>-77.4324</v>
      </c>
      <c r="K893" s="8" t="str">
        <f t="shared" si="3"/>
        <v>Dec</v>
      </c>
      <c r="L893" s="8">
        <f t="shared" si="4"/>
        <v>2026</v>
      </c>
      <c r="N893" s="8" t="str">
        <f t="array" ref="N893">XLOOKUP(C893,Customer_Dim!A:A,Customer_Dim!B:B,"Not Found")</f>
        <v>Elizabeth Johnson</v>
      </c>
      <c r="O893" s="8" t="str">
        <f t="array" ref="O893">XLOOKUP(C893,Customer_Dim!A:A,Customer_Dim!E:E,"Not Found")</f>
        <v>Anitaland</v>
      </c>
      <c r="P893" s="8" t="str">
        <f t="array" ref="P893">XLOOKUP(D893,Product_Dim!A:A,Product_Dim!B:B,"Not Found")</f>
        <v>Kitchen Cutting Board</v>
      </c>
      <c r="Q893" s="8" t="str">
        <f t="array" ref="Q893">XLOOKUP(D893,Product_Dim!A:A,Product_Dim!C:C,"Not Found")</f>
        <v>Home</v>
      </c>
      <c r="R893" s="8" t="str">
        <f t="array" ref="R893">XLOOKUP(E893,Store_Dim!A:A,Store_Dim!B:B,"Not Found")</f>
        <v>West</v>
      </c>
      <c r="S893" s="8" t="str">
        <f t="array" ref="S893">XLOOKUP(E893,Store_Dim!A:A,Store_Dim!D:D,"Not Found")</f>
        <v>Flagship</v>
      </c>
    </row>
    <row r="894" ht="14.25" customHeight="1">
      <c r="A894" s="8" t="s">
        <v>2847</v>
      </c>
      <c r="B894" s="12">
        <v>46372.0</v>
      </c>
      <c r="C894" s="8" t="s">
        <v>782</v>
      </c>
      <c r="D894" s="8" t="s">
        <v>1866</v>
      </c>
      <c r="E894" s="8" t="s">
        <v>1899</v>
      </c>
      <c r="F894" s="8">
        <v>1.0</v>
      </c>
      <c r="G894" s="8">
        <v>533.8</v>
      </c>
      <c r="H894" s="8">
        <v>0.27</v>
      </c>
      <c r="I894" s="8">
        <f t="shared" si="1"/>
        <v>533.8</v>
      </c>
      <c r="J894" s="8">
        <f t="shared" si="2"/>
        <v>-143.856</v>
      </c>
      <c r="K894" s="8" t="str">
        <f t="shared" si="3"/>
        <v>Dec</v>
      </c>
      <c r="L894" s="8">
        <f t="shared" si="4"/>
        <v>2026</v>
      </c>
      <c r="N894" s="8" t="str">
        <f t="array" ref="N894">XLOOKUP(C894,Customer_Dim!A:A,Customer_Dim!B:B,"Not Found")</f>
        <v>Maria Hill</v>
      </c>
      <c r="O894" s="8" t="str">
        <f t="array" ref="O894">XLOOKUP(C894,Customer_Dim!A:A,Customer_Dim!E:E,"Not Found")</f>
        <v>Zamoraborough</v>
      </c>
      <c r="P894" s="8" t="str">
        <f t="array" ref="P894">XLOOKUP(D894,Product_Dim!A:A,Product_Dim!B:B,"Not Found")</f>
        <v>Microwave Oven</v>
      </c>
      <c r="Q894" s="8" t="str">
        <f t="array" ref="Q894">XLOOKUP(D894,Product_Dim!A:A,Product_Dim!C:C,"Not Found")</f>
        <v>Home</v>
      </c>
      <c r="R894" s="8" t="str">
        <f t="array" ref="R894">XLOOKUP(E894,Store_Dim!A:A,Store_Dim!B:B,"Not Found")</f>
        <v>East</v>
      </c>
      <c r="S894" s="8" t="str">
        <f t="array" ref="S894">XLOOKUP(E894,Store_Dim!A:A,Store_Dim!D:D,"Not Found")</f>
        <v>Flagship</v>
      </c>
    </row>
    <row r="895" ht="14.25" customHeight="1">
      <c r="A895" s="8" t="s">
        <v>2848</v>
      </c>
      <c r="B895" s="12">
        <v>46373.0</v>
      </c>
      <c r="C895" s="8" t="s">
        <v>345</v>
      </c>
      <c r="D895" s="8" t="s">
        <v>1681</v>
      </c>
      <c r="E895" s="8" t="s">
        <v>1910</v>
      </c>
      <c r="F895" s="8">
        <v>2.0</v>
      </c>
      <c r="G895" s="8">
        <v>732.67</v>
      </c>
      <c r="H895" s="8">
        <v>0.24</v>
      </c>
      <c r="I895" s="8">
        <f t="shared" si="1"/>
        <v>1465.34</v>
      </c>
      <c r="J895" s="8">
        <f t="shared" si="2"/>
        <v>-351.4416</v>
      </c>
      <c r="K895" s="8" t="str">
        <f t="shared" si="3"/>
        <v>Dec</v>
      </c>
      <c r="L895" s="8">
        <f t="shared" si="4"/>
        <v>2026</v>
      </c>
      <c r="N895" s="8" t="str">
        <f t="array" ref="N895">XLOOKUP(C895,Customer_Dim!A:A,Customer_Dim!B:B,"Not Found")</f>
        <v>Christy Vasquez</v>
      </c>
      <c r="O895" s="8" t="str">
        <f t="array" ref="O895">XLOOKUP(C895,Customer_Dim!A:A,Customer_Dim!E:E,"Not Found")</f>
        <v>Port Travisstad</v>
      </c>
      <c r="P895" s="8" t="str">
        <f t="array" ref="P895">XLOOKUP(D895,Product_Dim!A:A,Product_Dim!B:B,"Not Found")</f>
        <v>Vitamin C Face Serum</v>
      </c>
      <c r="Q895" s="8" t="str">
        <f t="array" ref="Q895">XLOOKUP(D895,Product_Dim!A:A,Product_Dim!C:C,"Not Found")</f>
        <v>Beauty</v>
      </c>
      <c r="R895" s="8" t="str">
        <f t="array" ref="R895">XLOOKUP(E895,Store_Dim!A:A,Store_Dim!B:B,"Not Found")</f>
        <v>North</v>
      </c>
      <c r="S895" s="8" t="str">
        <f t="array" ref="S895">XLOOKUP(E895,Store_Dim!A:A,Store_Dim!D:D,"Not Found")</f>
        <v>Outlet</v>
      </c>
    </row>
    <row r="896" ht="14.25" customHeight="1">
      <c r="A896" s="8" t="s">
        <v>2849</v>
      </c>
      <c r="B896" s="12">
        <v>46374.0</v>
      </c>
      <c r="C896" s="8" t="s">
        <v>1520</v>
      </c>
      <c r="D896" s="8" t="s">
        <v>1769</v>
      </c>
      <c r="E896" s="8" t="s">
        <v>1931</v>
      </c>
      <c r="F896" s="8">
        <v>4.0</v>
      </c>
      <c r="G896" s="8">
        <v>106.48</v>
      </c>
      <c r="H896" s="8">
        <v>0.1</v>
      </c>
      <c r="I896" s="8">
        <f t="shared" si="1"/>
        <v>425.92</v>
      </c>
      <c r="J896" s="8">
        <f t="shared" si="2"/>
        <v>-42.492</v>
      </c>
      <c r="K896" s="8" t="str">
        <f t="shared" si="3"/>
        <v>Dec</v>
      </c>
      <c r="L896" s="8">
        <f t="shared" si="4"/>
        <v>2026</v>
      </c>
      <c r="N896" s="8" t="str">
        <f t="array" ref="N896">XLOOKUP(C896,Customer_Dim!A:A,Customer_Dim!B:B,"Not Found")</f>
        <v>Melinda Thomas</v>
      </c>
      <c r="O896" s="8" t="str">
        <f t="array" ref="O896">XLOOKUP(C896,Customer_Dim!A:A,Customer_Dim!E:E,"Not Found")</f>
        <v>Lake Elizabethside</v>
      </c>
      <c r="P896" s="8" t="str">
        <f t="array" ref="P896">XLOOKUP(D896,Product_Dim!A:A,Product_Dim!B:B,"Not Found")</f>
        <v>Luxury Perfume Spray</v>
      </c>
      <c r="Q896" s="8" t="str">
        <f t="array" ref="Q896">XLOOKUP(D896,Product_Dim!A:A,Product_Dim!C:C,"Not Found")</f>
        <v>Beauty</v>
      </c>
      <c r="R896" s="8" t="str">
        <f t="array" ref="R896">XLOOKUP(E896,Store_Dim!A:A,Store_Dim!B:B,"Not Found")</f>
        <v>East</v>
      </c>
      <c r="S896" s="8" t="str">
        <f t="array" ref="S896">XLOOKUP(E896,Store_Dim!A:A,Store_Dim!D:D,"Not Found")</f>
        <v>Flagship</v>
      </c>
    </row>
    <row r="897" ht="14.25" customHeight="1">
      <c r="A897" s="8" t="s">
        <v>2850</v>
      </c>
      <c r="B897" s="12">
        <v>46375.0</v>
      </c>
      <c r="C897" s="8" t="s">
        <v>382</v>
      </c>
      <c r="D897" s="8" t="s">
        <v>1760</v>
      </c>
      <c r="E897" s="8" t="s">
        <v>1910</v>
      </c>
      <c r="F897" s="8">
        <v>1.0</v>
      </c>
      <c r="G897" s="8">
        <v>38.95</v>
      </c>
      <c r="H897" s="8">
        <v>0.28</v>
      </c>
      <c r="I897" s="8">
        <f t="shared" si="1"/>
        <v>38.95</v>
      </c>
      <c r="J897" s="8">
        <f t="shared" si="2"/>
        <v>-10.626</v>
      </c>
      <c r="K897" s="8" t="str">
        <f t="shared" si="3"/>
        <v>Dec</v>
      </c>
      <c r="L897" s="8">
        <f t="shared" si="4"/>
        <v>2026</v>
      </c>
      <c r="N897" s="8" t="str">
        <f t="array" ref="N897">XLOOKUP(C897,Customer_Dim!A:A,Customer_Dim!B:B,"Not Found")</f>
        <v>Lance Baker</v>
      </c>
      <c r="O897" s="8" t="str">
        <f t="array" ref="O897">XLOOKUP(C897,Customer_Dim!A:A,Customer_Dim!E:E,"Not Found")</f>
        <v>Port Victoria</v>
      </c>
      <c r="P897" s="8" t="str">
        <f t="array" ref="P897">XLOOKUP(D897,Product_Dim!A:A,Product_Dim!B:B,"Not Found")</f>
        <v>Foam Roller</v>
      </c>
      <c r="Q897" s="8" t="str">
        <f t="array" ref="Q897">XLOOKUP(D897,Product_Dim!A:A,Product_Dim!C:C,"Not Found")</f>
        <v>Sports</v>
      </c>
      <c r="R897" s="8" t="str">
        <f t="array" ref="R897">XLOOKUP(E897,Store_Dim!A:A,Store_Dim!B:B,"Not Found")</f>
        <v>North</v>
      </c>
      <c r="S897" s="8" t="str">
        <f t="array" ref="S897">XLOOKUP(E897,Store_Dim!A:A,Store_Dim!D:D,"Not Found")</f>
        <v>Outlet</v>
      </c>
    </row>
    <row r="898" ht="14.25" customHeight="1">
      <c r="A898" s="8" t="s">
        <v>2851</v>
      </c>
      <c r="B898" s="12">
        <v>46376.0</v>
      </c>
      <c r="C898" s="8" t="s">
        <v>1353</v>
      </c>
      <c r="D898" s="8" t="s">
        <v>1878</v>
      </c>
      <c r="E898" s="8" t="s">
        <v>1935</v>
      </c>
      <c r="F898" s="8">
        <v>1.0</v>
      </c>
      <c r="G898" s="8">
        <v>835.17</v>
      </c>
      <c r="H898" s="8">
        <v>0.02</v>
      </c>
      <c r="I898" s="8">
        <f t="shared" si="1"/>
        <v>835.17</v>
      </c>
      <c r="J898" s="8">
        <f t="shared" si="2"/>
        <v>-16.6834</v>
      </c>
      <c r="K898" s="8" t="str">
        <f t="shared" si="3"/>
        <v>Dec</v>
      </c>
      <c r="L898" s="8">
        <f t="shared" si="4"/>
        <v>2026</v>
      </c>
      <c r="N898" s="8" t="str">
        <f t="array" ref="N898">XLOOKUP(C898,Customer_Dim!A:A,Customer_Dim!B:B,"Not Found")</f>
        <v>John Smith</v>
      </c>
      <c r="O898" s="8" t="str">
        <f t="array" ref="O898">XLOOKUP(C898,Customer_Dim!A:A,Customer_Dim!E:E,"Not Found")</f>
        <v>South Andrewport</v>
      </c>
      <c r="P898" s="8" t="str">
        <f t="array" ref="P898">XLOOKUP(D898,Product_Dim!A:A,Product_Dim!B:B,"Not Found")</f>
        <v>Women's Formal Blazer</v>
      </c>
      <c r="Q898" s="8" t="str">
        <f t="array" ref="Q898">XLOOKUP(D898,Product_Dim!A:A,Product_Dim!C:C,"Not Found")</f>
        <v>Clothing</v>
      </c>
      <c r="R898" s="8" t="str">
        <f t="array" ref="R898">XLOOKUP(E898,Store_Dim!A:A,Store_Dim!B:B,"Not Found")</f>
        <v>West</v>
      </c>
      <c r="S898" s="8" t="str">
        <f t="array" ref="S898">XLOOKUP(E898,Store_Dim!A:A,Store_Dim!D:D,"Not Found")</f>
        <v>Flagship</v>
      </c>
    </row>
    <row r="899" ht="14.25" customHeight="1">
      <c r="A899" s="8" t="s">
        <v>2852</v>
      </c>
      <c r="B899" s="12">
        <v>46377.0</v>
      </c>
      <c r="C899" s="8" t="s">
        <v>470</v>
      </c>
      <c r="D899" s="8" t="s">
        <v>1839</v>
      </c>
      <c r="E899" s="8" t="s">
        <v>1910</v>
      </c>
      <c r="F899" s="8">
        <v>1.0</v>
      </c>
      <c r="G899" s="8">
        <v>113.07</v>
      </c>
      <c r="H899" s="8">
        <v>0.24</v>
      </c>
      <c r="I899" s="8">
        <f t="shared" si="1"/>
        <v>113.07</v>
      </c>
      <c r="J899" s="8">
        <f t="shared" si="2"/>
        <v>-26.8968</v>
      </c>
      <c r="K899" s="8" t="str">
        <f t="shared" si="3"/>
        <v>Dec</v>
      </c>
      <c r="L899" s="8">
        <f t="shared" si="4"/>
        <v>2026</v>
      </c>
      <c r="N899" s="8" t="str">
        <f t="array" ref="N899">XLOOKUP(C899,Customer_Dim!A:A,Customer_Dim!B:B,"Not Found")</f>
        <v>Morgan Bowen</v>
      </c>
      <c r="O899" s="8" t="str">
        <f t="array" ref="O899">XLOOKUP(C899,Customer_Dim!A:A,Customer_Dim!E:E,"Not Found")</f>
        <v>Parksfort</v>
      </c>
      <c r="P899" s="8" t="str">
        <f t="array" ref="P899">XLOOKUP(D899,Product_Dim!A:A,Product_Dim!B:B,"Not Found")</f>
        <v>Hydrating Face Cleanser</v>
      </c>
      <c r="Q899" s="8" t="str">
        <f t="array" ref="Q899">XLOOKUP(D899,Product_Dim!A:A,Product_Dim!C:C,"Not Found")</f>
        <v>Beauty</v>
      </c>
      <c r="R899" s="8" t="str">
        <f t="array" ref="R899">XLOOKUP(E899,Store_Dim!A:A,Store_Dim!B:B,"Not Found")</f>
        <v>North</v>
      </c>
      <c r="S899" s="8" t="str">
        <f t="array" ref="S899">XLOOKUP(E899,Store_Dim!A:A,Store_Dim!D:D,"Not Found")</f>
        <v>Outlet</v>
      </c>
    </row>
    <row r="900" ht="14.25" customHeight="1">
      <c r="A900" s="8" t="s">
        <v>2853</v>
      </c>
      <c r="B900" s="12">
        <v>46378.0</v>
      </c>
      <c r="C900" s="8" t="s">
        <v>1453</v>
      </c>
      <c r="D900" s="8" t="s">
        <v>1872</v>
      </c>
      <c r="E900" s="8" t="s">
        <v>1929</v>
      </c>
      <c r="F900" s="8">
        <v>2.0</v>
      </c>
      <c r="G900" s="8">
        <v>451.33</v>
      </c>
      <c r="H900" s="8">
        <v>0.23</v>
      </c>
      <c r="I900" s="8">
        <f t="shared" si="1"/>
        <v>902.66</v>
      </c>
      <c r="J900" s="8">
        <f t="shared" si="2"/>
        <v>-207.3818</v>
      </c>
      <c r="K900" s="8" t="str">
        <f t="shared" si="3"/>
        <v>Dec</v>
      </c>
      <c r="L900" s="8">
        <f t="shared" si="4"/>
        <v>2026</v>
      </c>
      <c r="N900" s="8" t="str">
        <f t="array" ref="N900">XLOOKUP(C900,Customer_Dim!A:A,Customer_Dim!B:B,"Not Found")</f>
        <v>Cynthia Parrish</v>
      </c>
      <c r="O900" s="8" t="str">
        <f t="array" ref="O900">XLOOKUP(C900,Customer_Dim!A:A,Customer_Dim!E:E,"Not Found")</f>
        <v>Espinozaberg</v>
      </c>
      <c r="P900" s="8" t="str">
        <f t="array" ref="P900">XLOOKUP(D900,Product_Dim!A:A,Product_Dim!B:B,"Not Found")</f>
        <v>Vitamin E Body Lotion</v>
      </c>
      <c r="Q900" s="8" t="str">
        <f t="array" ref="Q900">XLOOKUP(D900,Product_Dim!A:A,Product_Dim!C:C,"Not Found")</f>
        <v>Beauty</v>
      </c>
      <c r="R900" s="8" t="str">
        <f t="array" ref="R900">XLOOKUP(E900,Store_Dim!A:A,Store_Dim!B:B,"Not Found")</f>
        <v>North</v>
      </c>
      <c r="S900" s="8" t="str">
        <f t="array" ref="S900">XLOOKUP(E900,Store_Dim!A:A,Store_Dim!D:D,"Not Found")</f>
        <v>Online</v>
      </c>
    </row>
    <row r="901" ht="14.25" customHeight="1">
      <c r="A901" s="8" t="s">
        <v>2854</v>
      </c>
      <c r="B901" s="12">
        <v>46379.0</v>
      </c>
      <c r="C901" s="8" t="s">
        <v>1179</v>
      </c>
      <c r="D901" s="8" t="s">
        <v>1848</v>
      </c>
      <c r="E901" s="8" t="s">
        <v>1917</v>
      </c>
      <c r="F901" s="8">
        <v>3.0</v>
      </c>
      <c r="G901" s="8">
        <v>619.81</v>
      </c>
      <c r="H901" s="8">
        <v>0.16</v>
      </c>
      <c r="I901" s="8">
        <f t="shared" si="1"/>
        <v>1859.43</v>
      </c>
      <c r="J901" s="8">
        <f t="shared" si="2"/>
        <v>-297.3488</v>
      </c>
      <c r="K901" s="8" t="str">
        <f t="shared" si="3"/>
        <v>Dec</v>
      </c>
      <c r="L901" s="8">
        <f t="shared" si="4"/>
        <v>2026</v>
      </c>
      <c r="N901" s="8" t="str">
        <f t="array" ref="N901">XLOOKUP(C901,Customer_Dim!A:A,Customer_Dim!B:B,"Not Found")</f>
        <v>Jacqueline Anthony</v>
      </c>
      <c r="O901" s="8" t="str">
        <f t="array" ref="O901">XLOOKUP(C901,Customer_Dim!A:A,Customer_Dim!E:E,"Not Found")</f>
        <v>Vincentside</v>
      </c>
      <c r="P901" s="8" t="str">
        <f t="array" ref="P901">XLOOKUP(D901,Product_Dim!A:A,Product_Dim!B:B,"Not Found")</f>
        <v>Kitchen Cutting Board</v>
      </c>
      <c r="Q901" s="8" t="str">
        <f t="array" ref="Q901">XLOOKUP(D901,Product_Dim!A:A,Product_Dim!C:C,"Not Found")</f>
        <v>Home</v>
      </c>
      <c r="R901" s="8" t="str">
        <f t="array" ref="R901">XLOOKUP(E901,Store_Dim!A:A,Store_Dim!B:B,"Not Found")</f>
        <v>East</v>
      </c>
      <c r="S901" s="8" t="str">
        <f t="array" ref="S901">XLOOKUP(E901,Store_Dim!A:A,Store_Dim!D:D,"Not Found")</f>
        <v>Online</v>
      </c>
    </row>
    <row r="902" ht="14.25" customHeight="1">
      <c r="A902" s="8" t="s">
        <v>2855</v>
      </c>
      <c r="B902" s="12">
        <v>46380.0</v>
      </c>
      <c r="C902" s="8" t="s">
        <v>391</v>
      </c>
      <c r="D902" s="8" t="s">
        <v>1775</v>
      </c>
      <c r="E902" s="8" t="s">
        <v>1919</v>
      </c>
      <c r="F902" s="8">
        <v>4.0</v>
      </c>
      <c r="G902" s="8">
        <v>46.97</v>
      </c>
      <c r="H902" s="8">
        <v>0.26</v>
      </c>
      <c r="I902" s="8">
        <f t="shared" si="1"/>
        <v>187.88</v>
      </c>
      <c r="J902" s="8">
        <f t="shared" si="2"/>
        <v>-48.5888</v>
      </c>
      <c r="K902" s="8" t="str">
        <f t="shared" si="3"/>
        <v>Dec</v>
      </c>
      <c r="L902" s="8">
        <f t="shared" si="4"/>
        <v>2026</v>
      </c>
      <c r="N902" s="8" t="str">
        <f t="array" ref="N902">XLOOKUP(C902,Customer_Dim!A:A,Customer_Dim!B:B,"Not Found")</f>
        <v>Travis Holland</v>
      </c>
      <c r="O902" s="8" t="str">
        <f t="array" ref="O902">XLOOKUP(C902,Customer_Dim!A:A,Customer_Dim!E:E,"Not Found")</f>
        <v>Webstermouth</v>
      </c>
      <c r="P902" s="8" t="str">
        <f t="array" ref="P902">XLOOKUP(D902,Product_Dim!A:A,Product_Dim!B:B,"Not Found")</f>
        <v>Laptop Cooling Pad</v>
      </c>
      <c r="Q902" s="8" t="str">
        <f t="array" ref="Q902">XLOOKUP(D902,Product_Dim!A:A,Product_Dim!C:C,"Not Found")</f>
        <v>Electronics</v>
      </c>
      <c r="R902" s="8" t="str">
        <f t="array" ref="R902">XLOOKUP(E902,Store_Dim!A:A,Store_Dim!B:B,"Not Found")</f>
        <v>South</v>
      </c>
      <c r="S902" s="8" t="str">
        <f t="array" ref="S902">XLOOKUP(E902,Store_Dim!A:A,Store_Dim!D:D,"Not Found")</f>
        <v>Online</v>
      </c>
    </row>
    <row r="903" ht="14.25" customHeight="1">
      <c r="A903" s="8" t="s">
        <v>2856</v>
      </c>
      <c r="B903" s="12">
        <v>46381.0</v>
      </c>
      <c r="C903" s="8" t="s">
        <v>619</v>
      </c>
      <c r="D903" s="8" t="s">
        <v>1725</v>
      </c>
      <c r="E903" s="8" t="s">
        <v>1906</v>
      </c>
      <c r="F903" s="8">
        <v>2.0</v>
      </c>
      <c r="G903" s="8">
        <v>71.48</v>
      </c>
      <c r="H903" s="8">
        <v>0.14</v>
      </c>
      <c r="I903" s="8">
        <f t="shared" si="1"/>
        <v>142.96</v>
      </c>
      <c r="J903" s="8">
        <f t="shared" si="2"/>
        <v>-19.8744</v>
      </c>
      <c r="K903" s="8" t="str">
        <f t="shared" si="3"/>
        <v>Dec</v>
      </c>
      <c r="L903" s="8">
        <f t="shared" si="4"/>
        <v>2026</v>
      </c>
      <c r="N903" s="8" t="str">
        <f t="array" ref="N903">XLOOKUP(C903,Customer_Dim!A:A,Customer_Dim!B:B,"Not Found")</f>
        <v>Leonard Cochran</v>
      </c>
      <c r="O903" s="8" t="str">
        <f t="array" ref="O903">XLOOKUP(C903,Customer_Dim!A:A,Customer_Dim!E:E,"Not Found")</f>
        <v>Port Sherryview</v>
      </c>
      <c r="P903" s="8" t="str">
        <f t="array" ref="P903">XLOOKUP(D903,Product_Dim!A:A,Product_Dim!B:B,"Not Found")</f>
        <v>Men's Winter Jacket</v>
      </c>
      <c r="Q903" s="8" t="str">
        <f t="array" ref="Q903">XLOOKUP(D903,Product_Dim!A:A,Product_Dim!C:C,"Not Found")</f>
        <v>Clothing</v>
      </c>
      <c r="R903" s="8" t="str">
        <f t="array" ref="R903">XLOOKUP(E903,Store_Dim!A:A,Store_Dim!B:B,"Not Found")</f>
        <v>South</v>
      </c>
      <c r="S903" s="8" t="str">
        <f t="array" ref="S903">XLOOKUP(E903,Store_Dim!A:A,Store_Dim!D:D,"Not Found")</f>
        <v>Outlet</v>
      </c>
    </row>
    <row r="904" ht="14.25" customHeight="1">
      <c r="A904" s="8" t="s">
        <v>2857</v>
      </c>
      <c r="B904" s="12">
        <v>46382.0</v>
      </c>
      <c r="C904" s="8" t="s">
        <v>14</v>
      </c>
      <c r="D904" s="8" t="s">
        <v>1757</v>
      </c>
      <c r="E904" s="8" t="s">
        <v>1941</v>
      </c>
      <c r="F904" s="8">
        <v>2.0</v>
      </c>
      <c r="G904" s="8">
        <v>404.08</v>
      </c>
      <c r="H904" s="8">
        <v>0.07</v>
      </c>
      <c r="I904" s="8">
        <f t="shared" si="1"/>
        <v>808.16</v>
      </c>
      <c r="J904" s="8">
        <f t="shared" si="2"/>
        <v>-56.5012</v>
      </c>
      <c r="K904" s="8" t="str">
        <f t="shared" si="3"/>
        <v>Dec</v>
      </c>
      <c r="L904" s="8">
        <f t="shared" si="4"/>
        <v>2026</v>
      </c>
      <c r="N904" s="8" t="str">
        <f t="array" ref="N904">XLOOKUP(C904,Customer_Dim!A:A,Customer_Dim!B:B,"Not Found")</f>
        <v>  sheena bonilla  </v>
      </c>
      <c r="O904" s="8" t="str">
        <f t="array" ref="O904">XLOOKUP(C904,Customer_Dim!A:A,Customer_Dim!E:E,"Not Found")</f>
        <v>Donaldton</v>
      </c>
      <c r="P904" s="8" t="str">
        <f t="array" ref="P904">XLOOKUP(D904,Product_Dim!A:A,Product_Dim!B:B,"Not Found")</f>
        <v>Premium Blanket Throw</v>
      </c>
      <c r="Q904" s="8" t="str">
        <f t="array" ref="Q904">XLOOKUP(D904,Product_Dim!A:A,Product_Dim!C:C,"Not Found")</f>
        <v>Home</v>
      </c>
      <c r="R904" s="8" t="str">
        <f t="array" ref="R904">XLOOKUP(E904,Store_Dim!A:A,Store_Dim!B:B,"Not Found")</f>
        <v>East</v>
      </c>
      <c r="S904" s="8" t="str">
        <f t="array" ref="S904">XLOOKUP(E904,Store_Dim!A:A,Store_Dim!D:D,"Not Found")</f>
        <v>Online</v>
      </c>
    </row>
    <row r="905" ht="14.25" customHeight="1">
      <c r="A905" s="8" t="s">
        <v>2858</v>
      </c>
      <c r="B905" s="12">
        <v>46383.0</v>
      </c>
      <c r="C905" s="8" t="s">
        <v>857</v>
      </c>
      <c r="D905" s="8" t="s">
        <v>1632</v>
      </c>
      <c r="E905" s="8" t="s">
        <v>1935</v>
      </c>
      <c r="F905" s="8">
        <v>1.0</v>
      </c>
      <c r="G905" s="8">
        <v>519.91</v>
      </c>
      <c r="H905" s="8">
        <v>0.05</v>
      </c>
      <c r="I905" s="8">
        <f t="shared" si="1"/>
        <v>519.91</v>
      </c>
      <c r="J905" s="8">
        <f t="shared" si="2"/>
        <v>-25.9455</v>
      </c>
      <c r="K905" s="8" t="str">
        <f t="shared" si="3"/>
        <v>Dec</v>
      </c>
      <c r="L905" s="8">
        <f t="shared" si="4"/>
        <v>2026</v>
      </c>
      <c r="N905" s="8" t="str">
        <f t="array" ref="N905">XLOOKUP(C905,Customer_Dim!A:A,Customer_Dim!B:B,"Not Found")</f>
        <v>Matthew Payne</v>
      </c>
      <c r="O905" s="8" t="str">
        <f t="array" ref="O905">XLOOKUP(C905,Customer_Dim!A:A,Customer_Dim!E:E,"Not Found")</f>
        <v>Grahamfurt</v>
      </c>
      <c r="P905" s="8" t="str">
        <f t="array" ref="P905">XLOOKUP(D905,Product_Dim!A:A,Product_Dim!B:B,"Not Found")</f>
        <v>Soccer Training Cone Set</v>
      </c>
      <c r="Q905" s="8" t="str">
        <f t="array" ref="Q905">XLOOKUP(D905,Product_Dim!A:A,Product_Dim!C:C,"Not Found")</f>
        <v>Sports</v>
      </c>
      <c r="R905" s="8" t="str">
        <f t="array" ref="R905">XLOOKUP(E905,Store_Dim!A:A,Store_Dim!B:B,"Not Found")</f>
        <v>West</v>
      </c>
      <c r="S905" s="8" t="str">
        <f t="array" ref="S905">XLOOKUP(E905,Store_Dim!A:A,Store_Dim!D:D,"Not Found")</f>
        <v>Flagship</v>
      </c>
    </row>
    <row r="906" ht="14.25" customHeight="1">
      <c r="A906" s="8" t="s">
        <v>2859</v>
      </c>
      <c r="B906" s="12">
        <v>46384.0</v>
      </c>
      <c r="C906" s="8" t="s">
        <v>502</v>
      </c>
      <c r="D906" s="8" t="s">
        <v>1732</v>
      </c>
      <c r="E906" s="8" t="s">
        <v>1931</v>
      </c>
      <c r="F906" s="8">
        <v>3.0</v>
      </c>
      <c r="G906" s="8">
        <v>566.16</v>
      </c>
      <c r="H906" s="8">
        <v>0.05</v>
      </c>
      <c r="I906" s="8">
        <f t="shared" si="1"/>
        <v>1698.48</v>
      </c>
      <c r="J906" s="8">
        <f t="shared" si="2"/>
        <v>-84.874</v>
      </c>
      <c r="K906" s="8" t="str">
        <f t="shared" si="3"/>
        <v>Dec</v>
      </c>
      <c r="L906" s="8">
        <f t="shared" si="4"/>
        <v>2026</v>
      </c>
      <c r="N906" s="8" t="str">
        <f t="array" ref="N906">XLOOKUP(C906,Customer_Dim!A:A,Customer_Dim!B:B,"Not Found")</f>
        <v>Cameron Simpson</v>
      </c>
      <c r="O906" s="8" t="str">
        <f t="array" ref="O906">XLOOKUP(C906,Customer_Dim!A:A,Customer_Dim!E:E,"Not Found")</f>
        <v>Michaelfort</v>
      </c>
      <c r="P906" s="8" t="str">
        <f t="array" ref="P906">XLOOKUP(D906,Product_Dim!A:A,Product_Dim!B:B,"Not Found")</f>
        <v>Car Dashboard Phone Holder</v>
      </c>
      <c r="Q906" s="8" t="str">
        <f t="array" ref="Q906">XLOOKUP(D906,Product_Dim!A:A,Product_Dim!C:C,"Not Found")</f>
        <v>Electronics</v>
      </c>
      <c r="R906" s="8" t="str">
        <f t="array" ref="R906">XLOOKUP(E906,Store_Dim!A:A,Store_Dim!B:B,"Not Found")</f>
        <v>East</v>
      </c>
      <c r="S906" s="8" t="str">
        <f t="array" ref="S906">XLOOKUP(E906,Store_Dim!A:A,Store_Dim!D:D,"Not Found")</f>
        <v>Flagship</v>
      </c>
    </row>
    <row r="907" ht="14.25" customHeight="1">
      <c r="A907" s="8" t="s">
        <v>2860</v>
      </c>
      <c r="B907" s="12">
        <v>46385.0</v>
      </c>
      <c r="C907" s="8" t="s">
        <v>1239</v>
      </c>
      <c r="D907" s="8" t="s">
        <v>1745</v>
      </c>
      <c r="E907" s="8" t="s">
        <v>1926</v>
      </c>
      <c r="F907" s="8">
        <v>2.0</v>
      </c>
      <c r="G907" s="8">
        <v>295.12</v>
      </c>
      <c r="H907" s="8">
        <v>0.09</v>
      </c>
      <c r="I907" s="8">
        <f t="shared" si="1"/>
        <v>590.24</v>
      </c>
      <c r="J907" s="8">
        <f t="shared" si="2"/>
        <v>-53.0316</v>
      </c>
      <c r="K907" s="8" t="str">
        <f t="shared" si="3"/>
        <v>Dec</v>
      </c>
      <c r="L907" s="8">
        <f t="shared" si="4"/>
        <v>2026</v>
      </c>
      <c r="N907" s="8" t="str">
        <f t="array" ref="N907">XLOOKUP(C907,Customer_Dim!A:A,Customer_Dim!B:B,"Not Found")</f>
        <v>Jacqueline Payne</v>
      </c>
      <c r="O907" s="8" t="str">
        <f t="array" ref="O907">XLOOKUP(C907,Customer_Dim!A:A,Customer_Dim!E:E,"Not Found")</f>
        <v>Gutierrezstad</v>
      </c>
      <c r="P907" s="8" t="str">
        <f t="array" ref="P907">XLOOKUP(D907,Product_Dim!A:A,Product_Dim!B:B,"Not Found")</f>
        <v>Rugby Ball</v>
      </c>
      <c r="Q907" s="8" t="str">
        <f t="array" ref="Q907">XLOOKUP(D907,Product_Dim!A:A,Product_Dim!C:C,"Not Found")</f>
        <v>Sports</v>
      </c>
      <c r="R907" s="8" t="str">
        <f t="array" ref="R907">XLOOKUP(E907,Store_Dim!A:A,Store_Dim!B:B,"Not Found")</f>
        <v>East</v>
      </c>
      <c r="S907" s="8" t="str">
        <f t="array" ref="S907">XLOOKUP(E907,Store_Dim!A:A,Store_Dim!D:D,"Not Found")</f>
        <v>Online</v>
      </c>
    </row>
    <row r="908" ht="14.25" customHeight="1">
      <c r="A908" s="8" t="s">
        <v>2861</v>
      </c>
      <c r="B908" s="12">
        <v>46386.0</v>
      </c>
      <c r="C908" s="8" t="s">
        <v>394</v>
      </c>
      <c r="D908" s="8" t="s">
        <v>1687</v>
      </c>
      <c r="E908" s="8" t="s">
        <v>1928</v>
      </c>
      <c r="F908" s="8">
        <v>2.0</v>
      </c>
      <c r="G908" s="8">
        <v>414.18</v>
      </c>
      <c r="H908" s="8">
        <v>0.25</v>
      </c>
      <c r="I908" s="8">
        <f t="shared" si="1"/>
        <v>828.36</v>
      </c>
      <c r="J908" s="8">
        <f t="shared" si="2"/>
        <v>-206.84</v>
      </c>
      <c r="K908" s="8" t="str">
        <f t="shared" si="3"/>
        <v>Dec</v>
      </c>
      <c r="L908" s="8">
        <f t="shared" si="4"/>
        <v>2026</v>
      </c>
      <c r="N908" s="8" t="str">
        <f t="array" ref="N908">XLOOKUP(C908,Customer_Dim!A:A,Customer_Dim!B:B,"Not Found")</f>
        <v>Amy Walker</v>
      </c>
      <c r="O908" s="8" t="str">
        <f t="array" ref="O908">XLOOKUP(C908,Customer_Dim!A:A,Customer_Dim!E:E,"Not Found")</f>
        <v>Smithland</v>
      </c>
      <c r="P908" s="8" t="str">
        <f t="array" ref="P908">XLOOKUP(D908,Product_Dim!A:A,Product_Dim!B:B,"Not Found")</f>
        <v>Gaming Mechanical Keyboard</v>
      </c>
      <c r="Q908" s="8" t="str">
        <f t="array" ref="Q908">XLOOKUP(D908,Product_Dim!A:A,Product_Dim!C:C,"Not Found")</f>
        <v>Electronics</v>
      </c>
      <c r="R908" s="8" t="str">
        <f t="array" ref="R908">XLOOKUP(E908,Store_Dim!A:A,Store_Dim!B:B,"Not Found")</f>
        <v>South</v>
      </c>
      <c r="S908" s="8" t="str">
        <f t="array" ref="S908">XLOOKUP(E908,Store_Dim!A:A,Store_Dim!D:D,"Not Found")</f>
        <v>Online</v>
      </c>
    </row>
    <row r="909" ht="14.25" customHeight="1">
      <c r="A909" s="8" t="s">
        <v>2862</v>
      </c>
      <c r="B909" s="12">
        <v>46387.0</v>
      </c>
      <c r="C909" s="8" t="s">
        <v>869</v>
      </c>
      <c r="D909" s="8" t="s">
        <v>1763</v>
      </c>
      <c r="E909" s="8" t="s">
        <v>1921</v>
      </c>
      <c r="F909" s="8">
        <v>2.0</v>
      </c>
      <c r="G909" s="8">
        <v>433.75</v>
      </c>
      <c r="H909" s="8">
        <v>0.0</v>
      </c>
      <c r="I909" s="8">
        <f t="shared" si="1"/>
        <v>867.5</v>
      </c>
      <c r="J909" s="8">
        <f t="shared" si="2"/>
        <v>0</v>
      </c>
      <c r="K909" s="8" t="str">
        <f t="shared" si="3"/>
        <v>Dec</v>
      </c>
      <c r="L909" s="8">
        <f t="shared" si="4"/>
        <v>2026</v>
      </c>
      <c r="N909" s="8" t="str">
        <f t="array" ref="N909">XLOOKUP(C909,Customer_Dim!A:A,Customer_Dim!B:B,"Not Found")</f>
        <v>Kevin Orr</v>
      </c>
      <c r="O909" s="8" t="str">
        <f t="array" ref="O909">XLOOKUP(C909,Customer_Dim!A:A,Customer_Dim!E:E,"Not Found")</f>
        <v>Ryanberg</v>
      </c>
      <c r="P909" s="8" t="str">
        <f t="array" ref="P909">XLOOKUP(D909,Product_Dim!A:A,Product_Dim!B:B,"Not Found")</f>
        <v>Womens Cotton Scarf</v>
      </c>
      <c r="Q909" s="8" t="str">
        <f t="array" ref="Q909">XLOOKUP(D909,Product_Dim!A:A,Product_Dim!C:C,"Not Found")</f>
        <v>Clothing</v>
      </c>
      <c r="R909" s="8" t="str">
        <f t="array" ref="R909">XLOOKUP(E909,Store_Dim!A:A,Store_Dim!B:B,"Not Found")</f>
        <v>West</v>
      </c>
      <c r="S909" s="8" t="str">
        <f t="array" ref="S909">XLOOKUP(E909,Store_Dim!A:A,Store_Dim!D:D,"Not Found")</f>
        <v>Online</v>
      </c>
    </row>
    <row r="910" ht="14.25" customHeight="1">
      <c r="A910" s="8" t="s">
        <v>2863</v>
      </c>
      <c r="B910" s="12">
        <v>46388.0</v>
      </c>
      <c r="C910" s="8" t="s">
        <v>908</v>
      </c>
      <c r="D910" s="8" t="s">
        <v>1845</v>
      </c>
      <c r="E910" s="8" t="s">
        <v>1941</v>
      </c>
      <c r="F910" s="8">
        <v>3.0</v>
      </c>
      <c r="G910" s="8">
        <v>104.33</v>
      </c>
      <c r="H910" s="8">
        <v>0.13</v>
      </c>
      <c r="I910" s="8">
        <f t="shared" si="1"/>
        <v>312.99</v>
      </c>
      <c r="J910" s="8">
        <f t="shared" si="2"/>
        <v>-40.5587</v>
      </c>
      <c r="K910" s="8" t="str">
        <f t="shared" si="3"/>
        <v>Jan</v>
      </c>
      <c r="L910" s="8">
        <f t="shared" si="4"/>
        <v>2027</v>
      </c>
      <c r="N910" s="8" t="str">
        <f t="array" ref="N910">XLOOKUP(C910,Customer_Dim!A:A,Customer_Dim!B:B,"Not Found")</f>
        <v>Brittany Watson</v>
      </c>
      <c r="O910" s="8" t="str">
        <f t="array" ref="O910">XLOOKUP(C910,Customer_Dim!A:A,Customer_Dim!E:E,"Not Found")</f>
        <v>North Joshualand</v>
      </c>
      <c r="P910" s="8" t="str">
        <f t="array" ref="P910">XLOOKUP(D910,Product_Dim!A:A,Product_Dim!B:B,"Not Found")</f>
        <v>Women's Beanie Hat</v>
      </c>
      <c r="Q910" s="8" t="str">
        <f t="array" ref="Q910">XLOOKUP(D910,Product_Dim!A:A,Product_Dim!C:C,"Not Found")</f>
        <v>Clothing</v>
      </c>
      <c r="R910" s="8" t="str">
        <f t="array" ref="R910">XLOOKUP(E910,Store_Dim!A:A,Store_Dim!B:B,"Not Found")</f>
        <v>East</v>
      </c>
      <c r="S910" s="8" t="str">
        <f t="array" ref="S910">XLOOKUP(E910,Store_Dim!A:A,Store_Dim!D:D,"Not Found")</f>
        <v>Online</v>
      </c>
    </row>
    <row r="911" ht="14.25" customHeight="1">
      <c r="A911" s="8" t="s">
        <v>2864</v>
      </c>
      <c r="B911" s="12">
        <v>46389.0</v>
      </c>
      <c r="C911" s="8" t="s">
        <v>1447</v>
      </c>
      <c r="D911" s="8" t="s">
        <v>1579</v>
      </c>
      <c r="E911" s="8" t="s">
        <v>1929</v>
      </c>
      <c r="F911" s="8">
        <v>1.0</v>
      </c>
      <c r="G911" s="8">
        <v>221.7</v>
      </c>
      <c r="H911" s="8">
        <v>0.04</v>
      </c>
      <c r="I911" s="8">
        <f t="shared" si="1"/>
        <v>221.7</v>
      </c>
      <c r="J911" s="8">
        <f t="shared" si="2"/>
        <v>-8.828</v>
      </c>
      <c r="K911" s="8" t="str">
        <f t="shared" si="3"/>
        <v>Jan</v>
      </c>
      <c r="L911" s="8">
        <f t="shared" si="4"/>
        <v>2027</v>
      </c>
      <c r="N911" s="8" t="str">
        <f t="array" ref="N911">XLOOKUP(C911,Customer_Dim!A:A,Customer_Dim!B:B,"Not Found")</f>
        <v>David Pierce</v>
      </c>
      <c r="O911" s="8" t="str">
        <f t="array" ref="O911">XLOOKUP(C911,Customer_Dim!A:A,Customer_Dim!E:E,"Not Found")</f>
        <v>Grayland</v>
      </c>
      <c r="P911" s="8" t="str">
        <f t="array" ref="P911">XLOOKUP(D911,Product_Dim!A:A,Product_Dim!B:B,"Not Found")</f>
        <v>Women's Yoga Pants</v>
      </c>
      <c r="Q911" s="8" t="str">
        <f t="array" ref="Q911">XLOOKUP(D911,Product_Dim!A:A,Product_Dim!C:C,"Not Found")</f>
        <v>Clothing</v>
      </c>
      <c r="R911" s="8" t="str">
        <f t="array" ref="R911">XLOOKUP(E911,Store_Dim!A:A,Store_Dim!B:B,"Not Found")</f>
        <v>North</v>
      </c>
      <c r="S911" s="8" t="str">
        <f t="array" ref="S911">XLOOKUP(E911,Store_Dim!A:A,Store_Dim!D:D,"Not Found")</f>
        <v>Online</v>
      </c>
    </row>
    <row r="912" ht="14.25" customHeight="1">
      <c r="A912" s="8" t="s">
        <v>2865</v>
      </c>
      <c r="B912" s="12">
        <v>46390.0</v>
      </c>
      <c r="C912" s="8" t="s">
        <v>699</v>
      </c>
      <c r="D912" s="8" t="s">
        <v>1790</v>
      </c>
      <c r="E912" s="8" t="s">
        <v>1915</v>
      </c>
      <c r="F912" s="8">
        <v>2.0</v>
      </c>
      <c r="G912" s="8">
        <v>491.26</v>
      </c>
      <c r="H912" s="8">
        <v>0.14</v>
      </c>
      <c r="I912" s="8">
        <f t="shared" si="1"/>
        <v>982.52</v>
      </c>
      <c r="J912" s="8">
        <f t="shared" si="2"/>
        <v>-137.4128</v>
      </c>
      <c r="K912" s="8" t="str">
        <f t="shared" si="3"/>
        <v>Jan</v>
      </c>
      <c r="L912" s="8">
        <f t="shared" si="4"/>
        <v>2027</v>
      </c>
      <c r="N912" s="8" t="str">
        <f t="array" ref="N912">XLOOKUP(C912,Customer_Dim!A:A,Customer_Dim!B:B,"Not Found")</f>
        <v>Rodney Huffman</v>
      </c>
      <c r="O912" s="8" t="str">
        <f t="array" ref="O912">XLOOKUP(C912,Customer_Dim!A:A,Customer_Dim!E:E,"Not Found")</f>
        <v>Garzafort</v>
      </c>
      <c r="P912" s="8" t="str">
        <f t="array" ref="P912">XLOOKUP(D912,Product_Dim!A:A,Product_Dim!B:B,"Not Found")</f>
        <v>Smart LED Light Strip</v>
      </c>
      <c r="Q912" s="8" t="str">
        <f t="array" ref="Q912">XLOOKUP(D912,Product_Dim!A:A,Product_Dim!C:C,"Not Found")</f>
        <v>Electronics</v>
      </c>
      <c r="R912" s="8" t="str">
        <f t="array" ref="R912">XLOOKUP(E912,Store_Dim!A:A,Store_Dim!B:B,"Not Found")</f>
        <v>North</v>
      </c>
      <c r="S912" s="8" t="str">
        <f t="array" ref="S912">XLOOKUP(E912,Store_Dim!A:A,Store_Dim!D:D,"Not Found")</f>
        <v>Outlet</v>
      </c>
    </row>
    <row r="913" ht="14.25" customHeight="1">
      <c r="A913" s="8" t="s">
        <v>2866</v>
      </c>
      <c r="B913" s="12">
        <v>46391.0</v>
      </c>
      <c r="C913" s="8" t="s">
        <v>610</v>
      </c>
      <c r="D913" s="8" t="s">
        <v>1696</v>
      </c>
      <c r="E913" s="8" t="s">
        <v>1921</v>
      </c>
      <c r="F913" s="8">
        <v>4.0</v>
      </c>
      <c r="G913" s="8">
        <v>923.14</v>
      </c>
      <c r="H913" s="8">
        <v>0.15</v>
      </c>
      <c r="I913" s="8">
        <f t="shared" si="1"/>
        <v>3692.56</v>
      </c>
      <c r="J913" s="8">
        <f t="shared" si="2"/>
        <v>-553.734</v>
      </c>
      <c r="K913" s="8" t="str">
        <f t="shared" si="3"/>
        <v>Jan</v>
      </c>
      <c r="L913" s="8">
        <f t="shared" si="4"/>
        <v>2027</v>
      </c>
      <c r="N913" s="8" t="str">
        <f t="array" ref="N913">XLOOKUP(C913,Customer_Dim!A:A,Customer_Dim!B:B,"Not Found")</f>
        <v>Erin Ward</v>
      </c>
      <c r="O913" s="8" t="str">
        <f t="array" ref="O913">XLOOKUP(C913,Customer_Dim!A:A,Customer_Dim!E:E,"Not Found")</f>
        <v>New Brianchester</v>
      </c>
      <c r="P913" s="8" t="str">
        <f t="array" ref="P913">XLOOKUP(D913,Product_Dim!A:A,Product_Dim!B:B,"Not Found")</f>
        <v>Men's Casual Sneakers</v>
      </c>
      <c r="Q913" s="8" t="str">
        <f t="array" ref="Q913">XLOOKUP(D913,Product_Dim!A:A,Product_Dim!C:C,"Not Found")</f>
        <v>Clothing</v>
      </c>
      <c r="R913" s="8" t="str">
        <f t="array" ref="R913">XLOOKUP(E913,Store_Dim!A:A,Store_Dim!B:B,"Not Found")</f>
        <v>West</v>
      </c>
      <c r="S913" s="8" t="str">
        <f t="array" ref="S913">XLOOKUP(E913,Store_Dim!A:A,Store_Dim!D:D,"Not Found")</f>
        <v>Online</v>
      </c>
    </row>
    <row r="914" ht="14.25" customHeight="1">
      <c r="A914" s="8" t="s">
        <v>2867</v>
      </c>
      <c r="B914" s="12">
        <v>46392.0</v>
      </c>
      <c r="C914" s="8" t="s">
        <v>646</v>
      </c>
      <c r="D914" s="8" t="s">
        <v>1781</v>
      </c>
      <c r="E914" s="8" t="s">
        <v>1919</v>
      </c>
      <c r="F914" s="8">
        <v>2.0</v>
      </c>
      <c r="G914" s="8">
        <v>747.65</v>
      </c>
      <c r="H914" s="8">
        <v>0.08</v>
      </c>
      <c r="I914" s="8">
        <f t="shared" si="1"/>
        <v>1495.3</v>
      </c>
      <c r="J914" s="8">
        <f t="shared" si="2"/>
        <v>-119.544</v>
      </c>
      <c r="K914" s="8" t="str">
        <f t="shared" si="3"/>
        <v>Jan</v>
      </c>
      <c r="L914" s="8">
        <f t="shared" si="4"/>
        <v>2027</v>
      </c>
      <c r="N914" s="8" t="str">
        <f t="array" ref="N914">XLOOKUP(C914,Customer_Dim!A:A,Customer_Dim!B:B,"Not Found")</f>
        <v>David Roberts</v>
      </c>
      <c r="O914" s="8" t="str">
        <f t="array" ref="O914">XLOOKUP(C914,Customer_Dim!A:A,Customer_Dim!E:E,"Not Found")</f>
        <v>Port Amanda</v>
      </c>
      <c r="P914" s="8" t="str">
        <f t="array" ref="P914">XLOOKUP(D914,Product_Dim!A:A,Product_Dim!B:B,"Not Found")</f>
        <v>Matte Lipstick Set</v>
      </c>
      <c r="Q914" s="8" t="str">
        <f t="array" ref="Q914">XLOOKUP(D914,Product_Dim!A:A,Product_Dim!C:C,"Not Found")</f>
        <v>Beauty</v>
      </c>
      <c r="R914" s="8" t="str">
        <f t="array" ref="R914">XLOOKUP(E914,Store_Dim!A:A,Store_Dim!B:B,"Not Found")</f>
        <v>South</v>
      </c>
      <c r="S914" s="8" t="str">
        <f t="array" ref="S914">XLOOKUP(E914,Store_Dim!A:A,Store_Dim!D:D,"Not Found")</f>
        <v>Online</v>
      </c>
    </row>
    <row r="915" ht="14.25" customHeight="1">
      <c r="A915" s="8" t="s">
        <v>2868</v>
      </c>
      <c r="B915" s="12">
        <v>46393.0</v>
      </c>
      <c r="C915" s="8" t="s">
        <v>394</v>
      </c>
      <c r="D915" s="8" t="s">
        <v>1713</v>
      </c>
      <c r="E915" s="8" t="s">
        <v>1919</v>
      </c>
      <c r="F915" s="8">
        <v>3.0</v>
      </c>
      <c r="G915" s="8">
        <v>94.55</v>
      </c>
      <c r="H915" s="8">
        <v>0.13</v>
      </c>
      <c r="I915" s="8">
        <f t="shared" si="1"/>
        <v>283.65</v>
      </c>
      <c r="J915" s="8">
        <f t="shared" si="2"/>
        <v>-36.7445</v>
      </c>
      <c r="K915" s="8" t="str">
        <f t="shared" si="3"/>
        <v>Jan</v>
      </c>
      <c r="L915" s="8">
        <f t="shared" si="4"/>
        <v>2027</v>
      </c>
      <c r="N915" s="8" t="str">
        <f t="array" ref="N915">XLOOKUP(C915,Customer_Dim!A:A,Customer_Dim!B:B,"Not Found")</f>
        <v>Amy Walker</v>
      </c>
      <c r="O915" s="8" t="str">
        <f t="array" ref="O915">XLOOKUP(C915,Customer_Dim!A:A,Customer_Dim!E:E,"Not Found")</f>
        <v>Smithland</v>
      </c>
      <c r="P915" s="8" t="str">
        <f t="array" ref="P915">XLOOKUP(D915,Product_Dim!A:A,Product_Dim!B:B,"Not Found")</f>
        <v>Smart Home WiFi Camera</v>
      </c>
      <c r="Q915" s="8" t="str">
        <f t="array" ref="Q915">XLOOKUP(D915,Product_Dim!A:A,Product_Dim!C:C,"Not Found")</f>
        <v>Electronics</v>
      </c>
      <c r="R915" s="8" t="str">
        <f t="array" ref="R915">XLOOKUP(E915,Store_Dim!A:A,Store_Dim!B:B,"Not Found")</f>
        <v>South</v>
      </c>
      <c r="S915" s="8" t="str">
        <f t="array" ref="S915">XLOOKUP(E915,Store_Dim!A:A,Store_Dim!D:D,"Not Found")</f>
        <v>Online</v>
      </c>
    </row>
    <row r="916" ht="14.25" customHeight="1">
      <c r="A916" s="8" t="s">
        <v>2869</v>
      </c>
      <c r="B916" s="12">
        <v>46394.0</v>
      </c>
      <c r="C916" s="8" t="s">
        <v>163</v>
      </c>
      <c r="D916" s="8" t="s">
        <v>1624</v>
      </c>
      <c r="E916" s="8" t="s">
        <v>1941</v>
      </c>
      <c r="F916" s="8">
        <v>3.0</v>
      </c>
      <c r="G916" s="8">
        <v>620.12</v>
      </c>
      <c r="H916" s="8">
        <v>0.06</v>
      </c>
      <c r="I916" s="8">
        <f t="shared" si="1"/>
        <v>1860.36</v>
      </c>
      <c r="J916" s="8">
        <f t="shared" si="2"/>
        <v>-111.5616</v>
      </c>
      <c r="K916" s="8" t="str">
        <f t="shared" si="3"/>
        <v>Jan</v>
      </c>
      <c r="L916" s="8">
        <f t="shared" si="4"/>
        <v>2027</v>
      </c>
      <c r="N916" s="8" t="str">
        <f t="array" ref="N916">XLOOKUP(C916,Customer_Dim!A:A,Customer_Dim!B:B,"Not Found")</f>
        <v>Tonya Reynolds</v>
      </c>
      <c r="O916" s="8" t="str">
        <f t="array" ref="O916">XLOOKUP(C916,Customer_Dim!A:A,Customer_Dim!E:E,"Not Found")</f>
        <v>Darleneton</v>
      </c>
      <c r="P916" s="8" t="str">
        <f t="array" ref="P916">XLOOKUP(D916,Product_Dim!A:A,Product_Dim!B:B,"Not Found")</f>
        <v>4K Home Projector</v>
      </c>
      <c r="Q916" s="8" t="str">
        <f t="array" ref="Q916">XLOOKUP(D916,Product_Dim!A:A,Product_Dim!C:C,"Not Found")</f>
        <v>Electronics</v>
      </c>
      <c r="R916" s="8" t="str">
        <f t="array" ref="R916">XLOOKUP(E916,Store_Dim!A:A,Store_Dim!B:B,"Not Found")</f>
        <v>East</v>
      </c>
      <c r="S916" s="8" t="str">
        <f t="array" ref="S916">XLOOKUP(E916,Store_Dim!A:A,Store_Dim!D:D,"Not Found")</f>
        <v>Online</v>
      </c>
    </row>
    <row r="917" ht="14.25" customHeight="1">
      <c r="A917" s="8" t="s">
        <v>2870</v>
      </c>
      <c r="B917" s="12">
        <v>46395.0</v>
      </c>
      <c r="C917" s="8" t="s">
        <v>1511</v>
      </c>
      <c r="D917" s="8" t="s">
        <v>1797</v>
      </c>
      <c r="E917" s="8" t="s">
        <v>1917</v>
      </c>
      <c r="F917" s="8">
        <v>2.0</v>
      </c>
      <c r="G917" s="8">
        <v>354.09</v>
      </c>
      <c r="H917" s="8">
        <v>0.12</v>
      </c>
      <c r="I917" s="8">
        <f t="shared" si="1"/>
        <v>708.18</v>
      </c>
      <c r="J917" s="8">
        <f t="shared" si="2"/>
        <v>-84.8616</v>
      </c>
      <c r="K917" s="8" t="str">
        <f t="shared" si="3"/>
        <v>Jan</v>
      </c>
      <c r="L917" s="8">
        <f t="shared" si="4"/>
        <v>2027</v>
      </c>
      <c r="N917" s="8" t="str">
        <f t="array" ref="N917">XLOOKUP(C917,Customer_Dim!A:A,Customer_Dim!B:B,"Not Found")</f>
        <v>Eric Lee</v>
      </c>
      <c r="O917" s="8" t="str">
        <f t="array" ref="O917">XLOOKUP(C917,Customer_Dim!A:A,Customer_Dim!E:E,"Not Found")</f>
        <v>Lake April</v>
      </c>
      <c r="P917" s="8" t="str">
        <f t="array" ref="P917">XLOOKUP(D917,Product_Dim!A:A,Product_Dim!B:B,"Not Found")</f>
        <v>Men's Sports Shorts</v>
      </c>
      <c r="Q917" s="8" t="str">
        <f t="array" ref="Q917">XLOOKUP(D917,Product_Dim!A:A,Product_Dim!C:C,"Not Found")</f>
        <v>Clothing</v>
      </c>
      <c r="R917" s="8" t="str">
        <f t="array" ref="R917">XLOOKUP(E917,Store_Dim!A:A,Store_Dim!B:B,"Not Found")</f>
        <v>East</v>
      </c>
      <c r="S917" s="8" t="str">
        <f t="array" ref="S917">XLOOKUP(E917,Store_Dim!A:A,Store_Dim!D:D,"Not Found")</f>
        <v>Online</v>
      </c>
    </row>
    <row r="918" ht="14.25" customHeight="1">
      <c r="A918" s="8" t="s">
        <v>2871</v>
      </c>
      <c r="B918" s="12">
        <v>46396.0</v>
      </c>
      <c r="C918" s="8" t="s">
        <v>458</v>
      </c>
      <c r="D918" s="8" t="s">
        <v>1748</v>
      </c>
      <c r="E918" s="8" t="s">
        <v>1915</v>
      </c>
      <c r="F918" s="8">
        <v>3.0</v>
      </c>
      <c r="G918" s="8">
        <v>214.94</v>
      </c>
      <c r="H918" s="8">
        <v>0.22</v>
      </c>
      <c r="I918" s="8">
        <f t="shared" si="1"/>
        <v>644.82</v>
      </c>
      <c r="J918" s="8">
        <f t="shared" si="2"/>
        <v>-141.6404</v>
      </c>
      <c r="K918" s="8" t="str">
        <f t="shared" si="3"/>
        <v>Jan</v>
      </c>
      <c r="L918" s="8">
        <f t="shared" si="4"/>
        <v>2027</v>
      </c>
      <c r="N918" s="8" t="str">
        <f t="array" ref="N918">XLOOKUP(C918,Customer_Dim!A:A,Customer_Dim!B:B,"Not Found")</f>
        <v>Jamie Reyes</v>
      </c>
      <c r="O918" s="8" t="str">
        <f t="array" ref="O918">XLOOKUP(C918,Customer_Dim!A:A,Customer_Dim!E:E,"Not Found")</f>
        <v>   jonesbury </v>
      </c>
      <c r="P918" s="8" t="str">
        <f t="array" ref="P918">XLOOKUP(D918,Product_Dim!A:A,Product_Dim!B:B,"Not Found")</f>
        <v>Men's Track Pants</v>
      </c>
      <c r="Q918" s="8" t="str">
        <f t="array" ref="Q918">XLOOKUP(D918,Product_Dim!A:A,Product_Dim!C:C,"Not Found")</f>
        <v>Clothing</v>
      </c>
      <c r="R918" s="8" t="str">
        <f t="array" ref="R918">XLOOKUP(E918,Store_Dim!A:A,Store_Dim!B:B,"Not Found")</f>
        <v>North</v>
      </c>
      <c r="S918" s="8" t="str">
        <f t="array" ref="S918">XLOOKUP(E918,Store_Dim!A:A,Store_Dim!D:D,"Not Found")</f>
        <v>Outlet</v>
      </c>
    </row>
    <row r="919" ht="14.25" customHeight="1">
      <c r="A919" s="8" t="s">
        <v>2872</v>
      </c>
      <c r="B919" s="12">
        <v>46397.0</v>
      </c>
      <c r="C919" s="8" t="s">
        <v>663</v>
      </c>
      <c r="D919" s="8" t="s">
        <v>1601</v>
      </c>
      <c r="E919" s="8" t="s">
        <v>1929</v>
      </c>
      <c r="F919" s="8">
        <v>2.0</v>
      </c>
      <c r="G919" s="8">
        <v>309.78</v>
      </c>
      <c r="H919" s="8">
        <v>0.16</v>
      </c>
      <c r="I919" s="8">
        <f t="shared" si="1"/>
        <v>619.56</v>
      </c>
      <c r="J919" s="8">
        <f t="shared" si="2"/>
        <v>-98.9696</v>
      </c>
      <c r="K919" s="8" t="str">
        <f t="shared" si="3"/>
        <v>Jan</v>
      </c>
      <c r="L919" s="8">
        <f t="shared" si="4"/>
        <v>2027</v>
      </c>
      <c r="N919" s="8" t="str">
        <f t="array" ref="N919">XLOOKUP(C919,Customer_Dim!A:A,Customer_Dim!B:B,"Not Found")</f>
        <v>Carmen Price</v>
      </c>
      <c r="O919" s="8" t="str">
        <f t="array" ref="O919">XLOOKUP(C919,Customer_Dim!A:A,Customer_Dim!E:E,"Not Found")</f>
        <v>North Briannamouth</v>
      </c>
      <c r="P919" s="8" t="str">
        <f t="array" ref="P919">XLOOKUP(D919,Product_Dim!A:A,Product_Dim!B:B,"Not Found")</f>
        <v>Adjustable Dumbbell Set</v>
      </c>
      <c r="Q919" s="8" t="str">
        <f t="array" ref="Q919">XLOOKUP(D919,Product_Dim!A:A,Product_Dim!C:C,"Not Found")</f>
        <v>Sports</v>
      </c>
      <c r="R919" s="8" t="str">
        <f t="array" ref="R919">XLOOKUP(E919,Store_Dim!A:A,Store_Dim!B:B,"Not Found")</f>
        <v>North</v>
      </c>
      <c r="S919" s="8" t="str">
        <f t="array" ref="S919">XLOOKUP(E919,Store_Dim!A:A,Store_Dim!D:D,"Not Found")</f>
        <v>Online</v>
      </c>
    </row>
    <row r="920" ht="14.25" customHeight="1">
      <c r="A920" s="8" t="s">
        <v>2873</v>
      </c>
      <c r="B920" s="12">
        <v>46398.0</v>
      </c>
      <c r="C920" s="8" t="s">
        <v>265</v>
      </c>
      <c r="D920" s="8" t="s">
        <v>1617</v>
      </c>
      <c r="E920" s="8" t="s">
        <v>1910</v>
      </c>
      <c r="F920" s="8">
        <v>2.0</v>
      </c>
      <c r="G920" s="8">
        <v>183.85</v>
      </c>
      <c r="H920" s="8">
        <v>0.14</v>
      </c>
      <c r="I920" s="8">
        <f t="shared" si="1"/>
        <v>367.7</v>
      </c>
      <c r="J920" s="8">
        <f t="shared" si="2"/>
        <v>-51.338</v>
      </c>
      <c r="K920" s="8" t="str">
        <f t="shared" si="3"/>
        <v>Jan</v>
      </c>
      <c r="L920" s="8">
        <f t="shared" si="4"/>
        <v>2027</v>
      </c>
      <c r="N920" s="8" t="str">
        <f t="array" ref="N920">XLOOKUP(C920,Customer_Dim!A:A,Customer_Dim!B:B,"Not Found")</f>
        <v>Roy Cole</v>
      </c>
      <c r="O920" s="8" t="str">
        <f t="array" ref="O920">XLOOKUP(C920,Customer_Dim!A:A,Customer_Dim!E:E,"Not Found")</f>
        <v>North Cynthiatown</v>
      </c>
      <c r="P920" s="8" t="str">
        <f t="array" ref="P920">XLOOKUP(D920,Product_Dim!A:A,Product_Dim!B:B,"Not Found")</f>
        <v>USB-C Fast Charger</v>
      </c>
      <c r="Q920" s="8" t="str">
        <f t="array" ref="Q920">XLOOKUP(D920,Product_Dim!A:A,Product_Dim!C:C,"Not Found")</f>
        <v>Electronics</v>
      </c>
      <c r="R920" s="8" t="str">
        <f t="array" ref="R920">XLOOKUP(E920,Store_Dim!A:A,Store_Dim!B:B,"Not Found")</f>
        <v>North</v>
      </c>
      <c r="S920" s="8" t="str">
        <f t="array" ref="S920">XLOOKUP(E920,Store_Dim!A:A,Store_Dim!D:D,"Not Found")</f>
        <v>Outlet</v>
      </c>
    </row>
    <row r="921" ht="14.25" customHeight="1">
      <c r="A921" s="8" t="s">
        <v>2874</v>
      </c>
      <c r="B921" s="12">
        <v>46399.0</v>
      </c>
      <c r="C921" s="8" t="s">
        <v>1288</v>
      </c>
      <c r="D921" s="8" t="s">
        <v>1800</v>
      </c>
      <c r="E921" s="8" t="s">
        <v>1899</v>
      </c>
      <c r="F921" s="8">
        <v>1.0</v>
      </c>
      <c r="G921" s="8">
        <v>550.06</v>
      </c>
      <c r="H921" s="8">
        <v>0.01</v>
      </c>
      <c r="I921" s="8">
        <f t="shared" si="1"/>
        <v>550.06</v>
      </c>
      <c r="J921" s="8">
        <f t="shared" si="2"/>
        <v>-5.4906</v>
      </c>
      <c r="K921" s="8" t="str">
        <f t="shared" si="3"/>
        <v>Jan</v>
      </c>
      <c r="L921" s="8">
        <f t="shared" si="4"/>
        <v>2027</v>
      </c>
      <c r="N921" s="8" t="str">
        <f t="array" ref="N921">XLOOKUP(C921,Customer_Dim!A:A,Customer_Dim!B:B,"Not Found")</f>
        <v>Sarah Smith</v>
      </c>
      <c r="O921" s="8" t="str">
        <f t="array" ref="O921">XLOOKUP(C921,Customer_Dim!A:A,Customer_Dim!E:E,"Not Found")</f>
        <v>Kathleenport</v>
      </c>
      <c r="P921" s="8" t="str">
        <f t="array" ref="P921">XLOOKUP(D921,Product_Dim!A:A,Product_Dim!B:B,"Not Found")</f>
        <v>Kitchen Storage Rack</v>
      </c>
      <c r="Q921" s="8" t="str">
        <f t="array" ref="Q921">XLOOKUP(D921,Product_Dim!A:A,Product_Dim!C:C,"Not Found")</f>
        <v>Home</v>
      </c>
      <c r="R921" s="8" t="str">
        <f t="array" ref="R921">XLOOKUP(E921,Store_Dim!A:A,Store_Dim!B:B,"Not Found")</f>
        <v>East</v>
      </c>
      <c r="S921" s="8" t="str">
        <f t="array" ref="S921">XLOOKUP(E921,Store_Dim!A:A,Store_Dim!D:D,"Not Found")</f>
        <v>Flagship</v>
      </c>
    </row>
    <row r="922" ht="14.25" customHeight="1">
      <c r="A922" s="8" t="s">
        <v>2875</v>
      </c>
      <c r="B922" s="12">
        <v>46400.0</v>
      </c>
      <c r="C922" s="8" t="s">
        <v>131</v>
      </c>
      <c r="D922" s="8" t="s">
        <v>1827</v>
      </c>
      <c r="E922" s="8" t="s">
        <v>1912</v>
      </c>
      <c r="F922" s="8">
        <v>2.0</v>
      </c>
      <c r="G922" s="8">
        <v>32.19</v>
      </c>
      <c r="H922" s="8">
        <v>0.13</v>
      </c>
      <c r="I922" s="8">
        <f t="shared" si="1"/>
        <v>64.38</v>
      </c>
      <c r="J922" s="8">
        <f t="shared" si="2"/>
        <v>-8.2394</v>
      </c>
      <c r="K922" s="8" t="str">
        <f t="shared" si="3"/>
        <v>Jan</v>
      </c>
      <c r="L922" s="8">
        <f t="shared" si="4"/>
        <v>2027</v>
      </c>
      <c r="N922" s="8" t="str">
        <f t="array" ref="N922">XLOOKUP(C922,Customer_Dim!A:A,Customer_Dim!B:B,"Not Found")</f>
        <v>David Arnold</v>
      </c>
      <c r="O922" s="8" t="str">
        <f t="array" ref="O922">XLOOKUP(C922,Customer_Dim!A:A,Customer_Dim!E:E,"Not Found")</f>
        <v>East Jennifer</v>
      </c>
      <c r="P922" s="8" t="str">
        <f t="array" ref="P922">XLOOKUP(D922,Product_Dim!A:A,Product_Dim!B:B,"Not Found")</f>
        <v>Decorative Lamp Shade</v>
      </c>
      <c r="Q922" s="8" t="str">
        <f t="array" ref="Q922">XLOOKUP(D922,Product_Dim!A:A,Product_Dim!C:C,"Not Found")</f>
        <v>Home</v>
      </c>
      <c r="R922" s="8" t="str">
        <f t="array" ref="R922">XLOOKUP(E922,Store_Dim!A:A,Store_Dim!B:B,"Not Found")</f>
        <v>South</v>
      </c>
      <c r="S922" s="8" t="str">
        <f t="array" ref="S922">XLOOKUP(E922,Store_Dim!A:A,Store_Dim!D:D,"Not Found")</f>
        <v>Online</v>
      </c>
    </row>
    <row r="923" ht="14.25" customHeight="1">
      <c r="A923" s="8" t="s">
        <v>2876</v>
      </c>
      <c r="B923" s="12">
        <v>46401.0</v>
      </c>
      <c r="C923" s="8" t="s">
        <v>482</v>
      </c>
      <c r="D923" s="8" t="s">
        <v>1684</v>
      </c>
      <c r="E923" s="8" t="s">
        <v>1941</v>
      </c>
      <c r="F923" s="8">
        <v>2.0</v>
      </c>
      <c r="G923" s="8">
        <v>892.06</v>
      </c>
      <c r="H923" s="8">
        <v>0.08</v>
      </c>
      <c r="I923" s="8">
        <f t="shared" si="1"/>
        <v>1784.12</v>
      </c>
      <c r="J923" s="8">
        <f t="shared" si="2"/>
        <v>-142.6496</v>
      </c>
      <c r="K923" s="8" t="str">
        <f t="shared" si="3"/>
        <v>Jan</v>
      </c>
      <c r="L923" s="8">
        <f t="shared" si="4"/>
        <v>2027</v>
      </c>
      <c r="N923" s="8" t="str">
        <f t="array" ref="N923">XLOOKUP(C923,Customer_Dim!A:A,Customer_Dim!B:B,"Not Found")</f>
        <v>Sean Roth</v>
      </c>
      <c r="O923" s="8" t="str">
        <f t="array" ref="O923">XLOOKUP(C923,Customer_Dim!A:A,Customer_Dim!E:E,"Not Found")</f>
        <v>Lake Michael</v>
      </c>
      <c r="P923" s="8" t="str">
        <f t="array" ref="P923">XLOOKUP(D923,Product_Dim!A:A,Product_Dim!B:B,"Not Found")</f>
        <v>Modern Wall Clock</v>
      </c>
      <c r="Q923" s="8" t="str">
        <f t="array" ref="Q923">XLOOKUP(D923,Product_Dim!A:A,Product_Dim!C:C,"Not Found")</f>
        <v>Home</v>
      </c>
      <c r="R923" s="8" t="str">
        <f t="array" ref="R923">XLOOKUP(E923,Store_Dim!A:A,Store_Dim!B:B,"Not Found")</f>
        <v>East</v>
      </c>
      <c r="S923" s="8" t="str">
        <f t="array" ref="S923">XLOOKUP(E923,Store_Dim!A:A,Store_Dim!D:D,"Not Found")</f>
        <v>Online</v>
      </c>
    </row>
    <row r="924" ht="14.25" customHeight="1">
      <c r="A924" s="8" t="s">
        <v>2877</v>
      </c>
      <c r="B924" s="12">
        <v>46402.0</v>
      </c>
      <c r="C924" s="8" t="s">
        <v>1471</v>
      </c>
      <c r="D924" s="8" t="s">
        <v>1763</v>
      </c>
      <c r="E924" s="8" t="s">
        <v>1917</v>
      </c>
      <c r="F924" s="8">
        <v>1.0</v>
      </c>
      <c r="G924" s="8">
        <v>127.47</v>
      </c>
      <c r="H924" s="8">
        <v>0.16</v>
      </c>
      <c r="I924" s="8">
        <f t="shared" si="1"/>
        <v>127.47</v>
      </c>
      <c r="J924" s="8">
        <f t="shared" si="2"/>
        <v>-20.2352</v>
      </c>
      <c r="K924" s="8" t="str">
        <f t="shared" si="3"/>
        <v>Jan</v>
      </c>
      <c r="L924" s="8">
        <f t="shared" si="4"/>
        <v>2027</v>
      </c>
      <c r="N924" s="8" t="str">
        <f t="array" ref="N924">XLOOKUP(C924,Customer_Dim!A:A,Customer_Dim!B:B,"Not Found")</f>
        <v>Philip Mendoza</v>
      </c>
      <c r="O924" s="8" t="str">
        <f t="array" ref="O924">XLOOKUP(C924,Customer_Dim!A:A,Customer_Dim!E:E,"Not Found")</f>
        <v>Tylermouth</v>
      </c>
      <c r="P924" s="8" t="str">
        <f t="array" ref="P924">XLOOKUP(D924,Product_Dim!A:A,Product_Dim!B:B,"Not Found")</f>
        <v>Womens Cotton Scarf</v>
      </c>
      <c r="Q924" s="8" t="str">
        <f t="array" ref="Q924">XLOOKUP(D924,Product_Dim!A:A,Product_Dim!C:C,"Not Found")</f>
        <v>Clothing</v>
      </c>
      <c r="R924" s="8" t="str">
        <f t="array" ref="R924">XLOOKUP(E924,Store_Dim!A:A,Store_Dim!B:B,"Not Found")</f>
        <v>East</v>
      </c>
      <c r="S924" s="8" t="str">
        <f t="array" ref="S924">XLOOKUP(E924,Store_Dim!A:A,Store_Dim!D:D,"Not Found")</f>
        <v>Online</v>
      </c>
    </row>
    <row r="925" ht="14.25" customHeight="1">
      <c r="A925" s="8" t="s">
        <v>2878</v>
      </c>
      <c r="B925" s="12">
        <v>46403.0</v>
      </c>
      <c r="C925" s="8" t="s">
        <v>1227</v>
      </c>
      <c r="D925" s="8" t="s">
        <v>1821</v>
      </c>
      <c r="E925" s="8" t="s">
        <v>1932</v>
      </c>
      <c r="F925" s="8">
        <v>3.0</v>
      </c>
      <c r="G925" s="8">
        <v>212.87</v>
      </c>
      <c r="H925" s="8">
        <v>0.18</v>
      </c>
      <c r="I925" s="8">
        <f t="shared" si="1"/>
        <v>638.61</v>
      </c>
      <c r="J925" s="8">
        <f t="shared" si="2"/>
        <v>-114.7698</v>
      </c>
      <c r="K925" s="8" t="str">
        <f t="shared" si="3"/>
        <v>Jan</v>
      </c>
      <c r="L925" s="8">
        <f t="shared" si="4"/>
        <v>2027</v>
      </c>
      <c r="N925" s="8" t="str">
        <f t="array" ref="N925">XLOOKUP(C925,Customer_Dim!A:A,Customer_Dim!B:B,"Not Found")</f>
        <v>Timothy Valenzuela</v>
      </c>
      <c r="O925" s="8" t="str">
        <f t="array" ref="O925">XLOOKUP(C925,Customer_Dim!A:A,Customer_Dim!E:E,"Not Found")</f>
        <v>Stevensshire</v>
      </c>
      <c r="P925" s="8" t="str">
        <f t="array" ref="P925">XLOOKUP(D925,Product_Dim!A:A,Product_Dim!B:B,"Not Found")</f>
        <v>WiFi Mesh Router</v>
      </c>
      <c r="Q925" s="8" t="str">
        <f t="array" ref="Q925">XLOOKUP(D925,Product_Dim!A:A,Product_Dim!C:C,"Not Found")</f>
        <v>Electronics</v>
      </c>
      <c r="R925" s="8" t="str">
        <f t="array" ref="R925">XLOOKUP(E925,Store_Dim!A:A,Store_Dim!B:B,"Not Found")</f>
        <v>South</v>
      </c>
      <c r="S925" s="8" t="str">
        <f t="array" ref="S925">XLOOKUP(E925,Store_Dim!A:A,Store_Dim!D:D,"Not Found")</f>
        <v>Outlet</v>
      </c>
    </row>
    <row r="926" ht="14.25" customHeight="1">
      <c r="A926" s="8" t="s">
        <v>2879</v>
      </c>
      <c r="B926" s="12">
        <v>46404.0</v>
      </c>
      <c r="C926" s="8" t="s">
        <v>610</v>
      </c>
      <c r="D926" s="8" t="s">
        <v>1833</v>
      </c>
      <c r="E926" s="8" t="s">
        <v>1919</v>
      </c>
      <c r="F926" s="8">
        <v>1.0</v>
      </c>
      <c r="G926" s="8">
        <v>26.37</v>
      </c>
      <c r="H926" s="8">
        <v>0.3</v>
      </c>
      <c r="I926" s="8">
        <f t="shared" si="1"/>
        <v>26.37</v>
      </c>
      <c r="J926" s="8">
        <f t="shared" si="2"/>
        <v>-7.611</v>
      </c>
      <c r="K926" s="8" t="str">
        <f t="shared" si="3"/>
        <v>Jan</v>
      </c>
      <c r="L926" s="8">
        <f t="shared" si="4"/>
        <v>2027</v>
      </c>
      <c r="N926" s="8" t="str">
        <f t="array" ref="N926">XLOOKUP(C926,Customer_Dim!A:A,Customer_Dim!B:B,"Not Found")</f>
        <v>Erin Ward</v>
      </c>
      <c r="O926" s="8" t="str">
        <f t="array" ref="O926">XLOOKUP(C926,Customer_Dim!A:A,Customer_Dim!E:E,"Not Found")</f>
        <v>New Brianchester</v>
      </c>
      <c r="P926" s="8" t="str">
        <f t="array" ref="P926">XLOOKUP(D926,Product_Dim!A:A,Product_Dim!B:B,"Not Found")</f>
        <v>Badminton Racket Set</v>
      </c>
      <c r="Q926" s="8" t="str">
        <f t="array" ref="Q926">XLOOKUP(D926,Product_Dim!A:A,Product_Dim!C:C,"Not Found")</f>
        <v>Sports</v>
      </c>
      <c r="R926" s="8" t="str">
        <f t="array" ref="R926">XLOOKUP(E926,Store_Dim!A:A,Store_Dim!B:B,"Not Found")</f>
        <v>South</v>
      </c>
      <c r="S926" s="8" t="str">
        <f t="array" ref="S926">XLOOKUP(E926,Store_Dim!A:A,Store_Dim!D:D,"Not Found")</f>
        <v>Online</v>
      </c>
    </row>
    <row r="927" ht="14.25" customHeight="1">
      <c r="A927" s="8" t="s">
        <v>2880</v>
      </c>
      <c r="B927" s="12">
        <v>46405.0</v>
      </c>
      <c r="C927" s="8" t="s">
        <v>1453</v>
      </c>
      <c r="D927" s="8" t="s">
        <v>1687</v>
      </c>
      <c r="E927" s="8" t="s">
        <v>1939</v>
      </c>
      <c r="F927" s="8">
        <v>4.0</v>
      </c>
      <c r="G927" s="8">
        <v>953.98</v>
      </c>
      <c r="H927" s="8">
        <v>0.16</v>
      </c>
      <c r="I927" s="8">
        <f t="shared" si="1"/>
        <v>3815.92</v>
      </c>
      <c r="J927" s="8">
        <f t="shared" si="2"/>
        <v>-610.3872</v>
      </c>
      <c r="K927" s="8" t="str">
        <f t="shared" si="3"/>
        <v>Jan</v>
      </c>
      <c r="L927" s="8">
        <f t="shared" si="4"/>
        <v>2027</v>
      </c>
      <c r="N927" s="8" t="str">
        <f t="array" ref="N927">XLOOKUP(C927,Customer_Dim!A:A,Customer_Dim!B:B,"Not Found")</f>
        <v>Cynthia Parrish</v>
      </c>
      <c r="O927" s="8" t="str">
        <f t="array" ref="O927">XLOOKUP(C927,Customer_Dim!A:A,Customer_Dim!E:E,"Not Found")</f>
        <v>Espinozaberg</v>
      </c>
      <c r="P927" s="8" t="str">
        <f t="array" ref="P927">XLOOKUP(D927,Product_Dim!A:A,Product_Dim!B:B,"Not Found")</f>
        <v>Gaming Mechanical Keyboard</v>
      </c>
      <c r="Q927" s="8" t="str">
        <f t="array" ref="Q927">XLOOKUP(D927,Product_Dim!A:A,Product_Dim!C:C,"Not Found")</f>
        <v>Electronics</v>
      </c>
      <c r="R927" s="8" t="str">
        <f t="array" ref="R927">XLOOKUP(E927,Store_Dim!A:A,Store_Dim!B:B,"Not Found")</f>
        <v>East</v>
      </c>
      <c r="S927" s="8" t="str">
        <f t="array" ref="S927">XLOOKUP(E927,Store_Dim!A:A,Store_Dim!D:D,"Not Found")</f>
        <v>Flagship</v>
      </c>
    </row>
    <row r="928" ht="14.25" customHeight="1">
      <c r="A928" s="8" t="s">
        <v>2881</v>
      </c>
      <c r="B928" s="12">
        <v>46406.0</v>
      </c>
      <c r="C928" s="8" t="s">
        <v>711</v>
      </c>
      <c r="D928" s="8" t="s">
        <v>1790</v>
      </c>
      <c r="E928" s="8" t="s">
        <v>1941</v>
      </c>
      <c r="F928" s="8">
        <v>3.0</v>
      </c>
      <c r="G928" s="8">
        <v>968.88</v>
      </c>
      <c r="H928" s="8">
        <v>0.15</v>
      </c>
      <c r="I928" s="8">
        <f t="shared" si="1"/>
        <v>2906.64</v>
      </c>
      <c r="J928" s="8">
        <f t="shared" si="2"/>
        <v>-435.846</v>
      </c>
      <c r="K928" s="8" t="str">
        <f t="shared" si="3"/>
        <v>Jan</v>
      </c>
      <c r="L928" s="8">
        <f t="shared" si="4"/>
        <v>2027</v>
      </c>
      <c r="N928" s="8" t="str">
        <f t="array" ref="N928">XLOOKUP(C928,Customer_Dim!A:A,Customer_Dim!B:B,"Not Found")</f>
        <v>Steve Medina</v>
      </c>
      <c r="O928" s="8" t="str">
        <f t="array" ref="O928">XLOOKUP(C928,Customer_Dim!A:A,Customer_Dim!E:E,"Not Found")</f>
        <v>East Josephside</v>
      </c>
      <c r="P928" s="8" t="str">
        <f t="array" ref="P928">XLOOKUP(D928,Product_Dim!A:A,Product_Dim!B:B,"Not Found")</f>
        <v>Smart LED Light Strip</v>
      </c>
      <c r="Q928" s="8" t="str">
        <f t="array" ref="Q928">XLOOKUP(D928,Product_Dim!A:A,Product_Dim!C:C,"Not Found")</f>
        <v>Electronics</v>
      </c>
      <c r="R928" s="8" t="str">
        <f t="array" ref="R928">XLOOKUP(E928,Store_Dim!A:A,Store_Dim!B:B,"Not Found")</f>
        <v>East</v>
      </c>
      <c r="S928" s="8" t="str">
        <f t="array" ref="S928">XLOOKUP(E928,Store_Dim!A:A,Store_Dim!D:D,"Not Found")</f>
        <v>Online</v>
      </c>
    </row>
    <row r="929" ht="14.25" customHeight="1">
      <c r="A929" s="8" t="s">
        <v>2882</v>
      </c>
      <c r="B929" s="12">
        <v>46407.0</v>
      </c>
      <c r="C929" s="8" t="s">
        <v>628</v>
      </c>
      <c r="D929" s="8" t="s">
        <v>1818</v>
      </c>
      <c r="E929" s="8" t="s">
        <v>1939</v>
      </c>
      <c r="F929" s="8">
        <v>1.0</v>
      </c>
      <c r="G929" s="8">
        <v>533.05</v>
      </c>
      <c r="H929" s="8">
        <v>0.11</v>
      </c>
      <c r="I929" s="8">
        <f t="shared" si="1"/>
        <v>533.05</v>
      </c>
      <c r="J929" s="8">
        <f t="shared" si="2"/>
        <v>-58.5255</v>
      </c>
      <c r="K929" s="8" t="str">
        <f t="shared" si="3"/>
        <v>Jan</v>
      </c>
      <c r="L929" s="8">
        <f t="shared" si="4"/>
        <v>2027</v>
      </c>
      <c r="N929" s="8" t="str">
        <f t="array" ref="N929">XLOOKUP(C929,Customer_Dim!A:A,Customer_Dim!B:B,"Not Found")</f>
        <v>Dr. Suzanne Bullock</v>
      </c>
      <c r="O929" s="8" t="str">
        <f t="array" ref="O929">XLOOKUP(C929,Customer_Dim!A:A,Customer_Dim!E:E,"Not Found")</f>
        <v>Lake Blaketon</v>
      </c>
      <c r="P929" s="8" t="str">
        <f t="array" ref="P929">XLOOKUP(D929,Product_Dim!A:A,Product_Dim!B:B,"Not Found")</f>
        <v>Wireless Mouse</v>
      </c>
      <c r="Q929" s="8" t="str">
        <f t="array" ref="Q929">XLOOKUP(D929,Product_Dim!A:A,Product_Dim!C:C,"Not Found")</f>
        <v>Electronics</v>
      </c>
      <c r="R929" s="8" t="str">
        <f t="array" ref="R929">XLOOKUP(E929,Store_Dim!A:A,Store_Dim!B:B,"Not Found")</f>
        <v>East</v>
      </c>
      <c r="S929" s="8" t="str">
        <f t="array" ref="S929">XLOOKUP(E929,Store_Dim!A:A,Store_Dim!D:D,"Not Found")</f>
        <v>Flagship</v>
      </c>
    </row>
    <row r="930" ht="14.25" customHeight="1">
      <c r="A930" s="8" t="s">
        <v>2883</v>
      </c>
      <c r="B930" s="12">
        <v>46408.0</v>
      </c>
      <c r="C930" s="8" t="s">
        <v>1206</v>
      </c>
      <c r="D930" s="8" t="s">
        <v>1833</v>
      </c>
      <c r="E930" s="8" t="s">
        <v>1903</v>
      </c>
      <c r="F930" s="8">
        <v>3.0</v>
      </c>
      <c r="G930" s="8">
        <v>138.86</v>
      </c>
      <c r="H930" s="8">
        <v>0.11</v>
      </c>
      <c r="I930" s="8">
        <f t="shared" si="1"/>
        <v>416.58</v>
      </c>
      <c r="J930" s="8">
        <f t="shared" si="2"/>
        <v>-45.7138</v>
      </c>
      <c r="K930" s="8" t="str">
        <f t="shared" si="3"/>
        <v>Jan</v>
      </c>
      <c r="L930" s="8">
        <f t="shared" si="4"/>
        <v>2027</v>
      </c>
      <c r="N930" s="8" t="str">
        <f t="array" ref="N930">XLOOKUP(C930,Customer_Dim!A:A,Customer_Dim!B:B,"Not Found")</f>
        <v>Erika Padilla</v>
      </c>
      <c r="O930" s="8" t="str">
        <f t="array" ref="O930">XLOOKUP(C930,Customer_Dim!A:A,Customer_Dim!E:E,"Not Found")</f>
        <v>Andrewsland</v>
      </c>
      <c r="P930" s="8" t="str">
        <f t="array" ref="P930">XLOOKUP(D930,Product_Dim!A:A,Product_Dim!B:B,"Not Found")</f>
        <v>Badminton Racket Set</v>
      </c>
      <c r="Q930" s="8" t="str">
        <f t="array" ref="Q930">XLOOKUP(D930,Product_Dim!A:A,Product_Dim!C:C,"Not Found")</f>
        <v>Sports</v>
      </c>
      <c r="R930" s="8" t="str">
        <f t="array" ref="R930">XLOOKUP(E930,Store_Dim!A:A,Store_Dim!B:B,"Not Found")</f>
        <v>North</v>
      </c>
      <c r="S930" s="8" t="str">
        <f t="array" ref="S930">XLOOKUP(E930,Store_Dim!A:A,Store_Dim!D:D,"Not Found")</f>
        <v>Flagship</v>
      </c>
    </row>
    <row r="931" ht="14.25" customHeight="1">
      <c r="A931" s="8" t="s">
        <v>2884</v>
      </c>
      <c r="B931" s="12">
        <v>46409.0</v>
      </c>
      <c r="C931" s="8" t="s">
        <v>544</v>
      </c>
      <c r="D931" s="8" t="s">
        <v>1649</v>
      </c>
      <c r="E931" s="8" t="s">
        <v>1899</v>
      </c>
      <c r="F931" s="8">
        <v>1.0</v>
      </c>
      <c r="G931" s="8">
        <v>588.93</v>
      </c>
      <c r="H931" s="8">
        <v>0.03</v>
      </c>
      <c r="I931" s="8">
        <f t="shared" si="1"/>
        <v>588.93</v>
      </c>
      <c r="J931" s="8">
        <f t="shared" si="2"/>
        <v>-17.6379</v>
      </c>
      <c r="K931" s="8" t="str">
        <f t="shared" si="3"/>
        <v>Jan</v>
      </c>
      <c r="L931" s="8">
        <f t="shared" si="4"/>
        <v>2027</v>
      </c>
      <c r="N931" s="8" t="str">
        <f t="array" ref="N931">XLOOKUP(C931,Customer_Dim!A:A,Customer_Dim!B:B,"Not Found")</f>
        <v>Brian Choi</v>
      </c>
      <c r="O931" s="8" t="str">
        <f t="array" ref="O931">XLOOKUP(C931,Customer_Dim!A:A,Customer_Dim!E:E,"Not Found")</f>
        <v>Floydton</v>
      </c>
      <c r="P931" s="8" t="str">
        <f t="array" ref="P931">XLOOKUP(D931,Product_Dim!A:A,Product_Dim!B:B,"Not Found")</f>
        <v>Carbon Fiber Tennis Racket</v>
      </c>
      <c r="Q931" s="8" t="str">
        <f t="array" ref="Q931">XLOOKUP(D931,Product_Dim!A:A,Product_Dim!C:C,"Not Found")</f>
        <v>Sports</v>
      </c>
      <c r="R931" s="8" t="str">
        <f t="array" ref="R931">XLOOKUP(E931,Store_Dim!A:A,Store_Dim!B:B,"Not Found")</f>
        <v>East</v>
      </c>
      <c r="S931" s="8" t="str">
        <f t="array" ref="S931">XLOOKUP(E931,Store_Dim!A:A,Store_Dim!D:D,"Not Found")</f>
        <v>Flagship</v>
      </c>
    </row>
    <row r="932" ht="14.25" customHeight="1">
      <c r="A932" s="8" t="s">
        <v>2885</v>
      </c>
      <c r="B932" s="12">
        <v>46410.0</v>
      </c>
      <c r="C932" s="8" t="s">
        <v>1270</v>
      </c>
      <c r="D932" s="8" t="s">
        <v>1745</v>
      </c>
      <c r="E932" s="8" t="s">
        <v>1915</v>
      </c>
      <c r="F932" s="8">
        <v>2.0</v>
      </c>
      <c r="G932" s="8">
        <v>576.83</v>
      </c>
      <c r="H932" s="8">
        <v>0.19</v>
      </c>
      <c r="I932" s="8">
        <f t="shared" si="1"/>
        <v>1153.66</v>
      </c>
      <c r="J932" s="8">
        <f t="shared" si="2"/>
        <v>-219.0054</v>
      </c>
      <c r="K932" s="8" t="str">
        <f t="shared" si="3"/>
        <v>Jan</v>
      </c>
      <c r="L932" s="8">
        <f t="shared" si="4"/>
        <v>2027</v>
      </c>
      <c r="N932" s="8" t="str">
        <f t="array" ref="N932">XLOOKUP(C932,Customer_Dim!A:A,Customer_Dim!B:B,"Not Found")</f>
        <v>Justin Ingram</v>
      </c>
      <c r="O932" s="8" t="str">
        <f t="array" ref="O932">XLOOKUP(C932,Customer_Dim!A:A,Customer_Dim!E:E,"Not Found")</f>
        <v>Lake Lisaland</v>
      </c>
      <c r="P932" s="8" t="str">
        <f t="array" ref="P932">XLOOKUP(D932,Product_Dim!A:A,Product_Dim!B:B,"Not Found")</f>
        <v>Rugby Ball</v>
      </c>
      <c r="Q932" s="8" t="str">
        <f t="array" ref="Q932">XLOOKUP(D932,Product_Dim!A:A,Product_Dim!C:C,"Not Found")</f>
        <v>Sports</v>
      </c>
      <c r="R932" s="8" t="str">
        <f t="array" ref="R932">XLOOKUP(E932,Store_Dim!A:A,Store_Dim!B:B,"Not Found")</f>
        <v>North</v>
      </c>
      <c r="S932" s="8" t="str">
        <f t="array" ref="S932">XLOOKUP(E932,Store_Dim!A:A,Store_Dim!D:D,"Not Found")</f>
        <v>Outlet</v>
      </c>
    </row>
    <row r="933" ht="14.25" customHeight="1">
      <c r="A933" s="8" t="s">
        <v>2886</v>
      </c>
      <c r="B933" s="12">
        <v>46411.0</v>
      </c>
      <c r="C933" s="8" t="s">
        <v>1032</v>
      </c>
      <c r="D933" s="8" t="s">
        <v>1784</v>
      </c>
      <c r="E933" s="8" t="s">
        <v>1929</v>
      </c>
      <c r="F933" s="8">
        <v>1.0</v>
      </c>
      <c r="G933" s="8">
        <v>681.3</v>
      </c>
      <c r="H933" s="8">
        <v>0.05</v>
      </c>
      <c r="I933" s="8">
        <f t="shared" si="1"/>
        <v>681.3</v>
      </c>
      <c r="J933" s="8">
        <f t="shared" si="2"/>
        <v>-34.015</v>
      </c>
      <c r="K933" s="8" t="str">
        <f t="shared" si="3"/>
        <v>Jan</v>
      </c>
      <c r="L933" s="8">
        <f t="shared" si="4"/>
        <v>2027</v>
      </c>
      <c r="N933" s="8" t="str">
        <f t="array" ref="N933">XLOOKUP(C933,Customer_Dim!A:A,Customer_Dim!B:B,"Not Found")</f>
        <v>Kristy Dunlap</v>
      </c>
      <c r="O933" s="8" t="str">
        <f t="array" ref="O933">XLOOKUP(C933,Customer_Dim!A:A,Customer_Dim!E:E,"Not Found")</f>
        <v>Whiteport</v>
      </c>
      <c r="P933" s="8" t="str">
        <f t="array" ref="P933">XLOOKUP(D933,Product_Dim!A:A,Product_Dim!B:B,"Not Found")</f>
        <v>Adjustable Dumbbells 20kg</v>
      </c>
      <c r="Q933" s="8" t="str">
        <f t="array" ref="Q933">XLOOKUP(D933,Product_Dim!A:A,Product_Dim!C:C,"Not Found")</f>
        <v>Sports</v>
      </c>
      <c r="R933" s="8" t="str">
        <f t="array" ref="R933">XLOOKUP(E933,Store_Dim!A:A,Store_Dim!B:B,"Not Found")</f>
        <v>North</v>
      </c>
      <c r="S933" s="8" t="str">
        <f t="array" ref="S933">XLOOKUP(E933,Store_Dim!A:A,Store_Dim!D:D,"Not Found")</f>
        <v>Online</v>
      </c>
    </row>
    <row r="934" ht="14.25" customHeight="1">
      <c r="A934" s="8" t="s">
        <v>2887</v>
      </c>
      <c r="B934" s="12">
        <v>46412.0</v>
      </c>
      <c r="C934" s="8" t="s">
        <v>1427</v>
      </c>
      <c r="D934" s="8" t="s">
        <v>1659</v>
      </c>
      <c r="E934" s="8" t="s">
        <v>1933</v>
      </c>
      <c r="F934" s="8">
        <v>3.0</v>
      </c>
      <c r="G934" s="8">
        <v>504.97</v>
      </c>
      <c r="H934" s="8">
        <v>0.3</v>
      </c>
      <c r="I934" s="8">
        <f t="shared" si="1"/>
        <v>1514.91</v>
      </c>
      <c r="J934" s="8">
        <f t="shared" si="2"/>
        <v>-454.173</v>
      </c>
      <c r="K934" s="8" t="str">
        <f t="shared" si="3"/>
        <v>Jan</v>
      </c>
      <c r="L934" s="8">
        <f t="shared" si="4"/>
        <v>2027</v>
      </c>
      <c r="N934" s="8" t="str">
        <f t="array" ref="N934">XLOOKUP(C934,Customer_Dim!A:A,Customer_Dim!B:B,"Not Found")</f>
        <v>Christina Robertson</v>
      </c>
      <c r="O934" s="8" t="str">
        <f t="array" ref="O934">XLOOKUP(C934,Customer_Dim!A:A,Customer_Dim!E:E,"Not Found")</f>
        <v>Hubbardborough</v>
      </c>
      <c r="P934" s="8" t="str">
        <f t="array" ref="P934">XLOOKUP(D934,Product_Dim!A:A,Product_Dim!B:B,"Not Found")</f>
        <v>Women's Scarf Set</v>
      </c>
      <c r="Q934" s="8" t="str">
        <f t="array" ref="Q934">XLOOKUP(D934,Product_Dim!A:A,Product_Dim!C:C,"Not Found")</f>
        <v>Clothing</v>
      </c>
      <c r="R934" s="8" t="str">
        <f t="array" ref="R934">XLOOKUP(E934,Store_Dim!A:A,Store_Dim!B:B,"Not Found")</f>
        <v>North</v>
      </c>
      <c r="S934" s="8" t="str">
        <f t="array" ref="S934">XLOOKUP(E934,Store_Dim!A:A,Store_Dim!D:D,"Not Found")</f>
        <v>Flagship</v>
      </c>
    </row>
    <row r="935" ht="14.25" customHeight="1">
      <c r="A935" s="8" t="s">
        <v>2888</v>
      </c>
      <c r="B935" s="12">
        <v>46413.0</v>
      </c>
      <c r="C935" s="8" t="s">
        <v>234</v>
      </c>
      <c r="D935" s="8" t="s">
        <v>1700</v>
      </c>
      <c r="E935" s="8" t="s">
        <v>1928</v>
      </c>
      <c r="F935" s="8">
        <v>3.0</v>
      </c>
      <c r="G935" s="8">
        <v>649.78</v>
      </c>
      <c r="H935" s="8">
        <v>0.1</v>
      </c>
      <c r="I935" s="8">
        <f t="shared" si="1"/>
        <v>1949.34</v>
      </c>
      <c r="J935" s="8">
        <f t="shared" si="2"/>
        <v>-194.834</v>
      </c>
      <c r="K935" s="8" t="str">
        <f t="shared" si="3"/>
        <v>Jan</v>
      </c>
      <c r="L935" s="8">
        <f t="shared" si="4"/>
        <v>2027</v>
      </c>
      <c r="N935" s="8" t="str">
        <f t="array" ref="N935">XLOOKUP(C935,Customer_Dim!A:A,Customer_Dim!B:B,"Not Found")</f>
        <v>Dr. David Smith</v>
      </c>
      <c r="O935" s="8" t="str">
        <f t="array" ref="O935">XLOOKUP(C935,Customer_Dim!A:A,Customer_Dim!E:E,"Not Found")</f>
        <v>Schmidtchester</v>
      </c>
      <c r="P935" s="8" t="str">
        <f t="array" ref="P935">XLOOKUP(D935,Product_Dim!A:A,Product_Dim!B:B,"Not Found")</f>
        <v>Sports Water Hydration Pack</v>
      </c>
      <c r="Q935" s="8" t="str">
        <f t="array" ref="Q935">XLOOKUP(D935,Product_Dim!A:A,Product_Dim!C:C,"Not Found")</f>
        <v>Sports</v>
      </c>
      <c r="R935" s="8" t="str">
        <f t="array" ref="R935">XLOOKUP(E935,Store_Dim!A:A,Store_Dim!B:B,"Not Found")</f>
        <v>South</v>
      </c>
      <c r="S935" s="8" t="str">
        <f t="array" ref="S935">XLOOKUP(E935,Store_Dim!A:A,Store_Dim!D:D,"Not Found")</f>
        <v>Online</v>
      </c>
    </row>
    <row r="936" ht="14.25" customHeight="1">
      <c r="A936" s="8" t="s">
        <v>2889</v>
      </c>
      <c r="B936" s="12">
        <v>46414.0</v>
      </c>
      <c r="C936" s="8" t="s">
        <v>800</v>
      </c>
      <c r="D936" s="8" t="s">
        <v>1703</v>
      </c>
      <c r="E936" s="8" t="s">
        <v>1924</v>
      </c>
      <c r="F936" s="8">
        <v>2.0</v>
      </c>
      <c r="G936" s="8">
        <v>986.73</v>
      </c>
      <c r="H936" s="8">
        <v>0.05</v>
      </c>
      <c r="I936" s="8">
        <f t="shared" si="1"/>
        <v>1973.46</v>
      </c>
      <c r="J936" s="8">
        <f t="shared" si="2"/>
        <v>-98.623</v>
      </c>
      <c r="K936" s="8" t="str">
        <f t="shared" si="3"/>
        <v>Jan</v>
      </c>
      <c r="L936" s="8">
        <f t="shared" si="4"/>
        <v>2027</v>
      </c>
      <c r="N936" s="8" t="str">
        <f t="array" ref="N936">XLOOKUP(C936,Customer_Dim!A:A,Customer_Dim!B:B,"Not Found")</f>
        <v>Laura Soto</v>
      </c>
      <c r="O936" s="8" t="str">
        <f t="array" ref="O936">XLOOKUP(C936,Customer_Dim!A:A,Customer_Dim!E:E,"Not Found")</f>
        <v>Rodriguezton</v>
      </c>
      <c r="P936" s="8" t="str">
        <f t="array" ref="P936">XLOOKUP(D936,Product_Dim!A:A,Product_Dim!B:B,"Not Found")</f>
        <v>Portable Power Bank</v>
      </c>
      <c r="Q936" s="8" t="str">
        <f t="array" ref="Q936">XLOOKUP(D936,Product_Dim!A:A,Product_Dim!C:C,"Not Found")</f>
        <v>Electronics</v>
      </c>
      <c r="R936" s="8" t="str">
        <f t="array" ref="R936">XLOOKUP(E936,Store_Dim!A:A,Store_Dim!B:B,"Not Found")</f>
        <v>South</v>
      </c>
      <c r="S936" s="8" t="str">
        <f t="array" ref="S936">XLOOKUP(E936,Store_Dim!A:A,Store_Dim!D:D,"Not Found")</f>
        <v>Flagship</v>
      </c>
    </row>
    <row r="937" ht="14.25" customHeight="1">
      <c r="A937" s="8" t="s">
        <v>2890</v>
      </c>
      <c r="B937" s="12">
        <v>46415.0</v>
      </c>
      <c r="C937" s="8" t="s">
        <v>424</v>
      </c>
      <c r="D937" s="8" t="s">
        <v>1617</v>
      </c>
      <c r="E937" s="8" t="s">
        <v>1933</v>
      </c>
      <c r="F937" s="8">
        <v>2.0</v>
      </c>
      <c r="G937" s="8">
        <v>65.44</v>
      </c>
      <c r="H937" s="8">
        <v>0.05</v>
      </c>
      <c r="I937" s="8">
        <f t="shared" si="1"/>
        <v>130.88</v>
      </c>
      <c r="J937" s="8">
        <f t="shared" si="2"/>
        <v>-6.494</v>
      </c>
      <c r="K937" s="8" t="str">
        <f t="shared" si="3"/>
        <v>Jan</v>
      </c>
      <c r="L937" s="8">
        <f t="shared" si="4"/>
        <v>2027</v>
      </c>
      <c r="N937" s="8" t="str">
        <f t="array" ref="N937">XLOOKUP(C937,Customer_Dim!A:A,Customer_Dim!B:B,"Not Found")</f>
        <v>Michael Jones</v>
      </c>
      <c r="O937" s="8" t="str">
        <f t="array" ref="O937">XLOOKUP(C937,Customer_Dim!A:A,Customer_Dim!E:E,"Not Found")</f>
        <v>North Edwardton</v>
      </c>
      <c r="P937" s="8" t="str">
        <f t="array" ref="P937">XLOOKUP(D937,Product_Dim!A:A,Product_Dim!B:B,"Not Found")</f>
        <v>USB-C Fast Charger</v>
      </c>
      <c r="Q937" s="8" t="str">
        <f t="array" ref="Q937">XLOOKUP(D937,Product_Dim!A:A,Product_Dim!C:C,"Not Found")</f>
        <v>Electronics</v>
      </c>
      <c r="R937" s="8" t="str">
        <f t="array" ref="R937">XLOOKUP(E937,Store_Dim!A:A,Store_Dim!B:B,"Not Found")</f>
        <v>North</v>
      </c>
      <c r="S937" s="8" t="str">
        <f t="array" ref="S937">XLOOKUP(E937,Store_Dim!A:A,Store_Dim!D:D,"Not Found")</f>
        <v>Flagship</v>
      </c>
    </row>
    <row r="938" ht="14.25" customHeight="1">
      <c r="A938" s="8" t="s">
        <v>2891</v>
      </c>
      <c r="B938" s="12">
        <v>46416.0</v>
      </c>
      <c r="C938" s="8" t="s">
        <v>1212</v>
      </c>
      <c r="D938" s="8" t="s">
        <v>1778</v>
      </c>
      <c r="E938" s="8" t="s">
        <v>1931</v>
      </c>
      <c r="F938" s="8">
        <v>3.0</v>
      </c>
      <c r="G938" s="8">
        <v>953.74</v>
      </c>
      <c r="H938" s="8">
        <v>0.04</v>
      </c>
      <c r="I938" s="8">
        <f t="shared" si="1"/>
        <v>2861.22</v>
      </c>
      <c r="J938" s="8">
        <f t="shared" si="2"/>
        <v>-114.4088</v>
      </c>
      <c r="K938" s="8" t="str">
        <f t="shared" si="3"/>
        <v>Jan</v>
      </c>
      <c r="L938" s="8">
        <f t="shared" si="4"/>
        <v>2027</v>
      </c>
      <c r="N938" s="8" t="str">
        <f t="array" ref="N938">XLOOKUP(C938,Customer_Dim!A:A,Customer_Dim!B:B,"Not Found")</f>
        <v>Kristine Higgins</v>
      </c>
      <c r="O938" s="8" t="str">
        <f t="array" ref="O938">XLOOKUP(C938,Customer_Dim!A:A,Customer_Dim!E:E,"Not Found")</f>
        <v>Jennifertown</v>
      </c>
      <c r="P938" s="8" t="str">
        <f t="array" ref="P938">XLOOKUP(D938,Product_Dim!A:A,Product_Dim!B:B,"Not Found")</f>
        <v>Organic Sunscreen Lotion</v>
      </c>
      <c r="Q938" s="8" t="str">
        <f t="array" ref="Q938">XLOOKUP(D938,Product_Dim!A:A,Product_Dim!C:C,"Not Found")</f>
        <v>Beauty</v>
      </c>
      <c r="R938" s="8" t="str">
        <f t="array" ref="R938">XLOOKUP(E938,Store_Dim!A:A,Store_Dim!B:B,"Not Found")</f>
        <v>East</v>
      </c>
      <c r="S938" s="8" t="str">
        <f t="array" ref="S938">XLOOKUP(E938,Store_Dim!A:A,Store_Dim!D:D,"Not Found")</f>
        <v>Flagship</v>
      </c>
    </row>
    <row r="939" ht="14.25" customHeight="1">
      <c r="A939" s="8" t="s">
        <v>2892</v>
      </c>
      <c r="B939" s="12">
        <v>46417.0</v>
      </c>
      <c r="C939" s="8" t="s">
        <v>257</v>
      </c>
      <c r="D939" s="8" t="s">
        <v>1818</v>
      </c>
      <c r="E939" s="8" t="s">
        <v>1926</v>
      </c>
      <c r="F939" s="8">
        <v>3.0</v>
      </c>
      <c r="G939" s="8">
        <v>904.48</v>
      </c>
      <c r="H939" s="8">
        <v>0.21</v>
      </c>
      <c r="I939" s="8">
        <f t="shared" si="1"/>
        <v>2713.44</v>
      </c>
      <c r="J939" s="8">
        <f t="shared" si="2"/>
        <v>-569.6124</v>
      </c>
      <c r="K939" s="8" t="str">
        <f t="shared" si="3"/>
        <v>Jan</v>
      </c>
      <c r="L939" s="8">
        <f t="shared" si="4"/>
        <v>2027</v>
      </c>
      <c r="N939" s="8" t="str">
        <f t="array" ref="N939">XLOOKUP(C939,Customer_Dim!A:A,Customer_Dim!B:B,"Not Found")</f>
        <v>Amber Mcclain</v>
      </c>
      <c r="O939" s="8" t="str">
        <f t="array" ref="O939">XLOOKUP(C939,Customer_Dim!A:A,Customer_Dim!E:E,"Not Found")</f>
        <v>Brendaburgh</v>
      </c>
      <c r="P939" s="8" t="str">
        <f t="array" ref="P939">XLOOKUP(D939,Product_Dim!A:A,Product_Dim!B:B,"Not Found")</f>
        <v>Wireless Mouse</v>
      </c>
      <c r="Q939" s="8" t="str">
        <f t="array" ref="Q939">XLOOKUP(D939,Product_Dim!A:A,Product_Dim!C:C,"Not Found")</f>
        <v>Electronics</v>
      </c>
      <c r="R939" s="8" t="str">
        <f t="array" ref="R939">XLOOKUP(E939,Store_Dim!A:A,Store_Dim!B:B,"Not Found")</f>
        <v>East</v>
      </c>
      <c r="S939" s="8" t="str">
        <f t="array" ref="S939">XLOOKUP(E939,Store_Dim!A:A,Store_Dim!D:D,"Not Found")</f>
        <v>Online</v>
      </c>
    </row>
    <row r="940" ht="14.25" customHeight="1">
      <c r="A940" s="8" t="s">
        <v>2893</v>
      </c>
      <c r="B940" s="12">
        <v>46418.0</v>
      </c>
      <c r="C940" s="8" t="s">
        <v>1529</v>
      </c>
      <c r="D940" s="8" t="s">
        <v>1775</v>
      </c>
      <c r="E940" s="8" t="s">
        <v>1933</v>
      </c>
      <c r="F940" s="8">
        <v>3.0</v>
      </c>
      <c r="G940" s="8">
        <v>920.82</v>
      </c>
      <c r="H940" s="8">
        <v>0.1</v>
      </c>
      <c r="I940" s="8">
        <f t="shared" si="1"/>
        <v>2762.46</v>
      </c>
      <c r="J940" s="8">
        <f t="shared" si="2"/>
        <v>-276.146</v>
      </c>
      <c r="K940" s="8" t="str">
        <f t="shared" si="3"/>
        <v>Jan</v>
      </c>
      <c r="L940" s="8">
        <f t="shared" si="4"/>
        <v>2027</v>
      </c>
      <c r="N940" s="8" t="str">
        <f t="array" ref="N940">XLOOKUP(C940,Customer_Dim!A:A,Customer_Dim!B:B,"Not Found")</f>
        <v>Darrell Miller</v>
      </c>
      <c r="O940" s="8" t="str">
        <f t="array" ref="O940">XLOOKUP(C940,Customer_Dim!A:A,Customer_Dim!E:E,"Not Found")</f>
        <v>Port Carol</v>
      </c>
      <c r="P940" s="8" t="str">
        <f t="array" ref="P940">XLOOKUP(D940,Product_Dim!A:A,Product_Dim!B:B,"Not Found")</f>
        <v>Laptop Cooling Pad</v>
      </c>
      <c r="Q940" s="8" t="str">
        <f t="array" ref="Q940">XLOOKUP(D940,Product_Dim!A:A,Product_Dim!C:C,"Not Found")</f>
        <v>Electronics</v>
      </c>
      <c r="R940" s="8" t="str">
        <f t="array" ref="R940">XLOOKUP(E940,Store_Dim!A:A,Store_Dim!B:B,"Not Found")</f>
        <v>North</v>
      </c>
      <c r="S940" s="8" t="str">
        <f t="array" ref="S940">XLOOKUP(E940,Store_Dim!A:A,Store_Dim!D:D,"Not Found")</f>
        <v>Flagship</v>
      </c>
    </row>
    <row r="941" ht="14.25" customHeight="1">
      <c r="A941" s="8" t="s">
        <v>2894</v>
      </c>
      <c r="B941" s="12">
        <v>46419.0</v>
      </c>
      <c r="C941" s="8" t="s">
        <v>978</v>
      </c>
      <c r="D941" s="8" t="s">
        <v>1668</v>
      </c>
      <c r="E941" s="8" t="s">
        <v>1903</v>
      </c>
      <c r="F941" s="8">
        <v>1.0</v>
      </c>
      <c r="G941" s="8">
        <v>182.28</v>
      </c>
      <c r="H941" s="8">
        <v>0.15</v>
      </c>
      <c r="I941" s="8">
        <f t="shared" si="1"/>
        <v>182.28</v>
      </c>
      <c r="J941" s="8">
        <f t="shared" si="2"/>
        <v>-27.192</v>
      </c>
      <c r="K941" s="8" t="str">
        <f t="shared" si="3"/>
        <v>Feb</v>
      </c>
      <c r="L941" s="8">
        <f t="shared" si="4"/>
        <v>2027</v>
      </c>
      <c r="N941" s="8" t="str">
        <f t="array" ref="N941">XLOOKUP(C941,Customer_Dim!A:A,Customer_Dim!B:B,"Not Found")</f>
        <v>Roberta Green</v>
      </c>
      <c r="O941" s="8" t="str">
        <f t="array" ref="O941">XLOOKUP(C941,Customer_Dim!A:A,Customer_Dim!E:E,"Not Found")</f>
        <v>West Joseph</v>
      </c>
      <c r="P941" s="8" t="str">
        <f t="array" ref="P941">XLOOKUP(D941,Product_Dim!A:A,Product_Dim!B:B,"Not Found")</f>
        <v>Sports Stopwatch Timer</v>
      </c>
      <c r="Q941" s="8" t="str">
        <f t="array" ref="Q941">XLOOKUP(D941,Product_Dim!A:A,Product_Dim!C:C,"Not Found")</f>
        <v>Sports</v>
      </c>
      <c r="R941" s="8" t="str">
        <f t="array" ref="R941">XLOOKUP(E941,Store_Dim!A:A,Store_Dim!B:B,"Not Found")</f>
        <v>North</v>
      </c>
      <c r="S941" s="8" t="str">
        <f t="array" ref="S941">XLOOKUP(E941,Store_Dim!A:A,Store_Dim!D:D,"Not Found")</f>
        <v>Flagship</v>
      </c>
    </row>
    <row r="942" ht="14.25" customHeight="1">
      <c r="A942" s="8" t="s">
        <v>2895</v>
      </c>
      <c r="B942" s="12">
        <v>46420.0</v>
      </c>
      <c r="C942" s="8" t="s">
        <v>1393</v>
      </c>
      <c r="D942" s="8" t="s">
        <v>1677</v>
      </c>
      <c r="E942" s="8" t="s">
        <v>1935</v>
      </c>
      <c r="F942" s="8">
        <v>3.0</v>
      </c>
      <c r="G942" s="8">
        <v>938.68</v>
      </c>
      <c r="H942" s="8">
        <v>0.14</v>
      </c>
      <c r="I942" s="8">
        <f t="shared" si="1"/>
        <v>2816.04</v>
      </c>
      <c r="J942" s="8">
        <f t="shared" si="2"/>
        <v>-394.1056</v>
      </c>
      <c r="K942" s="8" t="str">
        <f t="shared" si="3"/>
        <v>Feb</v>
      </c>
      <c r="L942" s="8">
        <f t="shared" si="4"/>
        <v>2027</v>
      </c>
      <c r="N942" s="8" t="str">
        <f t="array" ref="N942">XLOOKUP(C942,Customer_Dim!A:A,Customer_Dim!B:B,"Not Found")</f>
        <v>Gene Lee</v>
      </c>
      <c r="O942" s="8" t="str">
        <f t="array" ref="O942">XLOOKUP(C942,Customer_Dim!A:A,Customer_Dim!E:E,"Not Found")</f>
        <v>Mcfarlandmouth</v>
      </c>
      <c r="P942" s="8" t="str">
        <f t="array" ref="P942">XLOOKUP(D942,Product_Dim!A:A,Product_Dim!B:B,"Not Found")</f>
        <v>Basketball</v>
      </c>
      <c r="Q942" s="8" t="str">
        <f t="array" ref="Q942">XLOOKUP(D942,Product_Dim!A:A,Product_Dim!C:C,"Not Found")</f>
        <v>Sports</v>
      </c>
      <c r="R942" s="8" t="str">
        <f t="array" ref="R942">XLOOKUP(E942,Store_Dim!A:A,Store_Dim!B:B,"Not Found")</f>
        <v>West</v>
      </c>
      <c r="S942" s="8" t="str">
        <f t="array" ref="S942">XLOOKUP(E942,Store_Dim!A:A,Store_Dim!D:D,"Not Found")</f>
        <v>Flagship</v>
      </c>
    </row>
    <row r="943" ht="14.25" customHeight="1">
      <c r="A943" s="8" t="s">
        <v>2896</v>
      </c>
      <c r="B943" s="12">
        <v>46421.0</v>
      </c>
      <c r="C943" s="8" t="s">
        <v>305</v>
      </c>
      <c r="D943" s="8" t="s">
        <v>1863</v>
      </c>
      <c r="E943" s="8" t="s">
        <v>1915</v>
      </c>
      <c r="F943" s="8">
        <v>3.0</v>
      </c>
      <c r="G943" s="8">
        <v>219.96</v>
      </c>
      <c r="H943" s="8">
        <v>0.18</v>
      </c>
      <c r="I943" s="8">
        <f t="shared" si="1"/>
        <v>659.88</v>
      </c>
      <c r="J943" s="8">
        <f t="shared" si="2"/>
        <v>-118.5984</v>
      </c>
      <c r="K943" s="8" t="str">
        <f t="shared" si="3"/>
        <v>Feb</v>
      </c>
      <c r="L943" s="8">
        <f t="shared" si="4"/>
        <v>2027</v>
      </c>
      <c r="N943" s="8" t="str">
        <f t="array" ref="N943">XLOOKUP(C943,Customer_Dim!A:A,Customer_Dim!B:B,"Not Found")</f>
        <v>Krystal Ford</v>
      </c>
      <c r="O943" s="8" t="str">
        <f t="array" ref="O943">XLOOKUP(C943,Customer_Dim!A:A,Customer_Dim!E:E,"Not Found")</f>
        <v>South David</v>
      </c>
      <c r="P943" s="8" t="str">
        <f t="array" ref="P943">XLOOKUP(D943,Product_Dim!A:A,Product_Dim!B:B,"Not Found")</f>
        <v>Women's High Heels</v>
      </c>
      <c r="Q943" s="8" t="str">
        <f t="array" ref="Q943">XLOOKUP(D943,Product_Dim!A:A,Product_Dim!C:C,"Not Found")</f>
        <v>Clothing</v>
      </c>
      <c r="R943" s="8" t="str">
        <f t="array" ref="R943">XLOOKUP(E943,Store_Dim!A:A,Store_Dim!B:B,"Not Found")</f>
        <v>North</v>
      </c>
      <c r="S943" s="8" t="str">
        <f t="array" ref="S943">XLOOKUP(E943,Store_Dim!A:A,Store_Dim!D:D,"Not Found")</f>
        <v>Outlet</v>
      </c>
    </row>
    <row r="944" ht="14.25" customHeight="1">
      <c r="A944" s="8" t="s">
        <v>2897</v>
      </c>
      <c r="B944" s="12">
        <v>46422.0</v>
      </c>
      <c r="C944" s="8" t="s">
        <v>1474</v>
      </c>
      <c r="D944" s="8" t="s">
        <v>1803</v>
      </c>
      <c r="E944" s="8" t="s">
        <v>1939</v>
      </c>
      <c r="F944" s="8">
        <v>3.0</v>
      </c>
      <c r="G944" s="8">
        <v>385.74</v>
      </c>
      <c r="H944" s="8">
        <v>0.27</v>
      </c>
      <c r="I944" s="8">
        <f t="shared" si="1"/>
        <v>1157.22</v>
      </c>
      <c r="J944" s="8">
        <f t="shared" si="2"/>
        <v>-312.1794</v>
      </c>
      <c r="K944" s="8" t="str">
        <f t="shared" si="3"/>
        <v>Feb</v>
      </c>
      <c r="L944" s="8">
        <f t="shared" si="4"/>
        <v>2027</v>
      </c>
      <c r="N944" s="8" t="str">
        <f t="array" ref="N944">XLOOKUP(C944,Customer_Dim!A:A,Customer_Dim!B:B,"Not Found")</f>
        <v>Laura Mathews</v>
      </c>
      <c r="O944" s="8" t="str">
        <f t="array" ref="O944">XLOOKUP(C944,Customer_Dim!A:A,Customer_Dim!E:E,"Not Found")</f>
        <v>Chambersfurt</v>
      </c>
      <c r="P944" s="8" t="str">
        <f t="array" ref="P944">XLOOKUP(D944,Product_Dim!A:A,Product_Dim!B:B,"Not Found")</f>
        <v>Hair Repair Oil Treatment</v>
      </c>
      <c r="Q944" s="8" t="str">
        <f t="array" ref="Q944">XLOOKUP(D944,Product_Dim!A:A,Product_Dim!C:C,"Not Found")</f>
        <v>Beauty</v>
      </c>
      <c r="R944" s="8" t="str">
        <f t="array" ref="R944">XLOOKUP(E944,Store_Dim!A:A,Store_Dim!B:B,"Not Found")</f>
        <v>East</v>
      </c>
      <c r="S944" s="8" t="str">
        <f t="array" ref="S944">XLOOKUP(E944,Store_Dim!A:A,Store_Dim!D:D,"Not Found")</f>
        <v>Flagship</v>
      </c>
    </row>
    <row r="945" ht="14.25" customHeight="1">
      <c r="A945" s="8" t="s">
        <v>2898</v>
      </c>
      <c r="B945" s="12">
        <v>46423.0</v>
      </c>
      <c r="C945" s="8" t="s">
        <v>1416</v>
      </c>
      <c r="D945" s="8" t="s">
        <v>1833</v>
      </c>
      <c r="E945" s="8" t="s">
        <v>1939</v>
      </c>
      <c r="F945" s="8">
        <v>2.0</v>
      </c>
      <c r="G945" s="8">
        <v>830.94</v>
      </c>
      <c r="H945" s="8">
        <v>0.28</v>
      </c>
      <c r="I945" s="8">
        <f t="shared" si="1"/>
        <v>1661.88</v>
      </c>
      <c r="J945" s="8">
        <f t="shared" si="2"/>
        <v>-465.0464</v>
      </c>
      <c r="K945" s="8" t="str">
        <f t="shared" si="3"/>
        <v>Feb</v>
      </c>
      <c r="L945" s="8">
        <f t="shared" si="4"/>
        <v>2027</v>
      </c>
      <c r="N945" s="8" t="str">
        <f t="array" ref="N945">XLOOKUP(C945,Customer_Dim!A:A,Customer_Dim!B:B,"Not Found")</f>
        <v>April Phillips</v>
      </c>
      <c r="O945" s="8" t="str">
        <f t="array" ref="O945">XLOOKUP(C945,Customer_Dim!A:A,Customer_Dim!E:E,"Not Found")</f>
        <v>Lake Carolyn</v>
      </c>
      <c r="P945" s="8" t="str">
        <f t="array" ref="P945">XLOOKUP(D945,Product_Dim!A:A,Product_Dim!B:B,"Not Found")</f>
        <v>Badminton Racket Set</v>
      </c>
      <c r="Q945" s="8" t="str">
        <f t="array" ref="Q945">XLOOKUP(D945,Product_Dim!A:A,Product_Dim!C:C,"Not Found")</f>
        <v>Sports</v>
      </c>
      <c r="R945" s="8" t="str">
        <f t="array" ref="R945">XLOOKUP(E945,Store_Dim!A:A,Store_Dim!B:B,"Not Found")</f>
        <v>East</v>
      </c>
      <c r="S945" s="8" t="str">
        <f t="array" ref="S945">XLOOKUP(E945,Store_Dim!A:A,Store_Dim!D:D,"Not Found")</f>
        <v>Flagship</v>
      </c>
    </row>
    <row r="946" ht="14.25" customHeight="1">
      <c r="A946" s="8" t="s">
        <v>2899</v>
      </c>
      <c r="B946" s="12">
        <v>46424.0</v>
      </c>
      <c r="C946" s="8" t="s">
        <v>1212</v>
      </c>
      <c r="D946" s="8" t="s">
        <v>2052</v>
      </c>
      <c r="E946" s="8" t="s">
        <v>1924</v>
      </c>
      <c r="F946" s="8">
        <v>3.0</v>
      </c>
      <c r="G946" s="8">
        <v>462.75</v>
      </c>
      <c r="H946" s="8">
        <v>0.22</v>
      </c>
      <c r="I946" s="8">
        <f t="shared" si="1"/>
        <v>1388.25</v>
      </c>
      <c r="J946" s="8">
        <f t="shared" si="2"/>
        <v>-305.195</v>
      </c>
      <c r="K946" s="8" t="str">
        <f t="shared" si="3"/>
        <v>Feb</v>
      </c>
      <c r="L946" s="8">
        <f t="shared" si="4"/>
        <v>2027</v>
      </c>
      <c r="N946" s="8" t="str">
        <f t="array" ref="N946">XLOOKUP(C946,Customer_Dim!A:A,Customer_Dim!B:B,"Not Found")</f>
        <v>Kristine Higgins</v>
      </c>
      <c r="O946" s="8" t="str">
        <f t="array" ref="O946">XLOOKUP(C946,Customer_Dim!A:A,Customer_Dim!E:E,"Not Found")</f>
        <v>Jennifertown</v>
      </c>
      <c r="P946" s="8" t="str">
        <f t="array" ref="P946">XLOOKUP(D946,Product_Dim!A:A,Product_Dim!B:B,"Not Found")</f>
        <v>Not Found</v>
      </c>
      <c r="Q946" s="8" t="str">
        <f t="array" ref="Q946">XLOOKUP(D946,Product_Dim!A:A,Product_Dim!C:C,"Not Found")</f>
        <v>Not Found</v>
      </c>
      <c r="R946" s="8" t="str">
        <f t="array" ref="R946">XLOOKUP(E946,Store_Dim!A:A,Store_Dim!B:B,"Not Found")</f>
        <v>South</v>
      </c>
      <c r="S946" s="8" t="str">
        <f t="array" ref="S946">XLOOKUP(E946,Store_Dim!A:A,Store_Dim!D:D,"Not Found")</f>
        <v>Flagship</v>
      </c>
    </row>
    <row r="947" ht="14.25" customHeight="1">
      <c r="A947" s="8" t="s">
        <v>2900</v>
      </c>
      <c r="B947" s="12">
        <v>46425.0</v>
      </c>
      <c r="C947" s="8" t="s">
        <v>257</v>
      </c>
      <c r="D947" s="8" t="s">
        <v>1620</v>
      </c>
      <c r="E947" s="8" t="s">
        <v>1933</v>
      </c>
      <c r="F947" s="8">
        <v>4.0</v>
      </c>
      <c r="G947" s="8">
        <v>973.9</v>
      </c>
      <c r="H947" s="8">
        <v>0.02</v>
      </c>
      <c r="I947" s="8">
        <f t="shared" si="1"/>
        <v>3895.6</v>
      </c>
      <c r="J947" s="8">
        <f t="shared" si="2"/>
        <v>-77.892</v>
      </c>
      <c r="K947" s="8" t="str">
        <f t="shared" si="3"/>
        <v>Feb</v>
      </c>
      <c r="L947" s="8">
        <f t="shared" si="4"/>
        <v>2027</v>
      </c>
      <c r="N947" s="8" t="str">
        <f t="array" ref="N947">XLOOKUP(C947,Customer_Dim!A:A,Customer_Dim!B:B,"Not Found")</f>
        <v>Amber Mcclain</v>
      </c>
      <c r="O947" s="8" t="str">
        <f t="array" ref="O947">XLOOKUP(C947,Customer_Dim!A:A,Customer_Dim!E:E,"Not Found")</f>
        <v>Brendaburgh</v>
      </c>
      <c r="P947" s="8" t="str">
        <f t="array" ref="P947">XLOOKUP(D947,Product_Dim!A:A,Product_Dim!B:B,"Not Found")</f>
        <v>Decorative Wall Mirror</v>
      </c>
      <c r="Q947" s="8" t="str">
        <f t="array" ref="Q947">XLOOKUP(D947,Product_Dim!A:A,Product_Dim!C:C,"Not Found")</f>
        <v>Home</v>
      </c>
      <c r="R947" s="8" t="str">
        <f t="array" ref="R947">XLOOKUP(E947,Store_Dim!A:A,Store_Dim!B:B,"Not Found")</f>
        <v>North</v>
      </c>
      <c r="S947" s="8" t="str">
        <f t="array" ref="S947">XLOOKUP(E947,Store_Dim!A:A,Store_Dim!D:D,"Not Found")</f>
        <v>Flagship</v>
      </c>
    </row>
    <row r="948" ht="14.25" customHeight="1">
      <c r="A948" s="8" t="s">
        <v>2901</v>
      </c>
      <c r="B948" s="12">
        <v>46426.0</v>
      </c>
      <c r="C948" s="8" t="s">
        <v>487</v>
      </c>
      <c r="D948" s="8" t="s">
        <v>1690</v>
      </c>
      <c r="E948" s="8" t="s">
        <v>1903</v>
      </c>
      <c r="F948" s="8">
        <v>2.0</v>
      </c>
      <c r="G948" s="8">
        <v>157.18</v>
      </c>
      <c r="H948" s="8">
        <v>0.15</v>
      </c>
      <c r="I948" s="8">
        <f t="shared" si="1"/>
        <v>314.36</v>
      </c>
      <c r="J948" s="8">
        <f t="shared" si="2"/>
        <v>-47.004</v>
      </c>
      <c r="K948" s="8" t="str">
        <f t="shared" si="3"/>
        <v>Feb</v>
      </c>
      <c r="L948" s="8">
        <f t="shared" si="4"/>
        <v>2027</v>
      </c>
      <c r="N948" s="8" t="str">
        <f t="array" ref="N948">XLOOKUP(C948,Customer_Dim!A:A,Customer_Dim!B:B,"Not Found")</f>
        <v>Patty Francis</v>
      </c>
      <c r="O948" s="8" t="str">
        <f t="array" ref="O948">XLOOKUP(C948,Customer_Dim!A:A,Customer_Dim!E:E,"Not Found")</f>
        <v>South Brooke</v>
      </c>
      <c r="P948" s="8" t="str">
        <f t="array" ref="P948">XLOOKUP(D948,Product_Dim!A:A,Product_Dim!B:B,"Not Found")</f>
        <v>Bedroom Table Lamp</v>
      </c>
      <c r="Q948" s="8" t="str">
        <f t="array" ref="Q948">XLOOKUP(D948,Product_Dim!A:A,Product_Dim!C:C,"Not Found")</f>
        <v>Home</v>
      </c>
      <c r="R948" s="8" t="str">
        <f t="array" ref="R948">XLOOKUP(E948,Store_Dim!A:A,Store_Dim!B:B,"Not Found")</f>
        <v>North</v>
      </c>
      <c r="S948" s="8" t="str">
        <f t="array" ref="S948">XLOOKUP(E948,Store_Dim!A:A,Store_Dim!D:D,"Not Found")</f>
        <v>Flagship</v>
      </c>
    </row>
    <row r="949" ht="14.25" customHeight="1">
      <c r="A949" s="8" t="s">
        <v>2902</v>
      </c>
      <c r="B949" s="12">
        <v>46427.0</v>
      </c>
      <c r="C949" s="8" t="s">
        <v>72</v>
      </c>
      <c r="D949" s="8" t="s">
        <v>1809</v>
      </c>
      <c r="E949" s="8" t="s">
        <v>1931</v>
      </c>
      <c r="F949" s="8">
        <v>3.0</v>
      </c>
      <c r="G949" s="8">
        <v>239.57</v>
      </c>
      <c r="H949" s="8">
        <v>0.16</v>
      </c>
      <c r="I949" s="8">
        <f t="shared" si="1"/>
        <v>718.71</v>
      </c>
      <c r="J949" s="8">
        <f t="shared" si="2"/>
        <v>-114.8336</v>
      </c>
      <c r="K949" s="8" t="str">
        <f t="shared" si="3"/>
        <v>Feb</v>
      </c>
      <c r="L949" s="8">
        <f t="shared" si="4"/>
        <v>2027</v>
      </c>
      <c r="N949" s="8" t="str">
        <f t="array" ref="N949">XLOOKUP(C949,Customer_Dim!A:A,Customer_Dim!B:B,"Not Found")</f>
        <v>Nathan Hernandez</v>
      </c>
      <c r="O949" s="8" t="str">
        <f t="array" ref="O949">XLOOKUP(C949,Customer_Dim!A:A,Customer_Dim!E:E,"Not Found")</f>
        <v>New Becky</v>
      </c>
      <c r="P949" s="8" t="str">
        <f t="array" ref="P949">XLOOKUP(D949,Product_Dim!A:A,Product_Dim!B:B,"Not Found")</f>
        <v>Shin Guards – Adult</v>
      </c>
      <c r="Q949" s="8" t="str">
        <f t="array" ref="Q949">XLOOKUP(D949,Product_Dim!A:A,Product_Dim!C:C,"Not Found")</f>
        <v>Sports</v>
      </c>
      <c r="R949" s="8" t="str">
        <f t="array" ref="R949">XLOOKUP(E949,Store_Dim!A:A,Store_Dim!B:B,"Not Found")</f>
        <v>East</v>
      </c>
      <c r="S949" s="8" t="str">
        <f t="array" ref="S949">XLOOKUP(E949,Store_Dim!A:A,Store_Dim!D:D,"Not Found")</f>
        <v>Flagship</v>
      </c>
    </row>
    <row r="950" ht="14.25" customHeight="1">
      <c r="A950" s="8" t="s">
        <v>2903</v>
      </c>
      <c r="B950" s="12">
        <v>46428.0</v>
      </c>
      <c r="C950" s="8" t="s">
        <v>1044</v>
      </c>
      <c r="D950" s="8" t="s">
        <v>1601</v>
      </c>
      <c r="E950" s="8" t="s">
        <v>1935</v>
      </c>
      <c r="F950" s="8">
        <v>4.0</v>
      </c>
      <c r="G950" s="8">
        <v>583.21</v>
      </c>
      <c r="H950" s="8">
        <v>0.2</v>
      </c>
      <c r="I950" s="8">
        <f t="shared" si="1"/>
        <v>2332.84</v>
      </c>
      <c r="J950" s="8">
        <f t="shared" si="2"/>
        <v>-466.368</v>
      </c>
      <c r="K950" s="8" t="str">
        <f t="shared" si="3"/>
        <v>Feb</v>
      </c>
      <c r="L950" s="8">
        <f t="shared" si="4"/>
        <v>2027</v>
      </c>
      <c r="N950" s="8" t="str">
        <f t="array" ref="N950">XLOOKUP(C950,Customer_Dim!A:A,Customer_Dim!B:B,"Not Found")</f>
        <v>Reginald Willis</v>
      </c>
      <c r="O950" s="8" t="str">
        <f t="array" ref="O950">XLOOKUP(C950,Customer_Dim!A:A,Customer_Dim!E:E,"Not Found")</f>
        <v>Kellybury</v>
      </c>
      <c r="P950" s="8" t="str">
        <f t="array" ref="P950">XLOOKUP(D950,Product_Dim!A:A,Product_Dim!B:B,"Not Found")</f>
        <v>Adjustable Dumbbell Set</v>
      </c>
      <c r="Q950" s="8" t="str">
        <f t="array" ref="Q950">XLOOKUP(D950,Product_Dim!A:A,Product_Dim!C:C,"Not Found")</f>
        <v>Sports</v>
      </c>
      <c r="R950" s="8" t="str">
        <f t="array" ref="R950">XLOOKUP(E950,Store_Dim!A:A,Store_Dim!B:B,"Not Found")</f>
        <v>West</v>
      </c>
      <c r="S950" s="8" t="str">
        <f t="array" ref="S950">XLOOKUP(E950,Store_Dim!A:A,Store_Dim!D:D,"Not Found")</f>
        <v>Flagship</v>
      </c>
    </row>
    <row r="951" ht="14.25" customHeight="1">
      <c r="A951" s="8" t="s">
        <v>2904</v>
      </c>
      <c r="B951" s="12">
        <v>46429.0</v>
      </c>
      <c r="C951" s="8" t="s">
        <v>1299</v>
      </c>
      <c r="D951" s="8" t="s">
        <v>1833</v>
      </c>
      <c r="E951" s="8" t="s">
        <v>1921</v>
      </c>
      <c r="F951" s="8">
        <v>3.0</v>
      </c>
      <c r="G951" s="8">
        <v>758.75</v>
      </c>
      <c r="H951" s="8">
        <v>0.27</v>
      </c>
      <c r="I951" s="8">
        <f t="shared" si="1"/>
        <v>2276.25</v>
      </c>
      <c r="J951" s="8">
        <f t="shared" si="2"/>
        <v>-614.3175</v>
      </c>
      <c r="K951" s="8" t="str">
        <f t="shared" si="3"/>
        <v>Feb</v>
      </c>
      <c r="L951" s="8">
        <f t="shared" si="4"/>
        <v>2027</v>
      </c>
      <c r="N951" s="8" t="str">
        <f t="array" ref="N951">XLOOKUP(C951,Customer_Dim!A:A,Customer_Dim!B:B,"Not Found")</f>
        <v>Megan Ryan</v>
      </c>
      <c r="O951" s="8" t="str">
        <f t="array" ref="O951">XLOOKUP(C951,Customer_Dim!A:A,Customer_Dim!E:E,"Not Found")</f>
        <v>Andrewsfurt</v>
      </c>
      <c r="P951" s="8" t="str">
        <f t="array" ref="P951">XLOOKUP(D951,Product_Dim!A:A,Product_Dim!B:B,"Not Found")</f>
        <v>Badminton Racket Set</v>
      </c>
      <c r="Q951" s="8" t="str">
        <f t="array" ref="Q951">XLOOKUP(D951,Product_Dim!A:A,Product_Dim!C:C,"Not Found")</f>
        <v>Sports</v>
      </c>
      <c r="R951" s="8" t="str">
        <f t="array" ref="R951">XLOOKUP(E951,Store_Dim!A:A,Store_Dim!B:B,"Not Found")</f>
        <v>West</v>
      </c>
      <c r="S951" s="8" t="str">
        <f t="array" ref="S951">XLOOKUP(E951,Store_Dim!A:A,Store_Dim!D:D,"Not Found")</f>
        <v>Online</v>
      </c>
    </row>
    <row r="952" ht="14.25" customHeight="1">
      <c r="A952" s="8" t="s">
        <v>2905</v>
      </c>
      <c r="B952" s="12">
        <v>46430.0</v>
      </c>
      <c r="C952" s="8" t="s">
        <v>990</v>
      </c>
      <c r="D952" s="8" t="s">
        <v>1772</v>
      </c>
      <c r="E952" s="8" t="s">
        <v>1915</v>
      </c>
      <c r="F952" s="8">
        <v>4.0</v>
      </c>
      <c r="G952" s="8">
        <v>372.42</v>
      </c>
      <c r="H952" s="8">
        <v>0.19</v>
      </c>
      <c r="I952" s="8">
        <f t="shared" si="1"/>
        <v>1489.68</v>
      </c>
      <c r="J952" s="8">
        <f t="shared" si="2"/>
        <v>-282.8492</v>
      </c>
      <c r="K952" s="8" t="str">
        <f t="shared" si="3"/>
        <v>Feb</v>
      </c>
      <c r="L952" s="8">
        <f t="shared" si="4"/>
        <v>2027</v>
      </c>
      <c r="N952" s="8" t="str">
        <f t="array" ref="N952">XLOOKUP(C952,Customer_Dim!A:A,Customer_Dim!B:B,"Not Found")</f>
        <v>Stacy Collins</v>
      </c>
      <c r="O952" s="8" t="str">
        <f t="array" ref="O952">XLOOKUP(C952,Customer_Dim!A:A,Customer_Dim!E:E,"Not Found")</f>
        <v>Randychester</v>
      </c>
      <c r="P952" s="8" t="str">
        <f t="array" ref="P952">XLOOKUP(D952,Product_Dim!A:A,Product_Dim!B:B,"Not Found")</f>
        <v>Tennis Ball 3-Pack</v>
      </c>
      <c r="Q952" s="8" t="str">
        <f t="array" ref="Q952">XLOOKUP(D952,Product_Dim!A:A,Product_Dim!C:C,"Not Found")</f>
        <v>Sports</v>
      </c>
      <c r="R952" s="8" t="str">
        <f t="array" ref="R952">XLOOKUP(E952,Store_Dim!A:A,Store_Dim!B:B,"Not Found")</f>
        <v>North</v>
      </c>
      <c r="S952" s="8" t="str">
        <f t="array" ref="S952">XLOOKUP(E952,Store_Dim!A:A,Store_Dim!D:D,"Not Found")</f>
        <v>Outlet</v>
      </c>
    </row>
    <row r="953" ht="14.25" customHeight="1">
      <c r="A953" s="8" t="s">
        <v>2906</v>
      </c>
      <c r="B953" s="12">
        <v>46431.0</v>
      </c>
      <c r="C953" s="8" t="s">
        <v>529</v>
      </c>
      <c r="D953" s="8" t="s">
        <v>1778</v>
      </c>
      <c r="E953" s="8" t="s">
        <v>1941</v>
      </c>
      <c r="F953" s="8">
        <v>4.0</v>
      </c>
      <c r="G953" s="8">
        <v>286.28</v>
      </c>
      <c r="H953" s="8">
        <v>0.28</v>
      </c>
      <c r="I953" s="8">
        <f t="shared" si="1"/>
        <v>1145.12</v>
      </c>
      <c r="J953" s="8">
        <f t="shared" si="2"/>
        <v>-320.3536</v>
      </c>
      <c r="K953" s="8" t="str">
        <f t="shared" si="3"/>
        <v>Feb</v>
      </c>
      <c r="L953" s="8">
        <f t="shared" si="4"/>
        <v>2027</v>
      </c>
      <c r="N953" s="8" t="str">
        <f t="array" ref="N953">XLOOKUP(C953,Customer_Dim!A:A,Customer_Dim!B:B,"Not Found")</f>
        <v>Julie Hale</v>
      </c>
      <c r="O953" s="8" t="str">
        <f t="array" ref="O953">XLOOKUP(C953,Customer_Dim!A:A,Customer_Dim!E:E,"Not Found")</f>
        <v>Owensview</v>
      </c>
      <c r="P953" s="8" t="str">
        <f t="array" ref="P953">XLOOKUP(D953,Product_Dim!A:A,Product_Dim!B:B,"Not Found")</f>
        <v>Organic Sunscreen Lotion</v>
      </c>
      <c r="Q953" s="8" t="str">
        <f t="array" ref="Q953">XLOOKUP(D953,Product_Dim!A:A,Product_Dim!C:C,"Not Found")</f>
        <v>Beauty</v>
      </c>
      <c r="R953" s="8" t="str">
        <f t="array" ref="R953">XLOOKUP(E953,Store_Dim!A:A,Store_Dim!B:B,"Not Found")</f>
        <v>East</v>
      </c>
      <c r="S953" s="8" t="str">
        <f t="array" ref="S953">XLOOKUP(E953,Store_Dim!A:A,Store_Dim!D:D,"Not Found")</f>
        <v>Online</v>
      </c>
    </row>
    <row r="954" ht="14.25" customHeight="1">
      <c r="A954" s="8" t="s">
        <v>2907</v>
      </c>
      <c r="B954" s="12">
        <v>46432.0</v>
      </c>
      <c r="C954" s="8" t="s">
        <v>902</v>
      </c>
      <c r="D954" s="8" t="s">
        <v>1809</v>
      </c>
      <c r="E954" s="8" t="s">
        <v>1928</v>
      </c>
      <c r="F954" s="8">
        <v>3.0</v>
      </c>
      <c r="G954" s="8">
        <v>488.37</v>
      </c>
      <c r="H954" s="8">
        <v>0.27</v>
      </c>
      <c r="I954" s="8">
        <f t="shared" si="1"/>
        <v>1465.11</v>
      </c>
      <c r="J954" s="8">
        <f t="shared" si="2"/>
        <v>-395.3097</v>
      </c>
      <c r="K954" s="8" t="str">
        <f t="shared" si="3"/>
        <v>Feb</v>
      </c>
      <c r="L954" s="8">
        <f t="shared" si="4"/>
        <v>2027</v>
      </c>
      <c r="N954" s="8" t="str">
        <f t="array" ref="N954">XLOOKUP(C954,Customer_Dim!A:A,Customer_Dim!B:B,"Not Found")</f>
        <v>Aaron Luna</v>
      </c>
      <c r="O954" s="8" t="str">
        <f t="array" ref="O954">XLOOKUP(C954,Customer_Dim!A:A,Customer_Dim!E:E,"Not Found")</f>
        <v>Gilltown</v>
      </c>
      <c r="P954" s="8" t="str">
        <f t="array" ref="P954">XLOOKUP(D954,Product_Dim!A:A,Product_Dim!B:B,"Not Found")</f>
        <v>Shin Guards – Adult</v>
      </c>
      <c r="Q954" s="8" t="str">
        <f t="array" ref="Q954">XLOOKUP(D954,Product_Dim!A:A,Product_Dim!C:C,"Not Found")</f>
        <v>Sports</v>
      </c>
      <c r="R954" s="8" t="str">
        <f t="array" ref="R954">XLOOKUP(E954,Store_Dim!A:A,Store_Dim!B:B,"Not Found")</f>
        <v>South</v>
      </c>
      <c r="S954" s="8" t="str">
        <f t="array" ref="S954">XLOOKUP(E954,Store_Dim!A:A,Store_Dim!D:D,"Not Found")</f>
        <v>Online</v>
      </c>
    </row>
    <row r="955" ht="14.25" customHeight="1">
      <c r="A955" s="8" t="s">
        <v>2908</v>
      </c>
      <c r="B955" s="12">
        <v>46433.0</v>
      </c>
      <c r="C955" s="8" t="s">
        <v>1462</v>
      </c>
      <c r="D955" s="8" t="s">
        <v>1851</v>
      </c>
      <c r="E955" s="8" t="s">
        <v>1921</v>
      </c>
      <c r="F955" s="8">
        <v>3.0</v>
      </c>
      <c r="G955" s="8">
        <v>662.82</v>
      </c>
      <c r="H955" s="8">
        <v>0.01</v>
      </c>
      <c r="I955" s="8">
        <f t="shared" si="1"/>
        <v>1988.46</v>
      </c>
      <c r="J955" s="8">
        <f t="shared" si="2"/>
        <v>-19.8746</v>
      </c>
      <c r="K955" s="8" t="str">
        <f t="shared" si="3"/>
        <v>Feb</v>
      </c>
      <c r="L955" s="8">
        <f t="shared" si="4"/>
        <v>2027</v>
      </c>
      <c r="N955" s="8" t="str">
        <f t="array" ref="N955">XLOOKUP(C955,Customer_Dim!A:A,Customer_Dim!B:B,"Not Found")</f>
        <v>James Foster</v>
      </c>
      <c r="O955" s="8" t="str">
        <f t="array" ref="O955">XLOOKUP(C955,Customer_Dim!A:A,Customer_Dim!E:E,"Not Found")</f>
        <v>East Audrey</v>
      </c>
      <c r="P955" s="8" t="str">
        <f t="array" ref="P955">XLOOKUP(D955,Product_Dim!A:A,Product_Dim!B:B,"Not Found")</f>
        <v>LED Bedside Lamp</v>
      </c>
      <c r="Q955" s="8" t="str">
        <f t="array" ref="Q955">XLOOKUP(D955,Product_Dim!A:A,Product_Dim!C:C,"Not Found")</f>
        <v>Home</v>
      </c>
      <c r="R955" s="8" t="str">
        <f t="array" ref="R955">XLOOKUP(E955,Store_Dim!A:A,Store_Dim!B:B,"Not Found")</f>
        <v>West</v>
      </c>
      <c r="S955" s="8" t="str">
        <f t="array" ref="S955">XLOOKUP(E955,Store_Dim!A:A,Store_Dim!D:D,"Not Found")</f>
        <v>Online</v>
      </c>
    </row>
    <row r="956" ht="14.25" customHeight="1">
      <c r="A956" s="8" t="s">
        <v>2909</v>
      </c>
      <c r="B956" s="12">
        <v>46434.0</v>
      </c>
      <c r="C956" s="8" t="s">
        <v>1543</v>
      </c>
      <c r="D956" s="8" t="s">
        <v>1587</v>
      </c>
      <c r="E956" s="8" t="s">
        <v>1935</v>
      </c>
      <c r="F956" s="8">
        <v>2.0</v>
      </c>
      <c r="G956" s="8">
        <v>824.34</v>
      </c>
      <c r="H956" s="8">
        <v>0.1</v>
      </c>
      <c r="I956" s="8">
        <f t="shared" si="1"/>
        <v>1648.68</v>
      </c>
      <c r="J956" s="8">
        <f t="shared" si="2"/>
        <v>-164.768</v>
      </c>
      <c r="K956" s="8" t="str">
        <f t="shared" si="3"/>
        <v>Feb</v>
      </c>
      <c r="L956" s="8">
        <f t="shared" si="4"/>
        <v>2027</v>
      </c>
      <c r="N956" s="8" t="str">
        <f t="array" ref="N956">XLOOKUP(C956,Customer_Dim!A:A,Customer_Dim!B:B,"Not Found")</f>
        <v>Sarah Marsh</v>
      </c>
      <c r="O956" s="8" t="str">
        <f t="array" ref="O956">XLOOKUP(C956,Customer_Dim!A:A,Customer_Dim!E:E,"Not Found")</f>
        <v>Port William</v>
      </c>
      <c r="P956" s="8" t="str">
        <f t="array" ref="P956">XLOOKUP(D956,Product_Dim!A:A,Product_Dim!B:B,"Not Found")</f>
        <v>Herbal Face Moisturizer</v>
      </c>
      <c r="Q956" s="8" t="str">
        <f t="array" ref="Q956">XLOOKUP(D956,Product_Dim!A:A,Product_Dim!C:C,"Not Found")</f>
        <v>Beauty</v>
      </c>
      <c r="R956" s="8" t="str">
        <f t="array" ref="R956">XLOOKUP(E956,Store_Dim!A:A,Store_Dim!B:B,"Not Found")</f>
        <v>West</v>
      </c>
      <c r="S956" s="8" t="str">
        <f t="array" ref="S956">XLOOKUP(E956,Store_Dim!A:A,Store_Dim!D:D,"Not Found")</f>
        <v>Flagship</v>
      </c>
    </row>
    <row r="957" ht="14.25" customHeight="1">
      <c r="A957" s="8" t="s">
        <v>2910</v>
      </c>
      <c r="B957" s="12">
        <v>46435.0</v>
      </c>
      <c r="C957" s="8" t="s">
        <v>406</v>
      </c>
      <c r="D957" s="8" t="s">
        <v>1766</v>
      </c>
      <c r="E957" s="8" t="s">
        <v>1921</v>
      </c>
      <c r="F957" s="8">
        <v>1.0</v>
      </c>
      <c r="G957" s="8">
        <v>437.12</v>
      </c>
      <c r="H957" s="8">
        <v>0.21</v>
      </c>
      <c r="I957" s="8">
        <f t="shared" si="1"/>
        <v>437.12</v>
      </c>
      <c r="J957" s="8">
        <f t="shared" si="2"/>
        <v>-91.5852</v>
      </c>
      <c r="K957" s="8" t="str">
        <f t="shared" si="3"/>
        <v>Feb</v>
      </c>
      <c r="L957" s="8">
        <f t="shared" si="4"/>
        <v>2027</v>
      </c>
      <c r="N957" s="8" t="str">
        <f t="array" ref="N957">XLOOKUP(C957,Customer_Dim!A:A,Customer_Dim!B:B,"Not Found")</f>
        <v>Edward Hall</v>
      </c>
      <c r="O957" s="8" t="str">
        <f t="array" ref="O957">XLOOKUP(C957,Customer_Dim!A:A,Customer_Dim!E:E,"Not Found")</f>
        <v>New William</v>
      </c>
      <c r="P957" s="8" t="str">
        <f t="array" ref="P957">XLOOKUP(D957,Product_Dim!A:A,Product_Dim!B:B,"Not Found")</f>
        <v>Men's Hair Styling Gel</v>
      </c>
      <c r="Q957" s="8" t="str">
        <f t="array" ref="Q957">XLOOKUP(D957,Product_Dim!A:A,Product_Dim!C:C,"Not Found")</f>
        <v>Beauty</v>
      </c>
      <c r="R957" s="8" t="str">
        <f t="array" ref="R957">XLOOKUP(E957,Store_Dim!A:A,Store_Dim!B:B,"Not Found")</f>
        <v>West</v>
      </c>
      <c r="S957" s="8" t="str">
        <f t="array" ref="S957">XLOOKUP(E957,Store_Dim!A:A,Store_Dim!D:D,"Not Found")</f>
        <v>Online</v>
      </c>
    </row>
    <row r="958" ht="14.25" customHeight="1">
      <c r="A958" s="8" t="s">
        <v>2911</v>
      </c>
      <c r="B958" s="12">
        <v>46436.0</v>
      </c>
      <c r="C958" s="8" t="s">
        <v>1134</v>
      </c>
      <c r="D958" s="8" t="s">
        <v>1854</v>
      </c>
      <c r="E958" s="8" t="s">
        <v>1917</v>
      </c>
      <c r="F958" s="8">
        <v>3.0</v>
      </c>
      <c r="G958" s="8">
        <v>23.37</v>
      </c>
      <c r="H958" s="8">
        <v>0.15</v>
      </c>
      <c r="I958" s="8">
        <f t="shared" si="1"/>
        <v>70.11</v>
      </c>
      <c r="J958" s="8">
        <f t="shared" si="2"/>
        <v>-10.3665</v>
      </c>
      <c r="K958" s="8" t="str">
        <f t="shared" si="3"/>
        <v>Feb</v>
      </c>
      <c r="L958" s="8">
        <f t="shared" si="4"/>
        <v>2027</v>
      </c>
      <c r="N958" s="8" t="str">
        <f t="array" ref="N958">XLOOKUP(C958,Customer_Dim!A:A,Customer_Dim!B:B,"Not Found")</f>
        <v>Manuel Castillo</v>
      </c>
      <c r="O958" s="8" t="str">
        <f t="array" ref="O958">XLOOKUP(C958,Customer_Dim!A:A,Customer_Dim!E:E,"Not Found")</f>
        <v>Nealview</v>
      </c>
      <c r="P958" s="8" t="str">
        <f t="array" ref="P958">XLOOKUP(D958,Product_Dim!A:A,Product_Dim!B:B,"Not Found")</f>
        <v>Sports Wrist Sweatbands</v>
      </c>
      <c r="Q958" s="8" t="str">
        <f t="array" ref="Q958">XLOOKUP(D958,Product_Dim!A:A,Product_Dim!C:C,"Not Found")</f>
        <v>Sports</v>
      </c>
      <c r="R958" s="8" t="str">
        <f t="array" ref="R958">XLOOKUP(E958,Store_Dim!A:A,Store_Dim!B:B,"Not Found")</f>
        <v>East</v>
      </c>
      <c r="S958" s="8" t="str">
        <f t="array" ref="S958">XLOOKUP(E958,Store_Dim!A:A,Store_Dim!D:D,"Not Found")</f>
        <v>Online</v>
      </c>
    </row>
    <row r="959" ht="14.25" customHeight="1">
      <c r="A959" s="8" t="s">
        <v>2912</v>
      </c>
      <c r="B959" s="12">
        <v>46437.0</v>
      </c>
      <c r="C959" s="8" t="s">
        <v>628</v>
      </c>
      <c r="D959" s="8" t="s">
        <v>1693</v>
      </c>
      <c r="E959" s="8" t="s">
        <v>1921</v>
      </c>
      <c r="F959" s="8">
        <v>1.0</v>
      </c>
      <c r="G959" s="8">
        <v>579.69</v>
      </c>
      <c r="H959" s="8">
        <v>0.02</v>
      </c>
      <c r="I959" s="8">
        <f t="shared" si="1"/>
        <v>579.69</v>
      </c>
      <c r="J959" s="8">
        <f t="shared" si="2"/>
        <v>-11.5738</v>
      </c>
      <c r="K959" s="8" t="str">
        <f t="shared" si="3"/>
        <v>Feb</v>
      </c>
      <c r="L959" s="8">
        <f t="shared" si="4"/>
        <v>2027</v>
      </c>
      <c r="N959" s="8" t="str">
        <f t="array" ref="N959">XLOOKUP(C959,Customer_Dim!A:A,Customer_Dim!B:B,"Not Found")</f>
        <v>Dr. Suzanne Bullock</v>
      </c>
      <c r="O959" s="8" t="str">
        <f t="array" ref="O959">XLOOKUP(C959,Customer_Dim!A:A,Customer_Dim!E:E,"Not Found")</f>
        <v>Lake Blaketon</v>
      </c>
      <c r="P959" s="8" t="str">
        <f t="array" ref="P959">XLOOKUP(D959,Product_Dim!A:A,Product_Dim!B:B,"Not Found")</f>
        <v>Women's Summer Dress</v>
      </c>
      <c r="Q959" s="8" t="str">
        <f t="array" ref="Q959">XLOOKUP(D959,Product_Dim!A:A,Product_Dim!C:C,"Not Found")</f>
        <v>Clothing</v>
      </c>
      <c r="R959" s="8" t="str">
        <f t="array" ref="R959">XLOOKUP(E959,Store_Dim!A:A,Store_Dim!B:B,"Not Found")</f>
        <v>West</v>
      </c>
      <c r="S959" s="8" t="str">
        <f t="array" ref="S959">XLOOKUP(E959,Store_Dim!A:A,Store_Dim!D:D,"Not Found")</f>
        <v>Online</v>
      </c>
    </row>
    <row r="960" ht="14.25" customHeight="1">
      <c r="A960" s="8" t="s">
        <v>2913</v>
      </c>
      <c r="B960" s="12">
        <v>46438.0</v>
      </c>
      <c r="C960" s="8" t="s">
        <v>1350</v>
      </c>
      <c r="D960" s="8" t="s">
        <v>1824</v>
      </c>
      <c r="E960" s="8" t="s">
        <v>1932</v>
      </c>
      <c r="F960" s="8">
        <v>3.0</v>
      </c>
      <c r="G960" s="8">
        <v>240.51</v>
      </c>
      <c r="H960" s="8">
        <v>0.07</v>
      </c>
      <c r="I960" s="8">
        <f t="shared" si="1"/>
        <v>721.53</v>
      </c>
      <c r="J960" s="8">
        <f t="shared" si="2"/>
        <v>-50.4371</v>
      </c>
      <c r="K960" s="8" t="str">
        <f t="shared" si="3"/>
        <v>Feb</v>
      </c>
      <c r="L960" s="8">
        <f t="shared" si="4"/>
        <v>2027</v>
      </c>
      <c r="N960" s="8" t="str">
        <f t="array" ref="N960">XLOOKUP(C960,Customer_Dim!A:A,Customer_Dim!B:B,"Not Found")</f>
        <v>Kimberly Roberts</v>
      </c>
      <c r="O960" s="8" t="str">
        <f t="array" ref="O960">XLOOKUP(C960,Customer_Dim!A:A,Customer_Dim!E:E,"Not Found")</f>
        <v>Josephchester</v>
      </c>
      <c r="P960" s="8" t="str">
        <f t="array" ref="P960">XLOOKUP(D960,Product_Dim!A:A,Product_Dim!B:B,"Not Found")</f>
        <v>Essential Oil Diffuser</v>
      </c>
      <c r="Q960" s="8" t="str">
        <f t="array" ref="Q960">XLOOKUP(D960,Product_Dim!A:A,Product_Dim!C:C,"Not Found")</f>
        <v>Home</v>
      </c>
      <c r="R960" s="8" t="str">
        <f t="array" ref="R960">XLOOKUP(E960,Store_Dim!A:A,Store_Dim!B:B,"Not Found")</f>
        <v>South</v>
      </c>
      <c r="S960" s="8" t="str">
        <f t="array" ref="S960">XLOOKUP(E960,Store_Dim!A:A,Store_Dim!D:D,"Not Found")</f>
        <v>Outlet</v>
      </c>
    </row>
    <row r="961" ht="14.25" customHeight="1">
      <c r="A961" s="8" t="s">
        <v>2914</v>
      </c>
      <c r="B961" s="12">
        <v>46439.0</v>
      </c>
      <c r="C961" s="8" t="s">
        <v>1209</v>
      </c>
      <c r="D961" s="8" t="s">
        <v>1659</v>
      </c>
      <c r="E961" s="8" t="s">
        <v>1932</v>
      </c>
      <c r="F961" s="8">
        <v>2.0</v>
      </c>
      <c r="G961" s="8">
        <v>855.4</v>
      </c>
      <c r="H961" s="8">
        <v>0.08</v>
      </c>
      <c r="I961" s="8">
        <f t="shared" si="1"/>
        <v>1710.8</v>
      </c>
      <c r="J961" s="8">
        <f t="shared" si="2"/>
        <v>-136.784</v>
      </c>
      <c r="K961" s="8" t="str">
        <f t="shared" si="3"/>
        <v>Feb</v>
      </c>
      <c r="L961" s="8">
        <f t="shared" si="4"/>
        <v>2027</v>
      </c>
      <c r="N961" s="8" t="str">
        <f t="array" ref="N961">XLOOKUP(C961,Customer_Dim!A:A,Customer_Dim!B:B,"Not Found")</f>
        <v>Martha Brown</v>
      </c>
      <c r="O961" s="8" t="str">
        <f t="array" ref="O961">XLOOKUP(C961,Customer_Dim!A:A,Customer_Dim!E:E,"Not Found")</f>
        <v>Novakstad</v>
      </c>
      <c r="P961" s="8" t="str">
        <f t="array" ref="P961">XLOOKUP(D961,Product_Dim!A:A,Product_Dim!B:B,"Not Found")</f>
        <v>Women's Scarf Set</v>
      </c>
      <c r="Q961" s="8" t="str">
        <f t="array" ref="Q961">XLOOKUP(D961,Product_Dim!A:A,Product_Dim!C:C,"Not Found")</f>
        <v>Clothing</v>
      </c>
      <c r="R961" s="8" t="str">
        <f t="array" ref="R961">XLOOKUP(E961,Store_Dim!A:A,Store_Dim!B:B,"Not Found")</f>
        <v>South</v>
      </c>
      <c r="S961" s="8" t="str">
        <f t="array" ref="S961">XLOOKUP(E961,Store_Dim!A:A,Store_Dim!D:D,"Not Found")</f>
        <v>Outlet</v>
      </c>
    </row>
    <row r="962" ht="14.25" customHeight="1">
      <c r="A962" s="8" t="s">
        <v>2915</v>
      </c>
      <c r="B962" s="12">
        <v>46440.0</v>
      </c>
      <c r="C962" s="8" t="s">
        <v>48</v>
      </c>
      <c r="D962" s="8" t="s">
        <v>1860</v>
      </c>
      <c r="E962" s="8" t="s">
        <v>1919</v>
      </c>
      <c r="F962" s="8">
        <v>1.0</v>
      </c>
      <c r="G962" s="8">
        <v>537.26</v>
      </c>
      <c r="H962" s="8">
        <v>0.09</v>
      </c>
      <c r="I962" s="8">
        <f t="shared" si="1"/>
        <v>537.26</v>
      </c>
      <c r="J962" s="8">
        <f t="shared" si="2"/>
        <v>-48.2634</v>
      </c>
      <c r="K962" s="8" t="str">
        <f t="shared" si="3"/>
        <v>Feb</v>
      </c>
      <c r="L962" s="8">
        <f t="shared" si="4"/>
        <v>2027</v>
      </c>
      <c r="N962" s="8" t="str">
        <f t="array" ref="N962">XLOOKUP(C962,Customer_Dim!A:A,Customer_Dim!B:B,"Not Found")</f>
        <v>Daniel Boyd</v>
      </c>
      <c r="O962" s="8" t="str">
        <f t="array" ref="O962">XLOOKUP(C962,Customer_Dim!A:A,Customer_Dim!E:E,"Not Found")</f>
        <v>West Pamelafurt</v>
      </c>
      <c r="P962" s="8" t="str">
        <f t="array" ref="P962">XLOOKUP(D962,Product_Dim!A:A,Product_Dim!B:B,"Not Found")</f>
        <v>Gaming Mouse Pad XL</v>
      </c>
      <c r="Q962" s="8" t="str">
        <f t="array" ref="Q962">XLOOKUP(D962,Product_Dim!A:A,Product_Dim!C:C,"Not Found")</f>
        <v>Electronics</v>
      </c>
      <c r="R962" s="8" t="str">
        <f t="array" ref="R962">XLOOKUP(E962,Store_Dim!A:A,Store_Dim!B:B,"Not Found")</f>
        <v>South</v>
      </c>
      <c r="S962" s="8" t="str">
        <f t="array" ref="S962">XLOOKUP(E962,Store_Dim!A:A,Store_Dim!D:D,"Not Found")</f>
        <v>Online</v>
      </c>
    </row>
    <row r="963" ht="14.25" customHeight="1">
      <c r="A963" s="8" t="s">
        <v>2916</v>
      </c>
      <c r="B963" s="12">
        <v>46441.0</v>
      </c>
      <c r="C963" s="8" t="s">
        <v>1215</v>
      </c>
      <c r="D963" s="8" t="s">
        <v>1742</v>
      </c>
      <c r="E963" s="8" t="s">
        <v>1926</v>
      </c>
      <c r="F963" s="8">
        <v>3.0</v>
      </c>
      <c r="G963" s="8">
        <v>918.26</v>
      </c>
      <c r="H963" s="8">
        <v>0.17</v>
      </c>
      <c r="I963" s="8">
        <f t="shared" si="1"/>
        <v>2754.78</v>
      </c>
      <c r="J963" s="8">
        <f t="shared" si="2"/>
        <v>-468.1426</v>
      </c>
      <c r="K963" s="8" t="str">
        <f t="shared" si="3"/>
        <v>Feb</v>
      </c>
      <c r="L963" s="8">
        <f t="shared" si="4"/>
        <v>2027</v>
      </c>
      <c r="N963" s="8" t="str">
        <f t="array" ref="N963">XLOOKUP(C963,Customer_Dim!A:A,Customer_Dim!B:B,"Not Found")</f>
        <v>Andrew Mason</v>
      </c>
      <c r="O963" s="8" t="str">
        <f t="array" ref="O963">XLOOKUP(C963,Customer_Dim!A:A,Customer_Dim!E:E,"Not Found")</f>
        <v>North Michael</v>
      </c>
      <c r="P963" s="8" t="str">
        <f t="array" ref="P963">XLOOKUP(D963,Product_Dim!A:A,Product_Dim!B:B,"Not Found")</f>
        <v>HDMI Cable – 2m</v>
      </c>
      <c r="Q963" s="8" t="str">
        <f t="array" ref="Q963">XLOOKUP(D963,Product_Dim!A:A,Product_Dim!C:C,"Not Found")</f>
        <v>Electronics</v>
      </c>
      <c r="R963" s="8" t="str">
        <f t="array" ref="R963">XLOOKUP(E963,Store_Dim!A:A,Store_Dim!B:B,"Not Found")</f>
        <v>East</v>
      </c>
      <c r="S963" s="8" t="str">
        <f t="array" ref="S963">XLOOKUP(E963,Store_Dim!A:A,Store_Dim!D:D,"Not Found")</f>
        <v>Online</v>
      </c>
    </row>
    <row r="964" ht="14.25" customHeight="1">
      <c r="A964" s="8" t="s">
        <v>2917</v>
      </c>
      <c r="B964" s="12">
        <v>46442.0</v>
      </c>
      <c r="C964" s="8" t="s">
        <v>351</v>
      </c>
      <c r="D964" s="8" t="s">
        <v>1587</v>
      </c>
      <c r="E964" s="8" t="s">
        <v>1924</v>
      </c>
      <c r="F964" s="8">
        <v>4.0</v>
      </c>
      <c r="G964" s="8">
        <v>579.7</v>
      </c>
      <c r="H964" s="8">
        <v>0.18</v>
      </c>
      <c r="I964" s="8">
        <f t="shared" si="1"/>
        <v>2318.8</v>
      </c>
      <c r="J964" s="8">
        <f t="shared" si="2"/>
        <v>-417.204</v>
      </c>
      <c r="K964" s="8" t="str">
        <f t="shared" si="3"/>
        <v>Feb</v>
      </c>
      <c r="L964" s="8">
        <f t="shared" si="4"/>
        <v>2027</v>
      </c>
      <c r="N964" s="8" t="str">
        <f t="array" ref="N964">XLOOKUP(C964,Customer_Dim!A:A,Customer_Dim!B:B,"Not Found")</f>
        <v>Amy Fowler</v>
      </c>
      <c r="O964" s="8" t="str">
        <f t="array" ref="O964">XLOOKUP(C964,Customer_Dim!A:A,Customer_Dim!E:E,"Not Found")</f>
        <v>West Bobbyshire</v>
      </c>
      <c r="P964" s="8" t="str">
        <f t="array" ref="P964">XLOOKUP(D964,Product_Dim!A:A,Product_Dim!B:B,"Not Found")</f>
        <v>Herbal Face Moisturizer</v>
      </c>
      <c r="Q964" s="8" t="str">
        <f t="array" ref="Q964">XLOOKUP(D964,Product_Dim!A:A,Product_Dim!C:C,"Not Found")</f>
        <v>Beauty</v>
      </c>
      <c r="R964" s="8" t="str">
        <f t="array" ref="R964">XLOOKUP(E964,Store_Dim!A:A,Store_Dim!B:B,"Not Found")</f>
        <v>South</v>
      </c>
      <c r="S964" s="8" t="str">
        <f t="array" ref="S964">XLOOKUP(E964,Store_Dim!A:A,Store_Dim!D:D,"Not Found")</f>
        <v>Flagship</v>
      </c>
    </row>
    <row r="965" ht="14.25" customHeight="1">
      <c r="A965" s="8" t="s">
        <v>2918</v>
      </c>
      <c r="B965" s="12">
        <v>46443.0</v>
      </c>
      <c r="C965" s="8" t="s">
        <v>502</v>
      </c>
      <c r="D965" s="8" t="s">
        <v>1716</v>
      </c>
      <c r="E965" s="8" t="s">
        <v>1917</v>
      </c>
      <c r="F965" s="8">
        <v>1.0</v>
      </c>
      <c r="G965" s="8">
        <v>824.32</v>
      </c>
      <c r="H965" s="8">
        <v>0.18</v>
      </c>
      <c r="I965" s="8">
        <f t="shared" si="1"/>
        <v>824.32</v>
      </c>
      <c r="J965" s="8">
        <f t="shared" si="2"/>
        <v>-148.1976</v>
      </c>
      <c r="K965" s="8" t="str">
        <f t="shared" si="3"/>
        <v>Feb</v>
      </c>
      <c r="L965" s="8">
        <f t="shared" si="4"/>
        <v>2027</v>
      </c>
      <c r="N965" s="8" t="str">
        <f t="array" ref="N965">XLOOKUP(C965,Customer_Dim!A:A,Customer_Dim!B:B,"Not Found")</f>
        <v>Cameron Simpson</v>
      </c>
      <c r="O965" s="8" t="str">
        <f t="array" ref="O965">XLOOKUP(C965,Customer_Dim!A:A,Customer_Dim!E:E,"Not Found")</f>
        <v>Michaelfort</v>
      </c>
      <c r="P965" s="8" t="str">
        <f t="array" ref="P965">XLOOKUP(D965,Product_Dim!A:A,Product_Dim!B:B,"Not Found")</f>
        <v>USB External Hard Drive</v>
      </c>
      <c r="Q965" s="8" t="str">
        <f t="array" ref="Q965">XLOOKUP(D965,Product_Dim!A:A,Product_Dim!C:C,"Not Found")</f>
        <v>Electronics</v>
      </c>
      <c r="R965" s="8" t="str">
        <f t="array" ref="R965">XLOOKUP(E965,Store_Dim!A:A,Store_Dim!B:B,"Not Found")</f>
        <v>East</v>
      </c>
      <c r="S965" s="8" t="str">
        <f t="array" ref="S965">XLOOKUP(E965,Store_Dim!A:A,Store_Dim!D:D,"Not Found")</f>
        <v>Online</v>
      </c>
    </row>
    <row r="966" ht="14.25" customHeight="1">
      <c r="A966" s="8" t="s">
        <v>2919</v>
      </c>
      <c r="B966" s="12">
        <v>46444.0</v>
      </c>
      <c r="C966" s="8" t="s">
        <v>394</v>
      </c>
      <c r="D966" s="8" t="s">
        <v>1725</v>
      </c>
      <c r="E966" s="8" t="s">
        <v>1933</v>
      </c>
      <c r="F966" s="8">
        <v>4.0</v>
      </c>
      <c r="G966" s="8">
        <v>614.99</v>
      </c>
      <c r="H966" s="8">
        <v>0.16</v>
      </c>
      <c r="I966" s="8">
        <f t="shared" si="1"/>
        <v>2459.96</v>
      </c>
      <c r="J966" s="8">
        <f t="shared" si="2"/>
        <v>-393.4336</v>
      </c>
      <c r="K966" s="8" t="str">
        <f t="shared" si="3"/>
        <v>Feb</v>
      </c>
      <c r="L966" s="8">
        <f t="shared" si="4"/>
        <v>2027</v>
      </c>
      <c r="N966" s="8" t="str">
        <f t="array" ref="N966">XLOOKUP(C966,Customer_Dim!A:A,Customer_Dim!B:B,"Not Found")</f>
        <v>Amy Walker</v>
      </c>
      <c r="O966" s="8" t="str">
        <f t="array" ref="O966">XLOOKUP(C966,Customer_Dim!A:A,Customer_Dim!E:E,"Not Found")</f>
        <v>Smithland</v>
      </c>
      <c r="P966" s="8" t="str">
        <f t="array" ref="P966">XLOOKUP(D966,Product_Dim!A:A,Product_Dim!B:B,"Not Found")</f>
        <v>Men's Winter Jacket</v>
      </c>
      <c r="Q966" s="8" t="str">
        <f t="array" ref="Q966">XLOOKUP(D966,Product_Dim!A:A,Product_Dim!C:C,"Not Found")</f>
        <v>Clothing</v>
      </c>
      <c r="R966" s="8" t="str">
        <f t="array" ref="R966">XLOOKUP(E966,Store_Dim!A:A,Store_Dim!B:B,"Not Found")</f>
        <v>North</v>
      </c>
      <c r="S966" s="8" t="str">
        <f t="array" ref="S966">XLOOKUP(E966,Store_Dim!A:A,Store_Dim!D:D,"Not Found")</f>
        <v>Flagship</v>
      </c>
    </row>
    <row r="967" ht="14.25" customHeight="1">
      <c r="A967" s="8" t="s">
        <v>2920</v>
      </c>
      <c r="B967" s="12">
        <v>46445.0</v>
      </c>
      <c r="C967" s="8" t="s">
        <v>452</v>
      </c>
      <c r="D967" s="8" t="s">
        <v>1775</v>
      </c>
      <c r="E967" s="8" t="s">
        <v>1899</v>
      </c>
      <c r="F967" s="8">
        <v>4.0</v>
      </c>
      <c r="G967" s="8">
        <v>189.21</v>
      </c>
      <c r="H967" s="8">
        <v>0.06</v>
      </c>
      <c r="I967" s="8">
        <f t="shared" si="1"/>
        <v>756.84</v>
      </c>
      <c r="J967" s="8">
        <f t="shared" si="2"/>
        <v>-45.3504</v>
      </c>
      <c r="K967" s="8" t="str">
        <f t="shared" si="3"/>
        <v>Feb</v>
      </c>
      <c r="L967" s="8">
        <f t="shared" si="4"/>
        <v>2027</v>
      </c>
      <c r="N967" s="8" t="str">
        <f t="array" ref="N967">XLOOKUP(C967,Customer_Dim!A:A,Customer_Dim!B:B,"Not Found")</f>
        <v>Susan Mcdonald</v>
      </c>
      <c r="O967" s="8" t="str">
        <f t="array" ref="O967">XLOOKUP(C967,Customer_Dim!A:A,Customer_Dim!E:E,"Not Found")</f>
        <v>East Ellen</v>
      </c>
      <c r="P967" s="8" t="str">
        <f t="array" ref="P967">XLOOKUP(D967,Product_Dim!A:A,Product_Dim!B:B,"Not Found")</f>
        <v>Laptop Cooling Pad</v>
      </c>
      <c r="Q967" s="8" t="str">
        <f t="array" ref="Q967">XLOOKUP(D967,Product_Dim!A:A,Product_Dim!C:C,"Not Found")</f>
        <v>Electronics</v>
      </c>
      <c r="R967" s="8" t="str">
        <f t="array" ref="R967">XLOOKUP(E967,Store_Dim!A:A,Store_Dim!B:B,"Not Found")</f>
        <v>East</v>
      </c>
      <c r="S967" s="8" t="str">
        <f t="array" ref="S967">XLOOKUP(E967,Store_Dim!A:A,Store_Dim!D:D,"Not Found")</f>
        <v>Flagship</v>
      </c>
    </row>
    <row r="968" ht="14.25" customHeight="1">
      <c r="A968" s="8" t="s">
        <v>2921</v>
      </c>
      <c r="B968" s="12">
        <v>46446.0</v>
      </c>
      <c r="C968" s="8" t="s">
        <v>529</v>
      </c>
      <c r="D968" s="8" t="s">
        <v>1775</v>
      </c>
      <c r="E968" s="8" t="s">
        <v>1932</v>
      </c>
      <c r="F968" s="8">
        <v>2.0</v>
      </c>
      <c r="G968" s="8">
        <v>233.33</v>
      </c>
      <c r="H968" s="8">
        <v>0.05</v>
      </c>
      <c r="I968" s="8">
        <f t="shared" si="1"/>
        <v>466.66</v>
      </c>
      <c r="J968" s="8">
        <f t="shared" si="2"/>
        <v>-23.283</v>
      </c>
      <c r="K968" s="8" t="str">
        <f t="shared" si="3"/>
        <v>Feb</v>
      </c>
      <c r="L968" s="8">
        <f t="shared" si="4"/>
        <v>2027</v>
      </c>
      <c r="N968" s="8" t="str">
        <f t="array" ref="N968">XLOOKUP(C968,Customer_Dim!A:A,Customer_Dim!B:B,"Not Found")</f>
        <v>Julie Hale</v>
      </c>
      <c r="O968" s="8" t="str">
        <f t="array" ref="O968">XLOOKUP(C968,Customer_Dim!A:A,Customer_Dim!E:E,"Not Found")</f>
        <v>Owensview</v>
      </c>
      <c r="P968" s="8" t="str">
        <f t="array" ref="P968">XLOOKUP(D968,Product_Dim!A:A,Product_Dim!B:B,"Not Found")</f>
        <v>Laptop Cooling Pad</v>
      </c>
      <c r="Q968" s="8" t="str">
        <f t="array" ref="Q968">XLOOKUP(D968,Product_Dim!A:A,Product_Dim!C:C,"Not Found")</f>
        <v>Electronics</v>
      </c>
      <c r="R968" s="8" t="str">
        <f t="array" ref="R968">XLOOKUP(E968,Store_Dim!A:A,Store_Dim!B:B,"Not Found")</f>
        <v>South</v>
      </c>
      <c r="S968" s="8" t="str">
        <f t="array" ref="S968">XLOOKUP(E968,Store_Dim!A:A,Store_Dim!D:D,"Not Found")</f>
        <v>Outlet</v>
      </c>
    </row>
    <row r="969" ht="14.25" customHeight="1">
      <c r="A969" s="8" t="s">
        <v>2922</v>
      </c>
      <c r="B969" s="12">
        <v>46447.0</v>
      </c>
      <c r="C969" s="8" t="s">
        <v>809</v>
      </c>
      <c r="D969" s="8" t="s">
        <v>1703</v>
      </c>
      <c r="E969" s="8" t="s">
        <v>1939</v>
      </c>
      <c r="F969" s="8">
        <v>3.0</v>
      </c>
      <c r="G969" s="8">
        <v>529.89</v>
      </c>
      <c r="H969" s="8">
        <v>0.21</v>
      </c>
      <c r="I969" s="8">
        <f t="shared" si="1"/>
        <v>1589.67</v>
      </c>
      <c r="J969" s="8">
        <f t="shared" si="2"/>
        <v>-333.6207</v>
      </c>
      <c r="K969" s="8" t="str">
        <f t="shared" si="3"/>
        <v>Mar</v>
      </c>
      <c r="L969" s="8">
        <f t="shared" si="4"/>
        <v>2027</v>
      </c>
      <c r="N969" s="8" t="str">
        <f t="array" ref="N969">XLOOKUP(C969,Customer_Dim!A:A,Customer_Dim!B:B,"Not Found")</f>
        <v>Nicholas Webb</v>
      </c>
      <c r="O969" s="8" t="str">
        <f t="array" ref="O969">XLOOKUP(C969,Customer_Dim!A:A,Customer_Dim!E:E,"Not Found")</f>
        <v>Lake Timothy</v>
      </c>
      <c r="P969" s="8" t="str">
        <f t="array" ref="P969">XLOOKUP(D969,Product_Dim!A:A,Product_Dim!B:B,"Not Found")</f>
        <v>Portable Power Bank</v>
      </c>
      <c r="Q969" s="8" t="str">
        <f t="array" ref="Q969">XLOOKUP(D969,Product_Dim!A:A,Product_Dim!C:C,"Not Found")</f>
        <v>Electronics</v>
      </c>
      <c r="R969" s="8" t="str">
        <f t="array" ref="R969">XLOOKUP(E969,Store_Dim!A:A,Store_Dim!B:B,"Not Found")</f>
        <v>East</v>
      </c>
      <c r="S969" s="8" t="str">
        <f t="array" ref="S969">XLOOKUP(E969,Store_Dim!A:A,Store_Dim!D:D,"Not Found")</f>
        <v>Flagship</v>
      </c>
    </row>
    <row r="970" ht="14.25" customHeight="1">
      <c r="A970" s="8" t="s">
        <v>2923</v>
      </c>
      <c r="B970" s="12">
        <v>46448.0</v>
      </c>
      <c r="C970" s="8" t="s">
        <v>1520</v>
      </c>
      <c r="D970" s="8" t="s">
        <v>1866</v>
      </c>
      <c r="E970" s="8" t="s">
        <v>1903</v>
      </c>
      <c r="F970" s="8">
        <v>2.0</v>
      </c>
      <c r="G970" s="8">
        <v>954.1</v>
      </c>
      <c r="H970" s="8">
        <v>0.17</v>
      </c>
      <c r="I970" s="8">
        <f t="shared" si="1"/>
        <v>1908.2</v>
      </c>
      <c r="J970" s="8">
        <f t="shared" si="2"/>
        <v>-324.224</v>
      </c>
      <c r="K970" s="8" t="str">
        <f t="shared" si="3"/>
        <v>Mar</v>
      </c>
      <c r="L970" s="8">
        <f t="shared" si="4"/>
        <v>2027</v>
      </c>
      <c r="N970" s="8" t="str">
        <f t="array" ref="N970">XLOOKUP(C970,Customer_Dim!A:A,Customer_Dim!B:B,"Not Found")</f>
        <v>Melinda Thomas</v>
      </c>
      <c r="O970" s="8" t="str">
        <f t="array" ref="O970">XLOOKUP(C970,Customer_Dim!A:A,Customer_Dim!E:E,"Not Found")</f>
        <v>Lake Elizabethside</v>
      </c>
      <c r="P970" s="8" t="str">
        <f t="array" ref="P970">XLOOKUP(D970,Product_Dim!A:A,Product_Dim!B:B,"Not Found")</f>
        <v>Microwave Oven</v>
      </c>
      <c r="Q970" s="8" t="str">
        <f t="array" ref="Q970">XLOOKUP(D970,Product_Dim!A:A,Product_Dim!C:C,"Not Found")</f>
        <v>Home</v>
      </c>
      <c r="R970" s="8" t="str">
        <f t="array" ref="R970">XLOOKUP(E970,Store_Dim!A:A,Store_Dim!B:B,"Not Found")</f>
        <v>North</v>
      </c>
      <c r="S970" s="8" t="str">
        <f t="array" ref="S970">XLOOKUP(E970,Store_Dim!A:A,Store_Dim!D:D,"Not Found")</f>
        <v>Flagship</v>
      </c>
    </row>
    <row r="971" ht="14.25" customHeight="1">
      <c r="A971" s="8" t="s">
        <v>2924</v>
      </c>
      <c r="B971" s="12">
        <v>46449.0</v>
      </c>
      <c r="C971" s="8" t="s">
        <v>1032</v>
      </c>
      <c r="D971" s="8" t="s">
        <v>1784</v>
      </c>
      <c r="E971" s="8" t="s">
        <v>1919</v>
      </c>
      <c r="F971" s="8">
        <v>1.0</v>
      </c>
      <c r="G971" s="8">
        <v>370.04</v>
      </c>
      <c r="H971" s="8">
        <v>0.04</v>
      </c>
      <c r="I971" s="8">
        <f t="shared" si="1"/>
        <v>370.04</v>
      </c>
      <c r="J971" s="8">
        <f t="shared" si="2"/>
        <v>-14.7616</v>
      </c>
      <c r="K971" s="8" t="str">
        <f t="shared" si="3"/>
        <v>Mar</v>
      </c>
      <c r="L971" s="8">
        <f t="shared" si="4"/>
        <v>2027</v>
      </c>
      <c r="N971" s="8" t="str">
        <f t="array" ref="N971">XLOOKUP(C971,Customer_Dim!A:A,Customer_Dim!B:B,"Not Found")</f>
        <v>Kristy Dunlap</v>
      </c>
      <c r="O971" s="8" t="str">
        <f t="array" ref="O971">XLOOKUP(C971,Customer_Dim!A:A,Customer_Dim!E:E,"Not Found")</f>
        <v>Whiteport</v>
      </c>
      <c r="P971" s="8" t="str">
        <f t="array" ref="P971">XLOOKUP(D971,Product_Dim!A:A,Product_Dim!B:B,"Not Found")</f>
        <v>Adjustable Dumbbells 20kg</v>
      </c>
      <c r="Q971" s="8" t="str">
        <f t="array" ref="Q971">XLOOKUP(D971,Product_Dim!A:A,Product_Dim!C:C,"Not Found")</f>
        <v>Sports</v>
      </c>
      <c r="R971" s="8" t="str">
        <f t="array" ref="R971">XLOOKUP(E971,Store_Dim!A:A,Store_Dim!B:B,"Not Found")</f>
        <v>South</v>
      </c>
      <c r="S971" s="8" t="str">
        <f t="array" ref="S971">XLOOKUP(E971,Store_Dim!A:A,Store_Dim!D:D,"Not Found")</f>
        <v>Online</v>
      </c>
    </row>
    <row r="972" ht="14.25" customHeight="1">
      <c r="A972" s="8" t="s">
        <v>2925</v>
      </c>
      <c r="B972" s="12">
        <v>46450.0</v>
      </c>
      <c r="C972" s="8" t="s">
        <v>237</v>
      </c>
      <c r="D972" s="8" t="s">
        <v>1878</v>
      </c>
      <c r="E972" s="8" t="s">
        <v>1941</v>
      </c>
      <c r="F972" s="8">
        <v>4.0</v>
      </c>
      <c r="G972" s="8">
        <v>492.71</v>
      </c>
      <c r="H972" s="8">
        <v>0.08</v>
      </c>
      <c r="I972" s="8">
        <f t="shared" si="1"/>
        <v>1970.84</v>
      </c>
      <c r="J972" s="8">
        <f t="shared" si="2"/>
        <v>-157.5872</v>
      </c>
      <c r="K972" s="8" t="str">
        <f t="shared" si="3"/>
        <v>Mar</v>
      </c>
      <c r="L972" s="8">
        <f t="shared" si="4"/>
        <v>2027</v>
      </c>
      <c r="N972" s="8" t="str">
        <f t="array" ref="N972">XLOOKUP(C972,Customer_Dim!A:A,Customer_Dim!B:B,"Not Found")</f>
        <v>Kristin Stein</v>
      </c>
      <c r="O972" s="8" t="str">
        <f t="array" ref="O972">XLOOKUP(C972,Customer_Dim!A:A,Customer_Dim!E:E,"Not Found")</f>
        <v>Jennifermouth</v>
      </c>
      <c r="P972" s="8" t="str">
        <f t="array" ref="P972">XLOOKUP(D972,Product_Dim!A:A,Product_Dim!B:B,"Not Found")</f>
        <v>Women's Formal Blazer</v>
      </c>
      <c r="Q972" s="8" t="str">
        <f t="array" ref="Q972">XLOOKUP(D972,Product_Dim!A:A,Product_Dim!C:C,"Not Found")</f>
        <v>Clothing</v>
      </c>
      <c r="R972" s="8" t="str">
        <f t="array" ref="R972">XLOOKUP(E972,Store_Dim!A:A,Store_Dim!B:B,"Not Found")</f>
        <v>East</v>
      </c>
      <c r="S972" s="8" t="str">
        <f t="array" ref="S972">XLOOKUP(E972,Store_Dim!A:A,Store_Dim!D:D,"Not Found")</f>
        <v>Online</v>
      </c>
    </row>
    <row r="973" ht="14.25" customHeight="1">
      <c r="A973" s="8" t="s">
        <v>2926</v>
      </c>
      <c r="B973" s="12">
        <v>46451.0</v>
      </c>
      <c r="C973" s="8" t="s">
        <v>905</v>
      </c>
      <c r="D973" s="8" t="s">
        <v>1863</v>
      </c>
      <c r="E973" s="8" t="s">
        <v>1931</v>
      </c>
      <c r="F973" s="8">
        <v>4.0</v>
      </c>
      <c r="G973" s="8">
        <v>853.26</v>
      </c>
      <c r="H973" s="8">
        <v>0.24</v>
      </c>
      <c r="I973" s="8">
        <f t="shared" si="1"/>
        <v>3413.04</v>
      </c>
      <c r="J973" s="8">
        <f t="shared" si="2"/>
        <v>-818.8896</v>
      </c>
      <c r="K973" s="8" t="str">
        <f t="shared" si="3"/>
        <v>Mar</v>
      </c>
      <c r="L973" s="8">
        <f t="shared" si="4"/>
        <v>2027</v>
      </c>
      <c r="N973" s="8" t="str">
        <f t="array" ref="N973">XLOOKUP(C973,Customer_Dim!A:A,Customer_Dim!B:B,"Not Found")</f>
        <v>Antonio Leon</v>
      </c>
      <c r="O973" s="8" t="str">
        <f t="array" ref="O973">XLOOKUP(C973,Customer_Dim!A:A,Customer_Dim!E:E,"Not Found")</f>
        <v>Morrisville</v>
      </c>
      <c r="P973" s="8" t="str">
        <f t="array" ref="P973">XLOOKUP(D973,Product_Dim!A:A,Product_Dim!B:B,"Not Found")</f>
        <v>Women's High Heels</v>
      </c>
      <c r="Q973" s="8" t="str">
        <f t="array" ref="Q973">XLOOKUP(D973,Product_Dim!A:A,Product_Dim!C:C,"Not Found")</f>
        <v>Clothing</v>
      </c>
      <c r="R973" s="8" t="str">
        <f t="array" ref="R973">XLOOKUP(E973,Store_Dim!A:A,Store_Dim!B:B,"Not Found")</f>
        <v>East</v>
      </c>
      <c r="S973" s="8" t="str">
        <f t="array" ref="S973">XLOOKUP(E973,Store_Dim!A:A,Store_Dim!D:D,"Not Found")</f>
        <v>Flagship</v>
      </c>
    </row>
    <row r="974" ht="14.25" customHeight="1">
      <c r="A974" s="8" t="s">
        <v>2927</v>
      </c>
      <c r="B974" s="12">
        <v>46452.0</v>
      </c>
      <c r="C974" s="8" t="s">
        <v>1279</v>
      </c>
      <c r="D974" s="8" t="s">
        <v>2052</v>
      </c>
      <c r="E974" s="8" t="s">
        <v>1935</v>
      </c>
      <c r="F974" s="8">
        <v>1.0</v>
      </c>
      <c r="G974" s="8">
        <v>402.47</v>
      </c>
      <c r="H974" s="8">
        <v>0.19</v>
      </c>
      <c r="I974" s="8">
        <f t="shared" si="1"/>
        <v>402.47</v>
      </c>
      <c r="J974" s="8">
        <f t="shared" si="2"/>
        <v>-76.2793</v>
      </c>
      <c r="K974" s="8" t="str">
        <f t="shared" si="3"/>
        <v>Mar</v>
      </c>
      <c r="L974" s="8">
        <f t="shared" si="4"/>
        <v>2027</v>
      </c>
      <c r="N974" s="8" t="str">
        <f t="array" ref="N974">XLOOKUP(C974,Customer_Dim!A:A,Customer_Dim!B:B,"Not Found")</f>
        <v>David Lozano</v>
      </c>
      <c r="O974" s="8" t="str">
        <f t="array" ref="O974">XLOOKUP(C974,Customer_Dim!A:A,Customer_Dim!E:E,"Not Found")</f>
        <v>North Michaelfurt</v>
      </c>
      <c r="P974" s="8" t="str">
        <f t="array" ref="P974">XLOOKUP(D974,Product_Dim!A:A,Product_Dim!B:B,"Not Found")</f>
        <v>Not Found</v>
      </c>
      <c r="Q974" s="8" t="str">
        <f t="array" ref="Q974">XLOOKUP(D974,Product_Dim!A:A,Product_Dim!C:C,"Not Found")</f>
        <v>Not Found</v>
      </c>
      <c r="R974" s="8" t="str">
        <f t="array" ref="R974">XLOOKUP(E974,Store_Dim!A:A,Store_Dim!B:B,"Not Found")</f>
        <v>West</v>
      </c>
      <c r="S974" s="8" t="str">
        <f t="array" ref="S974">XLOOKUP(E974,Store_Dim!A:A,Store_Dim!D:D,"Not Found")</f>
        <v>Flagship</v>
      </c>
    </row>
    <row r="975" ht="14.25" customHeight="1">
      <c r="A975" s="8" t="s">
        <v>2928</v>
      </c>
      <c r="B975" s="12">
        <v>46453.0</v>
      </c>
      <c r="C975" s="8" t="s">
        <v>1268</v>
      </c>
      <c r="D975" s="8" t="s">
        <v>1751</v>
      </c>
      <c r="E975" s="8" t="s">
        <v>1939</v>
      </c>
      <c r="F975" s="8">
        <v>2.0</v>
      </c>
      <c r="G975" s="8">
        <v>528.3</v>
      </c>
      <c r="H975" s="8">
        <v>0.24</v>
      </c>
      <c r="I975" s="8">
        <f t="shared" si="1"/>
        <v>1056.6</v>
      </c>
      <c r="J975" s="8">
        <f t="shared" si="2"/>
        <v>-253.344</v>
      </c>
      <c r="K975" s="8" t="str">
        <f t="shared" si="3"/>
        <v>Mar</v>
      </c>
      <c r="L975" s="8">
        <f t="shared" si="4"/>
        <v>2027</v>
      </c>
      <c r="N975" s="8" t="str">
        <f t="array" ref="N975">XLOOKUP(C975,Customer_Dim!A:A,Customer_Dim!B:B,"Not Found")</f>
        <v>Cassandra Perez</v>
      </c>
      <c r="O975" s="8" t="str">
        <f t="array" ref="O975">XLOOKUP(C975,Customer_Dim!A:A,Customer_Dim!E:E,"Not Found")</f>
        <v>Brandonville</v>
      </c>
      <c r="P975" s="8" t="str">
        <f t="array" ref="P975">XLOOKUP(D975,Product_Dim!A:A,Product_Dim!B:B,"Not Found")</f>
        <v>Sports Stopwatch Pro</v>
      </c>
      <c r="Q975" s="8" t="str">
        <f t="array" ref="Q975">XLOOKUP(D975,Product_Dim!A:A,Product_Dim!C:C,"Not Found")</f>
        <v>Sports</v>
      </c>
      <c r="R975" s="8" t="str">
        <f t="array" ref="R975">XLOOKUP(E975,Store_Dim!A:A,Store_Dim!B:B,"Not Found")</f>
        <v>East</v>
      </c>
      <c r="S975" s="8" t="str">
        <f t="array" ref="S975">XLOOKUP(E975,Store_Dim!A:A,Store_Dim!D:D,"Not Found")</f>
        <v>Flagship</v>
      </c>
    </row>
    <row r="976" ht="14.25" customHeight="1">
      <c r="A976" s="8" t="s">
        <v>2929</v>
      </c>
      <c r="B976" s="12">
        <v>46454.0</v>
      </c>
      <c r="C976" s="8" t="s">
        <v>1390</v>
      </c>
      <c r="D976" s="8" t="s">
        <v>1606</v>
      </c>
      <c r="E976" s="8" t="s">
        <v>1917</v>
      </c>
      <c r="F976" s="8">
        <v>4.0</v>
      </c>
      <c r="G976" s="8">
        <v>599.85</v>
      </c>
      <c r="H976" s="8">
        <v>0.25</v>
      </c>
      <c r="I976" s="8">
        <f t="shared" si="1"/>
        <v>2399.4</v>
      </c>
      <c r="J976" s="8">
        <f t="shared" si="2"/>
        <v>-599.6</v>
      </c>
      <c r="K976" s="8" t="str">
        <f t="shared" si="3"/>
        <v>Mar</v>
      </c>
      <c r="L976" s="8">
        <f t="shared" si="4"/>
        <v>2027</v>
      </c>
      <c r="N976" s="8" t="str">
        <f t="array" ref="N976">XLOOKUP(C976,Customer_Dim!A:A,Customer_Dim!B:B,"Not Found")</f>
        <v>Cheryl Carr</v>
      </c>
      <c r="O976" s="8" t="str">
        <f t="array" ref="O976">XLOOKUP(C976,Customer_Dim!A:A,Customer_Dim!E:E,"Not Found")</f>
        <v>Jessicaland</v>
      </c>
      <c r="P976" s="8" t="str">
        <f t="array" ref="P976">XLOOKUP(D976,Product_Dim!A:A,Product_Dim!B:B,"Not Found")</f>
        <v>Ceramic Kitchen Bowl Set</v>
      </c>
      <c r="Q976" s="8" t="str">
        <f t="array" ref="Q976">XLOOKUP(D976,Product_Dim!A:A,Product_Dim!C:C,"Not Found")</f>
        <v>Home</v>
      </c>
      <c r="R976" s="8" t="str">
        <f t="array" ref="R976">XLOOKUP(E976,Store_Dim!A:A,Store_Dim!B:B,"Not Found")</f>
        <v>East</v>
      </c>
      <c r="S976" s="8" t="str">
        <f t="array" ref="S976">XLOOKUP(E976,Store_Dim!A:A,Store_Dim!D:D,"Not Found")</f>
        <v>Online</v>
      </c>
    </row>
    <row r="977" ht="14.25" customHeight="1">
      <c r="A977" s="8" t="s">
        <v>2930</v>
      </c>
      <c r="B977" s="12">
        <v>46455.0</v>
      </c>
      <c r="C977" s="8" t="s">
        <v>972</v>
      </c>
      <c r="D977" s="8" t="s">
        <v>1989</v>
      </c>
      <c r="E977" s="8" t="s">
        <v>1924</v>
      </c>
      <c r="F977" s="8">
        <v>2.0</v>
      </c>
      <c r="G977" s="8">
        <v>61.42</v>
      </c>
      <c r="H977" s="8">
        <v>0.08</v>
      </c>
      <c r="I977" s="8">
        <f t="shared" si="1"/>
        <v>122.84</v>
      </c>
      <c r="J977" s="8">
        <f t="shared" si="2"/>
        <v>-9.7472</v>
      </c>
      <c r="K977" s="8" t="str">
        <f t="shared" si="3"/>
        <v>Mar</v>
      </c>
      <c r="L977" s="8">
        <f t="shared" si="4"/>
        <v>2027</v>
      </c>
      <c r="N977" s="8" t="str">
        <f t="array" ref="N977">XLOOKUP(C977,Customer_Dim!A:A,Customer_Dim!B:B,"Not Found")</f>
        <v>John Sloan</v>
      </c>
      <c r="O977" s="8" t="str">
        <f t="array" ref="O977">XLOOKUP(C977,Customer_Dim!A:A,Customer_Dim!E:E,"Not Found")</f>
        <v>East Johntown</v>
      </c>
      <c r="P977" s="8" t="str">
        <f t="array" ref="P977">XLOOKUP(D977,Product_Dim!A:A,Product_Dim!B:B,"Not Found")</f>
        <v>Not Found</v>
      </c>
      <c r="Q977" s="8" t="str">
        <f t="array" ref="Q977">XLOOKUP(D977,Product_Dim!A:A,Product_Dim!C:C,"Not Found")</f>
        <v>Not Found</v>
      </c>
      <c r="R977" s="8" t="str">
        <f t="array" ref="R977">XLOOKUP(E977,Store_Dim!A:A,Store_Dim!B:B,"Not Found")</f>
        <v>South</v>
      </c>
      <c r="S977" s="8" t="str">
        <f t="array" ref="S977">XLOOKUP(E977,Store_Dim!A:A,Store_Dim!D:D,"Not Found")</f>
        <v>Flagship</v>
      </c>
    </row>
    <row r="978" ht="14.25" customHeight="1">
      <c r="A978" s="8" t="s">
        <v>2931</v>
      </c>
      <c r="B978" s="12">
        <v>46456.0</v>
      </c>
      <c r="C978" s="8" t="s">
        <v>812</v>
      </c>
      <c r="D978" s="8" t="s">
        <v>1638</v>
      </c>
      <c r="E978" s="8" t="s">
        <v>1926</v>
      </c>
      <c r="F978" s="8">
        <v>2.0</v>
      </c>
      <c r="G978" s="8">
        <v>466.42</v>
      </c>
      <c r="H978" s="8">
        <v>0.12</v>
      </c>
      <c r="I978" s="8">
        <f t="shared" si="1"/>
        <v>932.84</v>
      </c>
      <c r="J978" s="8">
        <f t="shared" si="2"/>
        <v>-111.8208</v>
      </c>
      <c r="K978" s="8" t="str">
        <f t="shared" si="3"/>
        <v>Mar</v>
      </c>
      <c r="L978" s="8">
        <f t="shared" si="4"/>
        <v>2027</v>
      </c>
      <c r="N978" s="8" t="str">
        <f t="array" ref="N978">XLOOKUP(C978,Customer_Dim!A:A,Customer_Dim!B:B,"Not Found")</f>
        <v>Lauren George</v>
      </c>
      <c r="O978" s="8" t="str">
        <f t="array" ref="O978">XLOOKUP(C978,Customer_Dim!A:A,Customer_Dim!E:E,"Not Found")</f>
        <v>Garciamouth</v>
      </c>
      <c r="P978" s="8" t="str">
        <f t="array" ref="P978">XLOOKUP(D978,Product_Dim!A:A,Product_Dim!B:B,"Not Found")</f>
        <v>Knee Support Brace</v>
      </c>
      <c r="Q978" s="8" t="str">
        <f t="array" ref="Q978">XLOOKUP(D978,Product_Dim!A:A,Product_Dim!C:C,"Not Found")</f>
        <v>Sports</v>
      </c>
      <c r="R978" s="8" t="str">
        <f t="array" ref="R978">XLOOKUP(E978,Store_Dim!A:A,Store_Dim!B:B,"Not Found")</f>
        <v>East</v>
      </c>
      <c r="S978" s="8" t="str">
        <f t="array" ref="S978">XLOOKUP(E978,Store_Dim!A:A,Store_Dim!D:D,"Not Found")</f>
        <v>Online</v>
      </c>
    </row>
    <row r="979" ht="14.25" customHeight="1">
      <c r="A979" s="8" t="s">
        <v>2932</v>
      </c>
      <c r="B979" s="12">
        <v>46457.0</v>
      </c>
      <c r="C979" s="8" t="s">
        <v>363</v>
      </c>
      <c r="D979" s="8" t="s">
        <v>1677</v>
      </c>
      <c r="E979" s="8" t="s">
        <v>1915</v>
      </c>
      <c r="F979" s="8">
        <v>4.0</v>
      </c>
      <c r="G979" s="8">
        <v>540.69</v>
      </c>
      <c r="H979" s="8">
        <v>0.09</v>
      </c>
      <c r="I979" s="8">
        <f t="shared" si="1"/>
        <v>2162.76</v>
      </c>
      <c r="J979" s="8">
        <f t="shared" si="2"/>
        <v>-194.5584</v>
      </c>
      <c r="K979" s="8" t="str">
        <f t="shared" si="3"/>
        <v>Mar</v>
      </c>
      <c r="L979" s="8">
        <f t="shared" si="4"/>
        <v>2027</v>
      </c>
      <c r="N979" s="8" t="str">
        <f t="array" ref="N979">XLOOKUP(C979,Customer_Dim!A:A,Customer_Dim!B:B,"Not Found")</f>
        <v>Sheila Wilson</v>
      </c>
      <c r="O979" s="8" t="str">
        <f t="array" ref="O979">XLOOKUP(C979,Customer_Dim!A:A,Customer_Dim!E:E,"Not Found")</f>
        <v>South Dustin</v>
      </c>
      <c r="P979" s="8" t="str">
        <f t="array" ref="P979">XLOOKUP(D979,Product_Dim!A:A,Product_Dim!B:B,"Not Found")</f>
        <v>Basketball</v>
      </c>
      <c r="Q979" s="8" t="str">
        <f t="array" ref="Q979">XLOOKUP(D979,Product_Dim!A:A,Product_Dim!C:C,"Not Found")</f>
        <v>Sports</v>
      </c>
      <c r="R979" s="8" t="str">
        <f t="array" ref="R979">XLOOKUP(E979,Store_Dim!A:A,Store_Dim!B:B,"Not Found")</f>
        <v>North</v>
      </c>
      <c r="S979" s="8" t="str">
        <f t="array" ref="S979">XLOOKUP(E979,Store_Dim!A:A,Store_Dim!D:D,"Not Found")</f>
        <v>Outlet</v>
      </c>
    </row>
    <row r="980" ht="14.25" customHeight="1">
      <c r="A980" s="8" t="s">
        <v>2933</v>
      </c>
      <c r="B980" s="12">
        <v>46458.0</v>
      </c>
      <c r="C980" s="8" t="s">
        <v>957</v>
      </c>
      <c r="D980" s="8" t="s">
        <v>1638</v>
      </c>
      <c r="E980" s="8" t="s">
        <v>1931</v>
      </c>
      <c r="F980" s="8">
        <v>3.0</v>
      </c>
      <c r="G980" s="8">
        <v>677.46</v>
      </c>
      <c r="H980" s="8">
        <v>0.05</v>
      </c>
      <c r="I980" s="8">
        <f t="shared" si="1"/>
        <v>2032.38</v>
      </c>
      <c r="J980" s="8">
        <f t="shared" si="2"/>
        <v>-101.569</v>
      </c>
      <c r="K980" s="8" t="str">
        <f t="shared" si="3"/>
        <v>Mar</v>
      </c>
      <c r="L980" s="8">
        <f t="shared" si="4"/>
        <v>2027</v>
      </c>
      <c r="N980" s="8" t="str">
        <f t="array" ref="N980">XLOOKUP(C980,Customer_Dim!A:A,Customer_Dim!B:B,"Not Found")</f>
        <v>Tracy Stephens</v>
      </c>
      <c r="O980" s="8" t="str">
        <f t="array" ref="O980">XLOOKUP(C980,Customer_Dim!A:A,Customer_Dim!E:E,"Not Found")</f>
        <v>New Joshuatown</v>
      </c>
      <c r="P980" s="8" t="str">
        <f t="array" ref="P980">XLOOKUP(D980,Product_Dim!A:A,Product_Dim!B:B,"Not Found")</f>
        <v>Knee Support Brace</v>
      </c>
      <c r="Q980" s="8" t="str">
        <f t="array" ref="Q980">XLOOKUP(D980,Product_Dim!A:A,Product_Dim!C:C,"Not Found")</f>
        <v>Sports</v>
      </c>
      <c r="R980" s="8" t="str">
        <f t="array" ref="R980">XLOOKUP(E980,Store_Dim!A:A,Store_Dim!B:B,"Not Found")</f>
        <v>East</v>
      </c>
      <c r="S980" s="8" t="str">
        <f t="array" ref="S980">XLOOKUP(E980,Store_Dim!A:A,Store_Dim!D:D,"Not Found")</f>
        <v>Flagship</v>
      </c>
    </row>
    <row r="981" ht="14.25" customHeight="1">
      <c r="A981" s="8" t="s">
        <v>2934</v>
      </c>
      <c r="B981" s="12">
        <v>46459.0</v>
      </c>
      <c r="C981" s="8" t="s">
        <v>1047</v>
      </c>
      <c r="D981" s="8" t="s">
        <v>1645</v>
      </c>
      <c r="E981" s="8" t="s">
        <v>1903</v>
      </c>
      <c r="F981" s="8">
        <v>3.0</v>
      </c>
      <c r="G981" s="8">
        <v>614.63</v>
      </c>
      <c r="H981" s="8">
        <v>0.06</v>
      </c>
      <c r="I981" s="8">
        <f t="shared" si="1"/>
        <v>1843.89</v>
      </c>
      <c r="J981" s="8">
        <f t="shared" si="2"/>
        <v>-110.5734</v>
      </c>
      <c r="K981" s="8" t="str">
        <f t="shared" si="3"/>
        <v>Mar</v>
      </c>
      <c r="L981" s="8">
        <f t="shared" si="4"/>
        <v>2027</v>
      </c>
      <c r="N981" s="8" t="str">
        <f t="array" ref="N981">XLOOKUP(C981,Customer_Dim!A:A,Customer_Dim!B:B,"Not Found")</f>
        <v>Mario Harvey Jr.</v>
      </c>
      <c r="O981" s="8" t="str">
        <f t="array" ref="O981">XLOOKUP(C981,Customer_Dim!A:A,Customer_Dim!E:E,"Not Found")</f>
        <v>Jessicaport</v>
      </c>
      <c r="P981" s="8" t="str">
        <f t="array" ref="P981">XLOOKUP(D981,Product_Dim!A:A,Product_Dim!B:B,"Not Found")</f>
        <v>Multi-Purpose Storage Box</v>
      </c>
      <c r="Q981" s="8" t="str">
        <f t="array" ref="Q981">XLOOKUP(D981,Product_Dim!A:A,Product_Dim!C:C,"Not Found")</f>
        <v>Home</v>
      </c>
      <c r="R981" s="8" t="str">
        <f t="array" ref="R981">XLOOKUP(E981,Store_Dim!A:A,Store_Dim!B:B,"Not Found")</f>
        <v>North</v>
      </c>
      <c r="S981" s="8" t="str">
        <f t="array" ref="S981">XLOOKUP(E981,Store_Dim!A:A,Store_Dim!D:D,"Not Found")</f>
        <v>Flagship</v>
      </c>
    </row>
    <row r="982" ht="14.25" customHeight="1">
      <c r="A982" s="8" t="s">
        <v>2935</v>
      </c>
      <c r="B982" s="12">
        <v>46460.0</v>
      </c>
      <c r="C982" s="8" t="s">
        <v>761</v>
      </c>
      <c r="D982" s="8" t="s">
        <v>1787</v>
      </c>
      <c r="E982" s="8" t="s">
        <v>1921</v>
      </c>
      <c r="F982" s="8">
        <v>4.0</v>
      </c>
      <c r="G982" s="8">
        <v>649.52</v>
      </c>
      <c r="H982" s="8">
        <v>0.11</v>
      </c>
      <c r="I982" s="8">
        <f t="shared" si="1"/>
        <v>2598.08</v>
      </c>
      <c r="J982" s="8">
        <f t="shared" si="2"/>
        <v>-285.6788</v>
      </c>
      <c r="K982" s="8" t="str">
        <f t="shared" si="3"/>
        <v>Mar</v>
      </c>
      <c r="L982" s="8">
        <f t="shared" si="4"/>
        <v>2027</v>
      </c>
      <c r="N982" s="8" t="str">
        <f t="array" ref="N982">XLOOKUP(C982,Customer_Dim!A:A,Customer_Dim!B:B,"Not Found")</f>
        <v>Christy Hill</v>
      </c>
      <c r="O982" s="8" t="str">
        <f t="array" ref="O982">XLOOKUP(C982,Customer_Dim!A:A,Customer_Dim!E:E,"Not Found")</f>
        <v>Tammyton</v>
      </c>
      <c r="P982" s="8" t="str">
        <f t="array" ref="P982">XLOOKUP(D982,Product_Dim!A:A,Product_Dim!B:B,"Not Found")</f>
        <v>Women's Hair Dryer Brush</v>
      </c>
      <c r="Q982" s="8" t="str">
        <f t="array" ref="Q982">XLOOKUP(D982,Product_Dim!A:A,Product_Dim!C:C,"Not Found")</f>
        <v>Beauty</v>
      </c>
      <c r="R982" s="8" t="str">
        <f t="array" ref="R982">XLOOKUP(E982,Store_Dim!A:A,Store_Dim!B:B,"Not Found")</f>
        <v>West</v>
      </c>
      <c r="S982" s="8" t="str">
        <f t="array" ref="S982">XLOOKUP(E982,Store_Dim!A:A,Store_Dim!D:D,"Not Found")</f>
        <v>Online</v>
      </c>
    </row>
    <row r="983" ht="14.25" customHeight="1">
      <c r="A983" s="8" t="s">
        <v>2936</v>
      </c>
      <c r="B983" s="12">
        <v>46461.0</v>
      </c>
      <c r="C983" s="8" t="s">
        <v>1393</v>
      </c>
      <c r="D983" s="8" t="s">
        <v>1845</v>
      </c>
      <c r="E983" s="8" t="s">
        <v>1921</v>
      </c>
      <c r="F983" s="8">
        <v>2.0</v>
      </c>
      <c r="G983" s="8">
        <v>943.93</v>
      </c>
      <c r="H983" s="8">
        <v>0.22</v>
      </c>
      <c r="I983" s="8">
        <f t="shared" si="1"/>
        <v>1887.86</v>
      </c>
      <c r="J983" s="8">
        <f t="shared" si="2"/>
        <v>-415.1092</v>
      </c>
      <c r="K983" s="8" t="str">
        <f t="shared" si="3"/>
        <v>Mar</v>
      </c>
      <c r="L983" s="8">
        <f t="shared" si="4"/>
        <v>2027</v>
      </c>
      <c r="N983" s="8" t="str">
        <f t="array" ref="N983">XLOOKUP(C983,Customer_Dim!A:A,Customer_Dim!B:B,"Not Found")</f>
        <v>Gene Lee</v>
      </c>
      <c r="O983" s="8" t="str">
        <f t="array" ref="O983">XLOOKUP(C983,Customer_Dim!A:A,Customer_Dim!E:E,"Not Found")</f>
        <v>Mcfarlandmouth</v>
      </c>
      <c r="P983" s="8" t="str">
        <f t="array" ref="P983">XLOOKUP(D983,Product_Dim!A:A,Product_Dim!B:B,"Not Found")</f>
        <v>Women's Beanie Hat</v>
      </c>
      <c r="Q983" s="8" t="str">
        <f t="array" ref="Q983">XLOOKUP(D983,Product_Dim!A:A,Product_Dim!C:C,"Not Found")</f>
        <v>Clothing</v>
      </c>
      <c r="R983" s="8" t="str">
        <f t="array" ref="R983">XLOOKUP(E983,Store_Dim!A:A,Store_Dim!B:B,"Not Found")</f>
        <v>West</v>
      </c>
      <c r="S983" s="8" t="str">
        <f t="array" ref="S983">XLOOKUP(E983,Store_Dim!A:A,Store_Dim!D:D,"Not Found")</f>
        <v>Online</v>
      </c>
    </row>
    <row r="984" ht="14.25" customHeight="1">
      <c r="A984" s="8" t="s">
        <v>2937</v>
      </c>
      <c r="B984" s="12">
        <v>46462.0</v>
      </c>
      <c r="C984" s="8" t="s">
        <v>562</v>
      </c>
      <c r="D984" s="8" t="s">
        <v>1677</v>
      </c>
      <c r="E984" s="8" t="s">
        <v>1921</v>
      </c>
      <c r="F984" s="8">
        <v>4.0</v>
      </c>
      <c r="G984" s="8">
        <v>538.73</v>
      </c>
      <c r="H984" s="8">
        <v>0.03</v>
      </c>
      <c r="I984" s="8">
        <f t="shared" si="1"/>
        <v>2154.92</v>
      </c>
      <c r="J984" s="8">
        <f t="shared" si="2"/>
        <v>-64.6176</v>
      </c>
      <c r="K984" s="8" t="str">
        <f t="shared" si="3"/>
        <v>Mar</v>
      </c>
      <c r="L984" s="8">
        <f t="shared" si="4"/>
        <v>2027</v>
      </c>
      <c r="N984" s="8" t="str">
        <f t="array" ref="N984">XLOOKUP(C984,Customer_Dim!A:A,Customer_Dim!B:B,"Not Found")</f>
        <v>Jason Wheeler</v>
      </c>
      <c r="O984" s="8" t="str">
        <f t="array" ref="O984">XLOOKUP(C984,Customer_Dim!A:A,Customer_Dim!E:E,"Not Found")</f>
        <v>Carolview</v>
      </c>
      <c r="P984" s="8" t="str">
        <f t="array" ref="P984">XLOOKUP(D984,Product_Dim!A:A,Product_Dim!B:B,"Not Found")</f>
        <v>Basketball</v>
      </c>
      <c r="Q984" s="8" t="str">
        <f t="array" ref="Q984">XLOOKUP(D984,Product_Dim!A:A,Product_Dim!C:C,"Not Found")</f>
        <v>Sports</v>
      </c>
      <c r="R984" s="8" t="str">
        <f t="array" ref="R984">XLOOKUP(E984,Store_Dim!A:A,Store_Dim!B:B,"Not Found")</f>
        <v>West</v>
      </c>
      <c r="S984" s="8" t="str">
        <f t="array" ref="S984">XLOOKUP(E984,Store_Dim!A:A,Store_Dim!D:D,"Not Found")</f>
        <v>Online</v>
      </c>
    </row>
    <row r="985" ht="14.25" customHeight="1">
      <c r="A985" s="8" t="s">
        <v>2938</v>
      </c>
      <c r="B985" s="12">
        <v>46463.0</v>
      </c>
      <c r="C985" s="8" t="s">
        <v>328</v>
      </c>
      <c r="D985" s="8" t="s">
        <v>1787</v>
      </c>
      <c r="E985" s="8" t="s">
        <v>1921</v>
      </c>
      <c r="F985" s="8">
        <v>2.0</v>
      </c>
      <c r="G985" s="8">
        <v>853.93</v>
      </c>
      <c r="H985" s="8">
        <v>0.01</v>
      </c>
      <c r="I985" s="8">
        <f t="shared" si="1"/>
        <v>1707.86</v>
      </c>
      <c r="J985" s="8">
        <f t="shared" si="2"/>
        <v>-17.0686</v>
      </c>
      <c r="K985" s="8" t="str">
        <f t="shared" si="3"/>
        <v>Mar</v>
      </c>
      <c r="L985" s="8">
        <f t="shared" si="4"/>
        <v>2027</v>
      </c>
      <c r="N985" s="8" t="str">
        <f t="array" ref="N985">XLOOKUP(C985,Customer_Dim!A:A,Customer_Dim!B:B,"Not Found")</f>
        <v>Timothy Wright</v>
      </c>
      <c r="O985" s="8" t="str">
        <f t="array" ref="O985">XLOOKUP(C985,Customer_Dim!A:A,Customer_Dim!E:E,"Not Found")</f>
        <v>Ashleystad</v>
      </c>
      <c r="P985" s="8" t="str">
        <f t="array" ref="P985">XLOOKUP(D985,Product_Dim!A:A,Product_Dim!B:B,"Not Found")</f>
        <v>Women's Hair Dryer Brush</v>
      </c>
      <c r="Q985" s="8" t="str">
        <f t="array" ref="Q985">XLOOKUP(D985,Product_Dim!A:A,Product_Dim!C:C,"Not Found")</f>
        <v>Beauty</v>
      </c>
      <c r="R985" s="8" t="str">
        <f t="array" ref="R985">XLOOKUP(E985,Store_Dim!A:A,Store_Dim!B:B,"Not Found")</f>
        <v>West</v>
      </c>
      <c r="S985" s="8" t="str">
        <f t="array" ref="S985">XLOOKUP(E985,Store_Dim!A:A,Store_Dim!D:D,"Not Found")</f>
        <v>Online</v>
      </c>
    </row>
    <row r="986" ht="14.25" customHeight="1">
      <c r="A986" s="8" t="s">
        <v>2939</v>
      </c>
      <c r="B986" s="12">
        <v>46464.0</v>
      </c>
      <c r="C986" s="8" t="s">
        <v>1526</v>
      </c>
      <c r="D986" s="8" t="s">
        <v>1671</v>
      </c>
      <c r="E986" s="8" t="s">
        <v>1912</v>
      </c>
      <c r="F986" s="8">
        <v>4.0</v>
      </c>
      <c r="G986" s="8">
        <v>465.42</v>
      </c>
      <c r="H986" s="8">
        <v>0.26</v>
      </c>
      <c r="I986" s="8">
        <f t="shared" si="1"/>
        <v>1861.68</v>
      </c>
      <c r="J986" s="8">
        <f t="shared" si="2"/>
        <v>-483.7768</v>
      </c>
      <c r="K986" s="8" t="str">
        <f t="shared" si="3"/>
        <v>Mar</v>
      </c>
      <c r="L986" s="8">
        <f t="shared" si="4"/>
        <v>2027</v>
      </c>
      <c r="N986" s="8" t="str">
        <f t="array" ref="N986">XLOOKUP(C986,Customer_Dim!A:A,Customer_Dim!B:B,"Not Found")</f>
        <v>Kaitlin Brown</v>
      </c>
      <c r="O986" s="8" t="str">
        <f t="array" ref="O986">XLOOKUP(C986,Customer_Dim!A:A,Customer_Dim!E:E,"Not Found")</f>
        <v>Kellyberg</v>
      </c>
      <c r="P986" s="8" t="str">
        <f t="array" ref="P986">XLOOKUP(D986,Product_Dim!A:A,Product_Dim!B:B,"Not Found")</f>
        <v>Fabric Sofa Throw Blanket</v>
      </c>
      <c r="Q986" s="8" t="str">
        <f t="array" ref="Q986">XLOOKUP(D986,Product_Dim!A:A,Product_Dim!C:C,"Not Found")</f>
        <v>Home</v>
      </c>
      <c r="R986" s="8" t="str">
        <f t="array" ref="R986">XLOOKUP(E986,Store_Dim!A:A,Store_Dim!B:B,"Not Found")</f>
        <v>South</v>
      </c>
      <c r="S986" s="8" t="str">
        <f t="array" ref="S986">XLOOKUP(E986,Store_Dim!A:A,Store_Dim!D:D,"Not Found")</f>
        <v>Online</v>
      </c>
    </row>
    <row r="987" ht="14.25" customHeight="1">
      <c r="A987" s="8" t="s">
        <v>2940</v>
      </c>
      <c r="B987" s="12">
        <v>46465.0</v>
      </c>
      <c r="C987" s="8" t="s">
        <v>218</v>
      </c>
      <c r="D987" s="8" t="s">
        <v>1567</v>
      </c>
      <c r="E987" s="8" t="s">
        <v>1928</v>
      </c>
      <c r="F987" s="8">
        <v>4.0</v>
      </c>
      <c r="G987" s="8">
        <v>880.26</v>
      </c>
      <c r="H987" s="8">
        <v>0.11</v>
      </c>
      <c r="I987" s="8">
        <f t="shared" si="1"/>
        <v>3521.04</v>
      </c>
      <c r="J987" s="8">
        <f t="shared" si="2"/>
        <v>-387.2044</v>
      </c>
      <c r="K987" s="8" t="str">
        <f t="shared" si="3"/>
        <v>Mar</v>
      </c>
      <c r="L987" s="8">
        <f t="shared" si="4"/>
        <v>2027</v>
      </c>
      <c r="N987" s="8" t="str">
        <f t="array" ref="N987">XLOOKUP(C987,Customer_Dim!A:A,Customer_Dim!B:B,"Not Found")</f>
        <v>Wayne Mcpherson</v>
      </c>
      <c r="O987" s="8" t="str">
        <f t="array" ref="O987">XLOOKUP(C987,Customer_Dim!A:A,Customer_Dim!E:E,"Not Found")</f>
        <v>Edwardsfort</v>
      </c>
      <c r="P987" s="8" t="str">
        <f t="array" ref="P987">XLOOKUP(D987,Product_Dim!A:A,Product_Dim!B:B,"Not Found")</f>
        <v>Men's Graphic T-Shirt</v>
      </c>
      <c r="Q987" s="8" t="str">
        <f t="array" ref="Q987">XLOOKUP(D987,Product_Dim!A:A,Product_Dim!C:C,"Not Found")</f>
        <v>Clothing</v>
      </c>
      <c r="R987" s="8" t="str">
        <f t="array" ref="R987">XLOOKUP(E987,Store_Dim!A:A,Store_Dim!B:B,"Not Found")</f>
        <v>South</v>
      </c>
      <c r="S987" s="8" t="str">
        <f t="array" ref="S987">XLOOKUP(E987,Store_Dim!A:A,Store_Dim!D:D,"Not Found")</f>
        <v>Online</v>
      </c>
    </row>
    <row r="988" ht="14.25" customHeight="1">
      <c r="A988" s="8" t="s">
        <v>2941</v>
      </c>
      <c r="B988" s="12">
        <v>46466.0</v>
      </c>
      <c r="C988" s="8" t="s">
        <v>1503</v>
      </c>
      <c r="D988" s="8" t="s">
        <v>1742</v>
      </c>
      <c r="E988" s="8" t="s">
        <v>1928</v>
      </c>
      <c r="F988" s="8">
        <v>3.0</v>
      </c>
      <c r="G988" s="8">
        <v>461.02</v>
      </c>
      <c r="H988" s="8">
        <v>0.29</v>
      </c>
      <c r="I988" s="8">
        <f t="shared" si="1"/>
        <v>1383.06</v>
      </c>
      <c r="J988" s="8">
        <f t="shared" si="2"/>
        <v>-400.7974</v>
      </c>
      <c r="K988" s="8" t="str">
        <f t="shared" si="3"/>
        <v>Mar</v>
      </c>
      <c r="L988" s="8">
        <f t="shared" si="4"/>
        <v>2027</v>
      </c>
      <c r="N988" s="8" t="str">
        <f t="array" ref="N988">XLOOKUP(C988,Customer_Dim!A:A,Customer_Dim!B:B,"Not Found")</f>
        <v>Sarah Smith</v>
      </c>
      <c r="O988" s="8" t="str">
        <f t="array" ref="O988">XLOOKUP(C988,Customer_Dim!A:A,Customer_Dim!E:E,"Not Found")</f>
        <v>East Rodney</v>
      </c>
      <c r="P988" s="8" t="str">
        <f t="array" ref="P988">XLOOKUP(D988,Product_Dim!A:A,Product_Dim!B:B,"Not Found")</f>
        <v>HDMI Cable – 2m</v>
      </c>
      <c r="Q988" s="8" t="str">
        <f t="array" ref="Q988">XLOOKUP(D988,Product_Dim!A:A,Product_Dim!C:C,"Not Found")</f>
        <v>Electronics</v>
      </c>
      <c r="R988" s="8" t="str">
        <f t="array" ref="R988">XLOOKUP(E988,Store_Dim!A:A,Store_Dim!B:B,"Not Found")</f>
        <v>South</v>
      </c>
      <c r="S988" s="8" t="str">
        <f t="array" ref="S988">XLOOKUP(E988,Store_Dim!A:A,Store_Dim!D:D,"Not Found")</f>
        <v>Online</v>
      </c>
    </row>
    <row r="989" ht="14.25" customHeight="1">
      <c r="A989" s="8" t="s">
        <v>2942</v>
      </c>
      <c r="B989" s="12">
        <v>46467.0</v>
      </c>
      <c r="C989" s="8" t="s">
        <v>120</v>
      </c>
      <c r="D989" s="8" t="s">
        <v>1659</v>
      </c>
      <c r="E989" s="8" t="s">
        <v>1931</v>
      </c>
      <c r="F989" s="8">
        <v>1.0</v>
      </c>
      <c r="G989" s="8">
        <v>531.99</v>
      </c>
      <c r="H989" s="8">
        <v>0.17</v>
      </c>
      <c r="I989" s="8">
        <f t="shared" si="1"/>
        <v>531.99</v>
      </c>
      <c r="J989" s="8">
        <f t="shared" si="2"/>
        <v>-90.2683</v>
      </c>
      <c r="K989" s="8" t="str">
        <f t="shared" si="3"/>
        <v>Mar</v>
      </c>
      <c r="L989" s="8">
        <f t="shared" si="4"/>
        <v>2027</v>
      </c>
      <c r="N989" s="8" t="str">
        <f t="array" ref="N989">XLOOKUP(C989,Customer_Dim!A:A,Customer_Dim!B:B,"Not Found")</f>
        <v>Amber Carlson</v>
      </c>
      <c r="O989" s="8" t="str">
        <f t="array" ref="O989">XLOOKUP(C989,Customer_Dim!A:A,Customer_Dim!E:E,"Not Found")</f>
        <v>East Michellemouth</v>
      </c>
      <c r="P989" s="8" t="str">
        <f t="array" ref="P989">XLOOKUP(D989,Product_Dim!A:A,Product_Dim!B:B,"Not Found")</f>
        <v>Women's Scarf Set</v>
      </c>
      <c r="Q989" s="8" t="str">
        <f t="array" ref="Q989">XLOOKUP(D989,Product_Dim!A:A,Product_Dim!C:C,"Not Found")</f>
        <v>Clothing</v>
      </c>
      <c r="R989" s="8" t="str">
        <f t="array" ref="R989">XLOOKUP(E989,Store_Dim!A:A,Store_Dim!B:B,"Not Found")</f>
        <v>East</v>
      </c>
      <c r="S989" s="8" t="str">
        <f t="array" ref="S989">XLOOKUP(E989,Store_Dim!A:A,Store_Dim!D:D,"Not Found")</f>
        <v>Flagship</v>
      </c>
    </row>
    <row r="990" ht="14.25" customHeight="1">
      <c r="A990" s="8" t="s">
        <v>2943</v>
      </c>
      <c r="B990" s="12">
        <v>46468.0</v>
      </c>
      <c r="C990" s="8" t="s">
        <v>35</v>
      </c>
      <c r="D990" s="8" t="s">
        <v>1728</v>
      </c>
      <c r="E990" s="8" t="s">
        <v>1937</v>
      </c>
      <c r="F990" s="8">
        <v>2.0</v>
      </c>
      <c r="G990" s="8">
        <v>274.09</v>
      </c>
      <c r="H990" s="8">
        <v>0.13</v>
      </c>
      <c r="I990" s="8">
        <f t="shared" si="1"/>
        <v>548.18</v>
      </c>
      <c r="J990" s="8">
        <f t="shared" si="2"/>
        <v>-71.1334</v>
      </c>
      <c r="K990" s="8" t="str">
        <f t="shared" si="3"/>
        <v>Mar</v>
      </c>
      <c r="L990" s="8">
        <f t="shared" si="4"/>
        <v>2027</v>
      </c>
      <c r="N990" s="8" t="str">
        <f t="array" ref="N990">XLOOKUP(C990,Customer_Dim!A:A,Customer_Dim!B:B,"Not Found")</f>
        <v>Caroline Collins</v>
      </c>
      <c r="O990" s="8" t="str">
        <f t="array" ref="O990">XLOOKUP(C990,Customer_Dim!A:A,Customer_Dim!E:E,"Not Found")</f>
        <v>Nicholasshire</v>
      </c>
      <c r="P990" s="8" t="str">
        <f t="array" ref="P990">XLOOKUP(D990,Product_Dim!A:A,Product_Dim!B:B,"Not Found")</f>
        <v>Makeup Brush Set</v>
      </c>
      <c r="Q990" s="8" t="str">
        <f t="array" ref="Q990">XLOOKUP(D990,Product_Dim!A:A,Product_Dim!C:C,"Not Found")</f>
        <v>Beauty</v>
      </c>
      <c r="R990" s="8" t="str">
        <f t="array" ref="R990">XLOOKUP(E990,Store_Dim!A:A,Store_Dim!B:B,"Not Found")</f>
        <v>North</v>
      </c>
      <c r="S990" s="8" t="str">
        <f t="array" ref="S990">XLOOKUP(E990,Store_Dim!A:A,Store_Dim!D:D,"Not Found")</f>
        <v>Flagship</v>
      </c>
    </row>
    <row r="991" ht="14.25" customHeight="1">
      <c r="A991" s="8" t="s">
        <v>2944</v>
      </c>
      <c r="B991" s="12">
        <v>46469.0</v>
      </c>
      <c r="C991" s="8" t="s">
        <v>1387</v>
      </c>
      <c r="D991" s="8" t="s">
        <v>1854</v>
      </c>
      <c r="E991" s="8" t="s">
        <v>1926</v>
      </c>
      <c r="F991" s="8">
        <v>1.0</v>
      </c>
      <c r="G991" s="8">
        <v>66.14</v>
      </c>
      <c r="H991" s="8">
        <v>0.14</v>
      </c>
      <c r="I991" s="8">
        <f t="shared" si="1"/>
        <v>66.14</v>
      </c>
      <c r="J991" s="8">
        <f t="shared" si="2"/>
        <v>-9.1196</v>
      </c>
      <c r="K991" s="8" t="str">
        <f t="shared" si="3"/>
        <v>Mar</v>
      </c>
      <c r="L991" s="8">
        <f t="shared" si="4"/>
        <v>2027</v>
      </c>
      <c r="N991" s="8" t="str">
        <f t="array" ref="N991">XLOOKUP(C991,Customer_Dim!A:A,Customer_Dim!B:B,"Not Found")</f>
        <v>Adam Castro</v>
      </c>
      <c r="O991" s="8" t="str">
        <f t="array" ref="O991">XLOOKUP(C991,Customer_Dim!A:A,Customer_Dim!E:E,"Not Found")</f>
        <v>New Donnabury</v>
      </c>
      <c r="P991" s="8" t="str">
        <f t="array" ref="P991">XLOOKUP(D991,Product_Dim!A:A,Product_Dim!B:B,"Not Found")</f>
        <v>Sports Wrist Sweatbands</v>
      </c>
      <c r="Q991" s="8" t="str">
        <f t="array" ref="Q991">XLOOKUP(D991,Product_Dim!A:A,Product_Dim!C:C,"Not Found")</f>
        <v>Sports</v>
      </c>
      <c r="R991" s="8" t="str">
        <f t="array" ref="R991">XLOOKUP(E991,Store_Dim!A:A,Store_Dim!B:B,"Not Found")</f>
        <v>East</v>
      </c>
      <c r="S991" s="8" t="str">
        <f t="array" ref="S991">XLOOKUP(E991,Store_Dim!A:A,Store_Dim!D:D,"Not Found")</f>
        <v>Online</v>
      </c>
    </row>
    <row r="992" ht="14.25" customHeight="1">
      <c r="A992" s="8" t="s">
        <v>2945</v>
      </c>
      <c r="B992" s="12">
        <v>46470.0</v>
      </c>
      <c r="C992" s="8" t="s">
        <v>291</v>
      </c>
      <c r="D992" s="8" t="s">
        <v>1642</v>
      </c>
      <c r="E992" s="8" t="s">
        <v>1924</v>
      </c>
      <c r="F992" s="8">
        <v>3.0</v>
      </c>
      <c r="G992" s="8">
        <v>955.82</v>
      </c>
      <c r="H992" s="8">
        <v>0.16</v>
      </c>
      <c r="I992" s="8">
        <f t="shared" si="1"/>
        <v>2867.46</v>
      </c>
      <c r="J992" s="8">
        <f t="shared" si="2"/>
        <v>-458.6336</v>
      </c>
      <c r="K992" s="8" t="str">
        <f t="shared" si="3"/>
        <v>Mar</v>
      </c>
      <c r="L992" s="8">
        <f t="shared" si="4"/>
        <v>2027</v>
      </c>
      <c r="N992" s="8" t="str">
        <f t="array" ref="N992">XLOOKUP(C992,Customer_Dim!A:A,Customer_Dim!B:B,"Not Found")</f>
        <v>Katherine Young</v>
      </c>
      <c r="O992" s="8" t="str">
        <f t="array" ref="O992">XLOOKUP(C992,Customer_Dim!A:A,Customer_Dim!E:E,"Not Found")</f>
        <v>North Valeriemouth</v>
      </c>
      <c r="P992" s="8" t="str">
        <f t="array" ref="P992">XLOOKUP(D992,Product_Dim!A:A,Product_Dim!B:B,"Not Found")</f>
        <v>Outdoor Sports Water Bottle</v>
      </c>
      <c r="Q992" s="8" t="str">
        <f t="array" ref="Q992">XLOOKUP(D992,Product_Dim!A:A,Product_Dim!C:C,"Not Found")</f>
        <v>Sports</v>
      </c>
      <c r="R992" s="8" t="str">
        <f t="array" ref="R992">XLOOKUP(E992,Store_Dim!A:A,Store_Dim!B:B,"Not Found")</f>
        <v>South</v>
      </c>
      <c r="S992" s="8" t="str">
        <f t="array" ref="S992">XLOOKUP(E992,Store_Dim!A:A,Store_Dim!D:D,"Not Found")</f>
        <v>Flagship</v>
      </c>
    </row>
    <row r="993" ht="14.25" customHeight="1">
      <c r="A993" s="8" t="s">
        <v>2946</v>
      </c>
      <c r="B993" s="12">
        <v>46471.0</v>
      </c>
      <c r="C993" s="8" t="s">
        <v>1020</v>
      </c>
      <c r="D993" s="8" t="s">
        <v>1649</v>
      </c>
      <c r="E993" s="8" t="s">
        <v>1929</v>
      </c>
      <c r="F993" s="8">
        <v>1.0</v>
      </c>
      <c r="G993" s="8">
        <v>904.92</v>
      </c>
      <c r="H993" s="8">
        <v>0.13</v>
      </c>
      <c r="I993" s="8">
        <f t="shared" si="1"/>
        <v>904.92</v>
      </c>
      <c r="J993" s="8">
        <f t="shared" si="2"/>
        <v>-117.5096</v>
      </c>
      <c r="K993" s="8" t="str">
        <f t="shared" si="3"/>
        <v>Mar</v>
      </c>
      <c r="L993" s="8">
        <f t="shared" si="4"/>
        <v>2027</v>
      </c>
      <c r="N993" s="8" t="str">
        <f t="array" ref="N993">XLOOKUP(C993,Customer_Dim!A:A,Customer_Dim!B:B,"Not Found")</f>
        <v>Casey Simpson</v>
      </c>
      <c r="O993" s="8" t="str">
        <f t="array" ref="O993">XLOOKUP(C993,Customer_Dim!A:A,Customer_Dim!E:E,"Not Found")</f>
        <v>West Mathewside</v>
      </c>
      <c r="P993" s="8" t="str">
        <f t="array" ref="P993">XLOOKUP(D993,Product_Dim!A:A,Product_Dim!B:B,"Not Found")</f>
        <v>Carbon Fiber Tennis Racket</v>
      </c>
      <c r="Q993" s="8" t="str">
        <f t="array" ref="Q993">XLOOKUP(D993,Product_Dim!A:A,Product_Dim!C:C,"Not Found")</f>
        <v>Sports</v>
      </c>
      <c r="R993" s="8" t="str">
        <f t="array" ref="R993">XLOOKUP(E993,Store_Dim!A:A,Store_Dim!B:B,"Not Found")</f>
        <v>North</v>
      </c>
      <c r="S993" s="8" t="str">
        <f t="array" ref="S993">XLOOKUP(E993,Store_Dim!A:A,Store_Dim!D:D,"Not Found")</f>
        <v>Online</v>
      </c>
    </row>
    <row r="994" ht="14.25" customHeight="1">
      <c r="A994" s="8" t="s">
        <v>2947</v>
      </c>
      <c r="B994" s="12">
        <v>46472.0</v>
      </c>
      <c r="C994" s="8" t="s">
        <v>14</v>
      </c>
      <c r="D994" s="8" t="s">
        <v>1707</v>
      </c>
      <c r="E994" s="8" t="s">
        <v>1919</v>
      </c>
      <c r="F994" s="8">
        <v>3.0</v>
      </c>
      <c r="G994" s="8">
        <v>490.02</v>
      </c>
      <c r="H994" s="8">
        <v>0.26</v>
      </c>
      <c r="I994" s="8">
        <f t="shared" si="1"/>
        <v>1470.06</v>
      </c>
      <c r="J994" s="8">
        <f t="shared" si="2"/>
        <v>-381.9556</v>
      </c>
      <c r="K994" s="8" t="str">
        <f t="shared" si="3"/>
        <v>Mar</v>
      </c>
      <c r="L994" s="8">
        <f t="shared" si="4"/>
        <v>2027</v>
      </c>
      <c r="N994" s="8" t="str">
        <f t="array" ref="N994">XLOOKUP(C994,Customer_Dim!A:A,Customer_Dim!B:B,"Not Found")</f>
        <v>  sheena bonilla  </v>
      </c>
      <c r="O994" s="8" t="str">
        <f t="array" ref="O994">XLOOKUP(C994,Customer_Dim!A:A,Customer_Dim!E:E,"Not Found")</f>
        <v>Donaldton</v>
      </c>
      <c r="P994" s="8" t="str">
        <f t="array" ref="P994">XLOOKUP(D994,Product_Dim!A:A,Product_Dim!B:B,"Not Found")</f>
        <v>Noise-Canceling Headphones</v>
      </c>
      <c r="Q994" s="8" t="str">
        <f t="array" ref="Q994">XLOOKUP(D994,Product_Dim!A:A,Product_Dim!C:C,"Not Found")</f>
        <v>Electronics</v>
      </c>
      <c r="R994" s="8" t="str">
        <f t="array" ref="R994">XLOOKUP(E994,Store_Dim!A:A,Store_Dim!B:B,"Not Found")</f>
        <v>South</v>
      </c>
      <c r="S994" s="8" t="str">
        <f t="array" ref="S994">XLOOKUP(E994,Store_Dim!A:A,Store_Dim!D:D,"Not Found")</f>
        <v>Online</v>
      </c>
    </row>
    <row r="995" ht="14.25" customHeight="1">
      <c r="A995" s="8" t="s">
        <v>2948</v>
      </c>
      <c r="B995" s="12">
        <v>46473.0</v>
      </c>
      <c r="C995" s="8" t="s">
        <v>1152</v>
      </c>
      <c r="D995" s="8" t="s">
        <v>1638</v>
      </c>
      <c r="E995" s="8" t="s">
        <v>1917</v>
      </c>
      <c r="F995" s="8">
        <v>2.0</v>
      </c>
      <c r="G995" s="8">
        <v>957.54</v>
      </c>
      <c r="H995" s="8">
        <v>0.1</v>
      </c>
      <c r="I995" s="8">
        <f t="shared" si="1"/>
        <v>1915.08</v>
      </c>
      <c r="J995" s="8">
        <f t="shared" si="2"/>
        <v>-191.408</v>
      </c>
      <c r="K995" s="8" t="str">
        <f t="shared" si="3"/>
        <v>Mar</v>
      </c>
      <c r="L995" s="8">
        <f t="shared" si="4"/>
        <v>2027</v>
      </c>
      <c r="N995" s="8" t="str">
        <f t="array" ref="N995">XLOOKUP(C995,Customer_Dim!A:A,Customer_Dim!B:B,"Not Found")</f>
        <v>Elizabeth Smith</v>
      </c>
      <c r="O995" s="8" t="str">
        <f t="array" ref="O995">XLOOKUP(C995,Customer_Dim!A:A,Customer_Dim!E:E,"Not Found")</f>
        <v>Murphytown</v>
      </c>
      <c r="P995" s="8" t="str">
        <f t="array" ref="P995">XLOOKUP(D995,Product_Dim!A:A,Product_Dim!B:B,"Not Found")</f>
        <v>Knee Support Brace</v>
      </c>
      <c r="Q995" s="8" t="str">
        <f t="array" ref="Q995">XLOOKUP(D995,Product_Dim!A:A,Product_Dim!C:C,"Not Found")</f>
        <v>Sports</v>
      </c>
      <c r="R995" s="8" t="str">
        <f t="array" ref="R995">XLOOKUP(E995,Store_Dim!A:A,Store_Dim!B:B,"Not Found")</f>
        <v>East</v>
      </c>
      <c r="S995" s="8" t="str">
        <f t="array" ref="S995">XLOOKUP(E995,Store_Dim!A:A,Store_Dim!D:D,"Not Found")</f>
        <v>Online</v>
      </c>
    </row>
    <row r="996" ht="14.25" customHeight="1">
      <c r="A996" s="8" t="s">
        <v>2949</v>
      </c>
      <c r="B996" s="12">
        <v>46474.0</v>
      </c>
      <c r="C996" s="8" t="s">
        <v>1050</v>
      </c>
      <c r="D996" s="8" t="s">
        <v>1887</v>
      </c>
      <c r="E996" s="8" t="s">
        <v>1931</v>
      </c>
      <c r="F996" s="8">
        <v>2.0</v>
      </c>
      <c r="G996" s="8">
        <v>314.4</v>
      </c>
      <c r="H996" s="8">
        <v>0.07</v>
      </c>
      <c r="I996" s="8">
        <f t="shared" si="1"/>
        <v>628.8</v>
      </c>
      <c r="J996" s="8">
        <f t="shared" si="2"/>
        <v>-43.946</v>
      </c>
      <c r="K996" s="8" t="str">
        <f t="shared" si="3"/>
        <v>Mar</v>
      </c>
      <c r="L996" s="8">
        <f t="shared" si="4"/>
        <v>2027</v>
      </c>
      <c r="N996" s="8" t="str">
        <f t="array" ref="N996">XLOOKUP(C996,Customer_Dim!A:A,Customer_Dim!B:B,"Not Found")</f>
        <v>Victor Mcintosh</v>
      </c>
      <c r="O996" s="8" t="str">
        <f t="array" ref="O996">XLOOKUP(C996,Customer_Dim!A:A,Customer_Dim!E:E,"Not Found")</f>
        <v>Tiffanyshire</v>
      </c>
      <c r="P996" s="8" t="str">
        <f t="array" ref="P996">XLOOKUP(D996,Product_Dim!A:A,Product_Dim!B:B,"Not Found")</f>
        <v>Stainless Steel Cookware Set</v>
      </c>
      <c r="Q996" s="8" t="str">
        <f t="array" ref="Q996">XLOOKUP(D996,Product_Dim!A:A,Product_Dim!C:C,"Not Found")</f>
        <v>Home</v>
      </c>
      <c r="R996" s="8" t="str">
        <f t="array" ref="R996">XLOOKUP(E996,Store_Dim!A:A,Store_Dim!B:B,"Not Found")</f>
        <v>East</v>
      </c>
      <c r="S996" s="8" t="str">
        <f t="array" ref="S996">XLOOKUP(E996,Store_Dim!A:A,Store_Dim!D:D,"Not Found")</f>
        <v>Flagship</v>
      </c>
    </row>
    <row r="997" ht="14.25" customHeight="1">
      <c r="A997" s="8" t="s">
        <v>2950</v>
      </c>
      <c r="B997" s="12">
        <v>46475.0</v>
      </c>
      <c r="C997" s="8" t="s">
        <v>1245</v>
      </c>
      <c r="D997" s="8" t="s">
        <v>1655</v>
      </c>
      <c r="E997" s="8" t="s">
        <v>1917</v>
      </c>
      <c r="F997" s="8">
        <v>3.0</v>
      </c>
      <c r="G997" s="8">
        <v>480.11</v>
      </c>
      <c r="H997" s="8">
        <v>0.11</v>
      </c>
      <c r="I997" s="8">
        <f t="shared" si="1"/>
        <v>1440.33</v>
      </c>
      <c r="J997" s="8">
        <f t="shared" si="2"/>
        <v>-158.3263</v>
      </c>
      <c r="K997" s="8" t="str">
        <f t="shared" si="3"/>
        <v>Mar</v>
      </c>
      <c r="L997" s="8">
        <f t="shared" si="4"/>
        <v>2027</v>
      </c>
      <c r="N997" s="8" t="str">
        <f t="array" ref="N997">XLOOKUP(C997,Customer_Dim!A:A,Customer_Dim!B:B,"Not Found")</f>
        <v>Alejandro Evans</v>
      </c>
      <c r="O997" s="8" t="str">
        <f t="array" ref="O997">XLOOKUP(C997,Customer_Dim!A:A,Customer_Dim!E:E,"Not Found")</f>
        <v>Cannonberg</v>
      </c>
      <c r="P997" s="8" t="str">
        <f t="array" ref="P997">XLOOKUP(D997,Product_Dim!A:A,Product_Dim!B:B,"Not Found")</f>
        <v>Foldable Camping Chair</v>
      </c>
      <c r="Q997" s="8" t="str">
        <f t="array" ref="Q997">XLOOKUP(D997,Product_Dim!A:A,Product_Dim!C:C,"Not Found")</f>
        <v>Sports</v>
      </c>
      <c r="R997" s="8" t="str">
        <f t="array" ref="R997">XLOOKUP(E997,Store_Dim!A:A,Store_Dim!B:B,"Not Found")</f>
        <v>East</v>
      </c>
      <c r="S997" s="8" t="str">
        <f t="array" ref="S997">XLOOKUP(E997,Store_Dim!A:A,Store_Dim!D:D,"Not Found")</f>
        <v>Online</v>
      </c>
    </row>
    <row r="998" ht="14.25" customHeight="1">
      <c r="A998" s="8" t="s">
        <v>2951</v>
      </c>
      <c r="B998" s="12">
        <v>46476.0</v>
      </c>
      <c r="C998" s="8" t="s">
        <v>1227</v>
      </c>
      <c r="D998" s="8" t="s">
        <v>1732</v>
      </c>
      <c r="E998" s="8" t="s">
        <v>1917</v>
      </c>
      <c r="F998" s="8">
        <v>4.0</v>
      </c>
      <c r="G998" s="8">
        <v>826.55</v>
      </c>
      <c r="H998" s="8">
        <v>0.28</v>
      </c>
      <c r="I998" s="8">
        <f t="shared" si="1"/>
        <v>3306.2</v>
      </c>
      <c r="J998" s="8">
        <f t="shared" si="2"/>
        <v>-925.456</v>
      </c>
      <c r="K998" s="8" t="str">
        <f t="shared" si="3"/>
        <v>Mar</v>
      </c>
      <c r="L998" s="8">
        <f t="shared" si="4"/>
        <v>2027</v>
      </c>
      <c r="N998" s="8" t="str">
        <f t="array" ref="N998">XLOOKUP(C998,Customer_Dim!A:A,Customer_Dim!B:B,"Not Found")</f>
        <v>Timothy Valenzuela</v>
      </c>
      <c r="O998" s="8" t="str">
        <f t="array" ref="O998">XLOOKUP(C998,Customer_Dim!A:A,Customer_Dim!E:E,"Not Found")</f>
        <v>Stevensshire</v>
      </c>
      <c r="P998" s="8" t="str">
        <f t="array" ref="P998">XLOOKUP(D998,Product_Dim!A:A,Product_Dim!B:B,"Not Found")</f>
        <v>Car Dashboard Phone Holder</v>
      </c>
      <c r="Q998" s="8" t="str">
        <f t="array" ref="Q998">XLOOKUP(D998,Product_Dim!A:A,Product_Dim!C:C,"Not Found")</f>
        <v>Electronics</v>
      </c>
      <c r="R998" s="8" t="str">
        <f t="array" ref="R998">XLOOKUP(E998,Store_Dim!A:A,Store_Dim!B:B,"Not Found")</f>
        <v>East</v>
      </c>
      <c r="S998" s="8" t="str">
        <f t="array" ref="S998">XLOOKUP(E998,Store_Dim!A:A,Store_Dim!D:D,"Not Found")</f>
        <v>Online</v>
      </c>
    </row>
    <row r="999" ht="14.25" customHeight="1">
      <c r="A999" s="8" t="s">
        <v>2952</v>
      </c>
      <c r="B999" s="12">
        <v>46477.0</v>
      </c>
      <c r="C999" s="8" t="s">
        <v>637</v>
      </c>
      <c r="D999" s="8" t="s">
        <v>1665</v>
      </c>
      <c r="E999" s="8" t="s">
        <v>1910</v>
      </c>
      <c r="F999" s="8">
        <v>3.0</v>
      </c>
      <c r="G999" s="8">
        <v>530.17</v>
      </c>
      <c r="H999" s="8">
        <v>0.18</v>
      </c>
      <c r="I999" s="8">
        <f t="shared" si="1"/>
        <v>1590.51</v>
      </c>
      <c r="J999" s="8">
        <f t="shared" si="2"/>
        <v>-286.1118</v>
      </c>
      <c r="K999" s="8" t="str">
        <f t="shared" si="3"/>
        <v>Mar</v>
      </c>
      <c r="L999" s="8">
        <f t="shared" si="4"/>
        <v>2027</v>
      </c>
      <c r="N999" s="8" t="str">
        <f t="array" ref="N999">XLOOKUP(C999,Customer_Dim!A:A,Customer_Dim!B:B,"Not Found")</f>
        <v>Christopher Stewart</v>
      </c>
      <c r="O999" s="8" t="str">
        <f t="array" ref="O999">XLOOKUP(C999,Customer_Dim!A:A,Customer_Dim!E:E,"Not Found")</f>
        <v>Amandaside</v>
      </c>
      <c r="P999" s="8" t="str">
        <f t="array" ref="P999">XLOOKUP(D999,Product_Dim!A:A,Product_Dim!B:B,"Not Found")</f>
        <v>Decorative Floor Vase</v>
      </c>
      <c r="Q999" s="8" t="str">
        <f t="array" ref="Q999">XLOOKUP(D999,Product_Dim!A:A,Product_Dim!C:C,"Not Found")</f>
        <v>Home</v>
      </c>
      <c r="R999" s="8" t="str">
        <f t="array" ref="R999">XLOOKUP(E999,Store_Dim!A:A,Store_Dim!B:B,"Not Found")</f>
        <v>North</v>
      </c>
      <c r="S999" s="8" t="str">
        <f t="array" ref="S999">XLOOKUP(E999,Store_Dim!A:A,Store_Dim!D:D,"Not Found")</f>
        <v>Outlet</v>
      </c>
    </row>
    <row r="1000" ht="14.25" customHeight="1">
      <c r="A1000" s="8" t="s">
        <v>2953</v>
      </c>
      <c r="B1000" s="12">
        <v>46478.0</v>
      </c>
      <c r="C1000" s="8" t="s">
        <v>1282</v>
      </c>
      <c r="D1000" s="8" t="s">
        <v>1687</v>
      </c>
      <c r="E1000" s="8" t="s">
        <v>1937</v>
      </c>
      <c r="F1000" s="8">
        <v>3.0</v>
      </c>
      <c r="G1000" s="8">
        <v>336.17</v>
      </c>
      <c r="H1000" s="8">
        <v>0.04</v>
      </c>
      <c r="I1000" s="8">
        <f t="shared" si="1"/>
        <v>1008.51</v>
      </c>
      <c r="J1000" s="8">
        <f t="shared" si="2"/>
        <v>-40.3004</v>
      </c>
      <c r="K1000" s="8" t="str">
        <f t="shared" si="3"/>
        <v>Apr</v>
      </c>
      <c r="L1000" s="8">
        <f t="shared" si="4"/>
        <v>2027</v>
      </c>
      <c r="N1000" s="8" t="str">
        <f t="array" ref="N1000">XLOOKUP(C1000,Customer_Dim!A:A,Customer_Dim!B:B,"Not Found")</f>
        <v>Joseph Mendoza</v>
      </c>
      <c r="O1000" s="8" t="str">
        <f t="array" ref="O1000">XLOOKUP(C1000,Customer_Dim!A:A,Customer_Dim!E:E,"Not Found")</f>
        <v>Ashleymouth</v>
      </c>
      <c r="P1000" s="8" t="str">
        <f t="array" ref="P1000">XLOOKUP(D1000,Product_Dim!A:A,Product_Dim!B:B,"Not Found")</f>
        <v>Gaming Mechanical Keyboard</v>
      </c>
      <c r="Q1000" s="8" t="str">
        <f t="array" ref="Q1000">XLOOKUP(D1000,Product_Dim!A:A,Product_Dim!C:C,"Not Found")</f>
        <v>Electronics</v>
      </c>
      <c r="R1000" s="8" t="str">
        <f t="array" ref="R1000">XLOOKUP(E1000,Store_Dim!A:A,Store_Dim!B:B,"Not Found")</f>
        <v>North</v>
      </c>
      <c r="S1000" s="8" t="str">
        <f t="array" ref="S1000">XLOOKUP(E1000,Store_Dim!A:A,Store_Dim!D:D,"Not Found")</f>
        <v>Flagship</v>
      </c>
    </row>
    <row r="1001" ht="14.25" customHeight="1">
      <c r="A1001" s="8" t="s">
        <v>2954</v>
      </c>
      <c r="B1001" s="12">
        <v>46479.0</v>
      </c>
      <c r="C1001" s="8" t="s">
        <v>1323</v>
      </c>
      <c r="D1001" s="8" t="s">
        <v>1833</v>
      </c>
      <c r="E1001" s="8" t="s">
        <v>1921</v>
      </c>
      <c r="F1001" s="8">
        <v>4.0</v>
      </c>
      <c r="G1001" s="8">
        <v>22.51</v>
      </c>
      <c r="H1001" s="8">
        <v>0.27</v>
      </c>
      <c r="I1001" s="8">
        <f t="shared" si="1"/>
        <v>90.04</v>
      </c>
      <c r="J1001" s="8">
        <f t="shared" si="2"/>
        <v>-24.0408</v>
      </c>
      <c r="K1001" s="8" t="str">
        <f t="shared" si="3"/>
        <v>Apr</v>
      </c>
      <c r="L1001" s="8">
        <f t="shared" si="4"/>
        <v>2027</v>
      </c>
      <c r="N1001" s="8" t="str">
        <f t="array" ref="N1001">XLOOKUP(C1001,Customer_Dim!A:A,Customer_Dim!B:B,"Not Found")</f>
        <v>Holly Robinson</v>
      </c>
      <c r="O1001" s="8" t="str">
        <f t="array" ref="O1001">XLOOKUP(C1001,Customer_Dim!A:A,Customer_Dim!E:E,"Not Found")</f>
        <v>East Amy</v>
      </c>
      <c r="P1001" s="8" t="str">
        <f t="array" ref="P1001">XLOOKUP(D1001,Product_Dim!A:A,Product_Dim!B:B,"Not Found")</f>
        <v>Badminton Racket Set</v>
      </c>
      <c r="Q1001" s="8" t="str">
        <f t="array" ref="Q1001">XLOOKUP(D1001,Product_Dim!A:A,Product_Dim!C:C,"Not Found")</f>
        <v>Sports</v>
      </c>
      <c r="R1001" s="8" t="str">
        <f t="array" ref="R1001">XLOOKUP(E1001,Store_Dim!A:A,Store_Dim!B:B,"Not Found")</f>
        <v>West</v>
      </c>
      <c r="S1001" s="8" t="str">
        <f t="array" ref="S1001">XLOOKUP(E1001,Store_Dim!A:A,Store_Dim!D:D,"Not Found")</f>
        <v>Online</v>
      </c>
    </row>
    <row r="1002" ht="14.25" customHeight="1">
      <c r="A1002" s="8" t="s">
        <v>2955</v>
      </c>
      <c r="B1002" s="12">
        <v>46480.0</v>
      </c>
      <c r="C1002" s="8" t="s">
        <v>637</v>
      </c>
      <c r="D1002" s="8" t="s">
        <v>1766</v>
      </c>
      <c r="E1002" s="8" t="s">
        <v>1906</v>
      </c>
      <c r="F1002" s="8">
        <v>2.0</v>
      </c>
      <c r="G1002" s="8">
        <v>909.51</v>
      </c>
      <c r="H1002" s="8">
        <v>0.27</v>
      </c>
      <c r="I1002" s="8">
        <f t="shared" si="1"/>
        <v>1819.02</v>
      </c>
      <c r="J1002" s="8">
        <f t="shared" si="2"/>
        <v>-490.8654</v>
      </c>
      <c r="K1002" s="8" t="str">
        <f t="shared" si="3"/>
        <v>Apr</v>
      </c>
      <c r="L1002" s="8">
        <f t="shared" si="4"/>
        <v>2027</v>
      </c>
      <c r="N1002" s="8" t="str">
        <f t="array" ref="N1002">XLOOKUP(C1002,Customer_Dim!A:A,Customer_Dim!B:B,"Not Found")</f>
        <v>Christopher Stewart</v>
      </c>
      <c r="O1002" s="8" t="str">
        <f t="array" ref="O1002">XLOOKUP(C1002,Customer_Dim!A:A,Customer_Dim!E:E,"Not Found")</f>
        <v>Amandaside</v>
      </c>
      <c r="P1002" s="8" t="str">
        <f t="array" ref="P1002">XLOOKUP(D1002,Product_Dim!A:A,Product_Dim!B:B,"Not Found")</f>
        <v>Men's Hair Styling Gel</v>
      </c>
      <c r="Q1002" s="8" t="str">
        <f t="array" ref="Q1002">XLOOKUP(D1002,Product_Dim!A:A,Product_Dim!C:C,"Not Found")</f>
        <v>Beauty</v>
      </c>
      <c r="R1002" s="8" t="str">
        <f t="array" ref="R1002">XLOOKUP(E1002,Store_Dim!A:A,Store_Dim!B:B,"Not Found")</f>
        <v>South</v>
      </c>
      <c r="S1002" s="8" t="str">
        <f t="array" ref="S1002">XLOOKUP(E1002,Store_Dim!A:A,Store_Dim!D:D,"Not Found")</f>
        <v>Outlet</v>
      </c>
    </row>
    <row r="1003" ht="14.25" customHeight="1">
      <c r="A1003" s="8" t="s">
        <v>2956</v>
      </c>
      <c r="B1003" s="12">
        <v>46481.0</v>
      </c>
      <c r="C1003" s="8" t="s">
        <v>208</v>
      </c>
      <c r="D1003" s="8" t="s">
        <v>1797</v>
      </c>
      <c r="E1003" s="8" t="s">
        <v>1932</v>
      </c>
      <c r="F1003" s="8">
        <v>4.0</v>
      </c>
      <c r="G1003" s="8">
        <v>593.84</v>
      </c>
      <c r="H1003" s="8">
        <v>0.24</v>
      </c>
      <c r="I1003" s="8">
        <f t="shared" si="1"/>
        <v>2375.36</v>
      </c>
      <c r="J1003" s="8">
        <f t="shared" si="2"/>
        <v>-569.8464</v>
      </c>
      <c r="K1003" s="8" t="str">
        <f t="shared" si="3"/>
        <v>Apr</v>
      </c>
      <c r="L1003" s="8">
        <f t="shared" si="4"/>
        <v>2027</v>
      </c>
      <c r="N1003" s="8" t="str">
        <f t="array" ref="N1003">XLOOKUP(C1003,Customer_Dim!A:A,Customer_Dim!B:B,"Not Found")</f>
        <v>Debra Liu</v>
      </c>
      <c r="O1003" s="8" t="str">
        <f t="array" ref="O1003">XLOOKUP(C1003,Customer_Dim!A:A,Customer_Dim!E:E,"Not Found")</f>
        <v>South Timtown</v>
      </c>
      <c r="P1003" s="8" t="str">
        <f t="array" ref="P1003">XLOOKUP(D1003,Product_Dim!A:A,Product_Dim!B:B,"Not Found")</f>
        <v>Men's Sports Shorts</v>
      </c>
      <c r="Q1003" s="8" t="str">
        <f t="array" ref="Q1003">XLOOKUP(D1003,Product_Dim!A:A,Product_Dim!C:C,"Not Found")</f>
        <v>Clothing</v>
      </c>
      <c r="R1003" s="8" t="str">
        <f t="array" ref="R1003">XLOOKUP(E1003,Store_Dim!A:A,Store_Dim!B:B,"Not Found")</f>
        <v>South</v>
      </c>
      <c r="S1003" s="8" t="str">
        <f t="array" ref="S1003">XLOOKUP(E1003,Store_Dim!A:A,Store_Dim!D:D,"Not Found")</f>
        <v>Outlet</v>
      </c>
    </row>
    <row r="1004" ht="14.25" customHeight="1">
      <c r="A1004" s="8" t="s">
        <v>2957</v>
      </c>
      <c r="B1004" s="12">
        <v>46482.0</v>
      </c>
      <c r="C1004" s="8" t="s">
        <v>394</v>
      </c>
      <c r="D1004" s="8" t="s">
        <v>1809</v>
      </c>
      <c r="E1004" s="8" t="s">
        <v>1926</v>
      </c>
      <c r="F1004" s="8">
        <v>3.0</v>
      </c>
      <c r="G1004" s="8">
        <v>909.11</v>
      </c>
      <c r="H1004" s="8">
        <v>0.23</v>
      </c>
      <c r="I1004" s="8">
        <f t="shared" si="1"/>
        <v>2727.33</v>
      </c>
      <c r="J1004" s="8">
        <f t="shared" si="2"/>
        <v>-627.0559</v>
      </c>
      <c r="K1004" s="8" t="str">
        <f t="shared" si="3"/>
        <v>Apr</v>
      </c>
      <c r="L1004" s="8">
        <f t="shared" si="4"/>
        <v>2027</v>
      </c>
      <c r="N1004" s="8" t="str">
        <f t="array" ref="N1004">XLOOKUP(C1004,Customer_Dim!A:A,Customer_Dim!B:B,"Not Found")</f>
        <v>Amy Walker</v>
      </c>
      <c r="O1004" s="8" t="str">
        <f t="array" ref="O1004">XLOOKUP(C1004,Customer_Dim!A:A,Customer_Dim!E:E,"Not Found")</f>
        <v>Smithland</v>
      </c>
      <c r="P1004" s="8" t="str">
        <f t="array" ref="P1004">XLOOKUP(D1004,Product_Dim!A:A,Product_Dim!B:B,"Not Found")</f>
        <v>Shin Guards – Adult</v>
      </c>
      <c r="Q1004" s="8" t="str">
        <f t="array" ref="Q1004">XLOOKUP(D1004,Product_Dim!A:A,Product_Dim!C:C,"Not Found")</f>
        <v>Sports</v>
      </c>
      <c r="R1004" s="8" t="str">
        <f t="array" ref="R1004">XLOOKUP(E1004,Store_Dim!A:A,Store_Dim!B:B,"Not Found")</f>
        <v>East</v>
      </c>
      <c r="S1004" s="8" t="str">
        <f t="array" ref="S1004">XLOOKUP(E1004,Store_Dim!A:A,Store_Dim!D:D,"Not Found")</f>
        <v>Online</v>
      </c>
    </row>
    <row r="1005" ht="14.25" customHeight="1">
      <c r="A1005" s="8" t="s">
        <v>2958</v>
      </c>
      <c r="B1005" s="12">
        <v>46483.0</v>
      </c>
      <c r="C1005" s="8" t="s">
        <v>1259</v>
      </c>
      <c r="D1005" s="8" t="s">
        <v>1655</v>
      </c>
      <c r="E1005" s="8" t="s">
        <v>1903</v>
      </c>
      <c r="F1005" s="8">
        <v>4.0</v>
      </c>
      <c r="G1005" s="8">
        <v>996.85</v>
      </c>
      <c r="H1005" s="8">
        <v>0.24</v>
      </c>
      <c r="I1005" s="8">
        <f t="shared" si="1"/>
        <v>3987.4</v>
      </c>
      <c r="J1005" s="8">
        <f t="shared" si="2"/>
        <v>-956.736</v>
      </c>
      <c r="K1005" s="8" t="str">
        <f t="shared" si="3"/>
        <v>Apr</v>
      </c>
      <c r="L1005" s="8">
        <f t="shared" si="4"/>
        <v>2027</v>
      </c>
      <c r="N1005" s="8" t="str">
        <f t="array" ref="N1005">XLOOKUP(C1005,Customer_Dim!A:A,Customer_Dim!B:B,"Not Found")</f>
        <v>John Donaldson</v>
      </c>
      <c r="O1005" s="8" t="str">
        <f t="array" ref="O1005">XLOOKUP(C1005,Customer_Dim!A:A,Customer_Dim!E:E,"Not Found")</f>
        <v>New Edward</v>
      </c>
      <c r="P1005" s="8" t="str">
        <f t="array" ref="P1005">XLOOKUP(D1005,Product_Dim!A:A,Product_Dim!B:B,"Not Found")</f>
        <v>Foldable Camping Chair</v>
      </c>
      <c r="Q1005" s="8" t="str">
        <f t="array" ref="Q1005">XLOOKUP(D1005,Product_Dim!A:A,Product_Dim!C:C,"Not Found")</f>
        <v>Sports</v>
      </c>
      <c r="R1005" s="8" t="str">
        <f t="array" ref="R1005">XLOOKUP(E1005,Store_Dim!A:A,Store_Dim!B:B,"Not Found")</f>
        <v>North</v>
      </c>
      <c r="S1005" s="8" t="str">
        <f t="array" ref="S1005">XLOOKUP(E1005,Store_Dim!A:A,Store_Dim!D:D,"Not Found")</f>
        <v>Flagship</v>
      </c>
    </row>
    <row r="1006" ht="14.25" customHeight="1">
      <c r="A1006" s="8" t="s">
        <v>2959</v>
      </c>
      <c r="B1006" s="12">
        <v>46484.0</v>
      </c>
      <c r="C1006" s="8" t="s">
        <v>963</v>
      </c>
      <c r="D1006" s="8" t="s">
        <v>1562</v>
      </c>
      <c r="E1006" s="8" t="s">
        <v>1937</v>
      </c>
      <c r="F1006" s="8">
        <v>1.0</v>
      </c>
      <c r="G1006" s="8">
        <v>522.69</v>
      </c>
      <c r="H1006" s="8">
        <v>0.06</v>
      </c>
      <c r="I1006" s="8">
        <f t="shared" si="1"/>
        <v>522.69</v>
      </c>
      <c r="J1006" s="8">
        <f t="shared" si="2"/>
        <v>-31.3014</v>
      </c>
      <c r="K1006" s="8" t="str">
        <f t="shared" si="3"/>
        <v>Apr</v>
      </c>
      <c r="L1006" s="8">
        <f t="shared" si="4"/>
        <v>2027</v>
      </c>
      <c r="N1006" s="8" t="str">
        <f t="array" ref="N1006">XLOOKUP(C1006,Customer_Dim!A:A,Customer_Dim!B:B,"Not Found")</f>
        <v>Matthew Avery</v>
      </c>
      <c r="O1006" s="8" t="str">
        <f t="array" ref="O1006">XLOOKUP(C1006,Customer_Dim!A:A,Customer_Dim!E:E,"Not Found")</f>
        <v>Lake Melissashire</v>
      </c>
      <c r="P1006" s="8" t="str">
        <f t="array" ref="P1006">XLOOKUP(D1006,Product_Dim!A:A,Product_Dim!B:B,"Not Found")</f>
        <v>Brother Laser Printer</v>
      </c>
      <c r="Q1006" s="8" t="str">
        <f t="array" ref="Q1006">XLOOKUP(D1006,Product_Dim!A:A,Product_Dim!C:C,"Not Found")</f>
        <v>Electronics</v>
      </c>
      <c r="R1006" s="8" t="str">
        <f t="array" ref="R1006">XLOOKUP(E1006,Store_Dim!A:A,Store_Dim!B:B,"Not Found")</f>
        <v>North</v>
      </c>
      <c r="S1006" s="8" t="str">
        <f t="array" ref="S1006">XLOOKUP(E1006,Store_Dim!A:A,Store_Dim!D:D,"Not Found")</f>
        <v>Flagship</v>
      </c>
    </row>
    <row r="1007" ht="14.25" customHeight="1">
      <c r="A1007" s="8" t="s">
        <v>2960</v>
      </c>
      <c r="B1007" s="12">
        <v>46485.0</v>
      </c>
      <c r="C1007" s="8" t="s">
        <v>649</v>
      </c>
      <c r="D1007" s="8" t="s">
        <v>1751</v>
      </c>
      <c r="E1007" s="8" t="s">
        <v>1910</v>
      </c>
      <c r="F1007" s="8">
        <v>3.0</v>
      </c>
      <c r="G1007" s="8">
        <v>261.05</v>
      </c>
      <c r="H1007" s="8">
        <v>0.12</v>
      </c>
      <c r="I1007" s="8">
        <f t="shared" si="1"/>
        <v>783.15</v>
      </c>
      <c r="J1007" s="8">
        <f t="shared" si="2"/>
        <v>-93.858</v>
      </c>
      <c r="K1007" s="8" t="str">
        <f t="shared" si="3"/>
        <v>Apr</v>
      </c>
      <c r="L1007" s="8">
        <f t="shared" si="4"/>
        <v>2027</v>
      </c>
      <c r="N1007" s="8" t="str">
        <f t="array" ref="N1007">XLOOKUP(C1007,Customer_Dim!A:A,Customer_Dim!B:B,"Not Found")</f>
        <v>Ashley Ferguson</v>
      </c>
      <c r="O1007" s="8" t="str">
        <f t="array" ref="O1007">XLOOKUP(C1007,Customer_Dim!A:A,Customer_Dim!E:E,"Not Found")</f>
        <v>Sarahmouth</v>
      </c>
      <c r="P1007" s="8" t="str">
        <f t="array" ref="P1007">XLOOKUP(D1007,Product_Dim!A:A,Product_Dim!B:B,"Not Found")</f>
        <v>Sports Stopwatch Pro</v>
      </c>
      <c r="Q1007" s="8" t="str">
        <f t="array" ref="Q1007">XLOOKUP(D1007,Product_Dim!A:A,Product_Dim!C:C,"Not Found")</f>
        <v>Sports</v>
      </c>
      <c r="R1007" s="8" t="str">
        <f t="array" ref="R1007">XLOOKUP(E1007,Store_Dim!A:A,Store_Dim!B:B,"Not Found")</f>
        <v>North</v>
      </c>
      <c r="S1007" s="8" t="str">
        <f t="array" ref="S1007">XLOOKUP(E1007,Store_Dim!A:A,Store_Dim!D:D,"Not Found")</f>
        <v>Outlet</v>
      </c>
    </row>
    <row r="1008" ht="14.25" customHeight="1">
      <c r="A1008" s="8" t="s">
        <v>2961</v>
      </c>
      <c r="B1008" s="12">
        <v>46486.0</v>
      </c>
      <c r="C1008" s="8" t="s">
        <v>324</v>
      </c>
      <c r="D1008" s="8" t="s">
        <v>1652</v>
      </c>
      <c r="E1008" s="8" t="s">
        <v>1937</v>
      </c>
      <c r="F1008" s="8">
        <v>3.0</v>
      </c>
      <c r="G1008" s="8">
        <v>644.73</v>
      </c>
      <c r="H1008" s="8">
        <v>0.01</v>
      </c>
      <c r="I1008" s="8">
        <f t="shared" si="1"/>
        <v>1934.19</v>
      </c>
      <c r="J1008" s="8">
        <f t="shared" si="2"/>
        <v>-19.3319</v>
      </c>
      <c r="K1008" s="8" t="str">
        <f t="shared" si="3"/>
        <v>Apr</v>
      </c>
      <c r="L1008" s="8">
        <f t="shared" si="4"/>
        <v>2027</v>
      </c>
      <c r="N1008" s="8" t="str">
        <f t="array" ref="N1008">XLOOKUP(C1008,Customer_Dim!A:A,Customer_Dim!B:B,"Not Found")</f>
        <v>Melissa Duffy MD</v>
      </c>
      <c r="O1008" s="8" t="str">
        <f t="array" ref="O1008">XLOOKUP(C1008,Customer_Dim!A:A,Customer_Dim!E:E,"Not Found")</f>
        <v>East Jenna</v>
      </c>
      <c r="P1008" s="8" t="str">
        <f t="array" ref="P1008">XLOOKUP(D1008,Product_Dim!A:A,Product_Dim!B:B,"Not Found")</f>
        <v>Men's Formal Shirt</v>
      </c>
      <c r="Q1008" s="8" t="str">
        <f t="array" ref="Q1008">XLOOKUP(D1008,Product_Dim!A:A,Product_Dim!C:C,"Not Found")</f>
        <v>Clothing</v>
      </c>
      <c r="R1008" s="8" t="str">
        <f t="array" ref="R1008">XLOOKUP(E1008,Store_Dim!A:A,Store_Dim!B:B,"Not Found")</f>
        <v>North</v>
      </c>
      <c r="S1008" s="8" t="str">
        <f t="array" ref="S1008">XLOOKUP(E1008,Store_Dim!A:A,Store_Dim!D:D,"Not Found")</f>
        <v>Flagship</v>
      </c>
    </row>
    <row r="1009" ht="14.25" customHeight="1">
      <c r="A1009" s="8" t="s">
        <v>2962</v>
      </c>
      <c r="B1009" s="12">
        <v>46487.0</v>
      </c>
      <c r="C1009" s="8" t="s">
        <v>660</v>
      </c>
      <c r="D1009" s="8" t="s">
        <v>1815</v>
      </c>
      <c r="E1009" s="8" t="s">
        <v>1906</v>
      </c>
      <c r="F1009" s="8">
        <v>2.0</v>
      </c>
      <c r="G1009" s="8">
        <v>541.52</v>
      </c>
      <c r="H1009" s="8">
        <v>0.26</v>
      </c>
      <c r="I1009" s="8">
        <f t="shared" si="1"/>
        <v>1083.04</v>
      </c>
      <c r="J1009" s="8">
        <f t="shared" si="2"/>
        <v>-281.3304</v>
      </c>
      <c r="K1009" s="8" t="str">
        <f t="shared" si="3"/>
        <v>Apr</v>
      </c>
      <c r="L1009" s="8">
        <f t="shared" si="4"/>
        <v>2027</v>
      </c>
      <c r="N1009" s="8" t="str">
        <f t="array" ref="N1009">XLOOKUP(C1009,Customer_Dim!A:A,Customer_Dim!B:B,"Not Found")</f>
        <v>Wanda Snyder</v>
      </c>
      <c r="O1009" s="8" t="str">
        <f t="array" ref="O1009">XLOOKUP(C1009,Customer_Dim!A:A,Customer_Dim!E:E,"Not Found")</f>
        <v>Frostmouth</v>
      </c>
      <c r="P1009" s="8" t="str">
        <f t="array" ref="P1009">XLOOKUP(D1009,Product_Dim!A:A,Product_Dim!B:B,"Not Found")</f>
        <v>Women's Ankle Boots</v>
      </c>
      <c r="Q1009" s="8" t="str">
        <f t="array" ref="Q1009">XLOOKUP(D1009,Product_Dim!A:A,Product_Dim!C:C,"Not Found")</f>
        <v>Clothing</v>
      </c>
      <c r="R1009" s="8" t="str">
        <f t="array" ref="R1009">XLOOKUP(E1009,Store_Dim!A:A,Store_Dim!B:B,"Not Found")</f>
        <v>South</v>
      </c>
      <c r="S1009" s="8" t="str">
        <f t="array" ref="S1009">XLOOKUP(E1009,Store_Dim!A:A,Store_Dim!D:D,"Not Found")</f>
        <v>Outlet</v>
      </c>
    </row>
    <row r="1010" ht="14.25" customHeight="1">
      <c r="A1010" s="8" t="s">
        <v>2963</v>
      </c>
      <c r="B1010" s="12">
        <v>46488.0</v>
      </c>
      <c r="C1010" s="8" t="s">
        <v>1338</v>
      </c>
      <c r="D1010" s="8" t="s">
        <v>1778</v>
      </c>
      <c r="E1010" s="8" t="s">
        <v>1926</v>
      </c>
      <c r="F1010" s="8">
        <v>1.0</v>
      </c>
      <c r="G1010" s="8">
        <v>395.18</v>
      </c>
      <c r="H1010" s="8">
        <v>0.09</v>
      </c>
      <c r="I1010" s="8">
        <f t="shared" si="1"/>
        <v>395.18</v>
      </c>
      <c r="J1010" s="8">
        <f t="shared" si="2"/>
        <v>-35.4762</v>
      </c>
      <c r="K1010" s="8" t="str">
        <f t="shared" si="3"/>
        <v>Apr</v>
      </c>
      <c r="L1010" s="8">
        <f t="shared" si="4"/>
        <v>2027</v>
      </c>
      <c r="N1010" s="8" t="str">
        <f t="array" ref="N1010">XLOOKUP(C1010,Customer_Dim!A:A,Customer_Dim!B:B,"Not Found")</f>
        <v>Jeanette Nichols</v>
      </c>
      <c r="O1010" s="8" t="str">
        <f t="array" ref="O1010">XLOOKUP(C1010,Customer_Dim!A:A,Customer_Dim!E:E,"Not Found")</f>
        <v>Aguilarland</v>
      </c>
      <c r="P1010" s="8" t="str">
        <f t="array" ref="P1010">XLOOKUP(D1010,Product_Dim!A:A,Product_Dim!B:B,"Not Found")</f>
        <v>Organic Sunscreen Lotion</v>
      </c>
      <c r="Q1010" s="8" t="str">
        <f t="array" ref="Q1010">XLOOKUP(D1010,Product_Dim!A:A,Product_Dim!C:C,"Not Found")</f>
        <v>Beauty</v>
      </c>
      <c r="R1010" s="8" t="str">
        <f t="array" ref="R1010">XLOOKUP(E1010,Store_Dim!A:A,Store_Dim!B:B,"Not Found")</f>
        <v>East</v>
      </c>
      <c r="S1010" s="8" t="str">
        <f t="array" ref="S1010">XLOOKUP(E1010,Store_Dim!A:A,Store_Dim!D:D,"Not Found")</f>
        <v>Online</v>
      </c>
    </row>
    <row r="1011" ht="14.25" customHeight="1">
      <c r="A1011" s="8" t="s">
        <v>2964</v>
      </c>
      <c r="B1011" s="12">
        <v>46489.0</v>
      </c>
      <c r="C1011" s="8" t="s">
        <v>366</v>
      </c>
      <c r="D1011" s="8" t="s">
        <v>1597</v>
      </c>
      <c r="E1011" s="8" t="s">
        <v>1921</v>
      </c>
      <c r="F1011" s="8">
        <v>4.0</v>
      </c>
      <c r="G1011" s="8">
        <v>56.37</v>
      </c>
      <c r="H1011" s="8">
        <v>0.17</v>
      </c>
      <c r="I1011" s="8">
        <f t="shared" si="1"/>
        <v>225.48</v>
      </c>
      <c r="J1011" s="8">
        <f t="shared" si="2"/>
        <v>-38.1616</v>
      </c>
      <c r="K1011" s="8" t="str">
        <f t="shared" si="3"/>
        <v>Apr</v>
      </c>
      <c r="L1011" s="8">
        <f t="shared" si="4"/>
        <v>2027</v>
      </c>
      <c r="N1011" s="8" t="str">
        <f t="array" ref="N1011">XLOOKUP(C1011,Customer_Dim!A:A,Customer_Dim!B:B,"Not Found")</f>
        <v>Diane Watson</v>
      </c>
      <c r="O1011" s="8" t="str">
        <f t="array" ref="O1011">XLOOKUP(C1011,Customer_Dim!A:A,Customer_Dim!E:E,"Not Found")</f>
        <v>North Codyport</v>
      </c>
      <c r="P1011" s="8" t="str">
        <f t="array" ref="P1011">XLOOKUP(D1011,Product_Dim!A:A,Product_Dim!B:B,"Not Found")</f>
        <v>Wireless Bluetooth Earbuds</v>
      </c>
      <c r="Q1011" s="8" t="str">
        <f t="array" ref="Q1011">XLOOKUP(D1011,Product_Dim!A:A,Product_Dim!C:C,"Not Found")</f>
        <v>Electronics</v>
      </c>
      <c r="R1011" s="8" t="str">
        <f t="array" ref="R1011">XLOOKUP(E1011,Store_Dim!A:A,Store_Dim!B:B,"Not Found")</f>
        <v>West</v>
      </c>
      <c r="S1011" s="8" t="str">
        <f t="array" ref="S1011">XLOOKUP(E1011,Store_Dim!A:A,Store_Dim!D:D,"Not Found")</f>
        <v>Online</v>
      </c>
    </row>
    <row r="1012" ht="14.25" customHeight="1">
      <c r="A1012" s="8" t="s">
        <v>2965</v>
      </c>
      <c r="B1012" s="12">
        <v>46490.0</v>
      </c>
      <c r="C1012" s="8" t="s">
        <v>693</v>
      </c>
      <c r="D1012" s="8" t="s">
        <v>1827</v>
      </c>
      <c r="E1012" s="8" t="s">
        <v>1924</v>
      </c>
      <c r="F1012" s="8">
        <v>4.0</v>
      </c>
      <c r="G1012" s="8">
        <v>202.59</v>
      </c>
      <c r="H1012" s="8">
        <v>0.06</v>
      </c>
      <c r="I1012" s="8">
        <f t="shared" si="1"/>
        <v>810.36</v>
      </c>
      <c r="J1012" s="8">
        <f t="shared" si="2"/>
        <v>-48.5616</v>
      </c>
      <c r="K1012" s="8" t="str">
        <f t="shared" si="3"/>
        <v>Apr</v>
      </c>
      <c r="L1012" s="8">
        <f t="shared" si="4"/>
        <v>2027</v>
      </c>
      <c r="N1012" s="8" t="str">
        <f t="array" ref="N1012">XLOOKUP(C1012,Customer_Dim!A:A,Customer_Dim!B:B,"Not Found")</f>
        <v>Joan Johnson</v>
      </c>
      <c r="O1012" s="8" t="str">
        <f t="array" ref="O1012">XLOOKUP(C1012,Customer_Dim!A:A,Customer_Dim!E:E,"Not Found")</f>
        <v>Lake Josephport</v>
      </c>
      <c r="P1012" s="8" t="str">
        <f t="array" ref="P1012">XLOOKUP(D1012,Product_Dim!A:A,Product_Dim!B:B,"Not Found")</f>
        <v>Decorative Lamp Shade</v>
      </c>
      <c r="Q1012" s="8" t="str">
        <f t="array" ref="Q1012">XLOOKUP(D1012,Product_Dim!A:A,Product_Dim!C:C,"Not Found")</f>
        <v>Home</v>
      </c>
      <c r="R1012" s="8" t="str">
        <f t="array" ref="R1012">XLOOKUP(E1012,Store_Dim!A:A,Store_Dim!B:B,"Not Found")</f>
        <v>South</v>
      </c>
      <c r="S1012" s="8" t="str">
        <f t="array" ref="S1012">XLOOKUP(E1012,Store_Dim!A:A,Store_Dim!D:D,"Not Found")</f>
        <v>Flagship</v>
      </c>
    </row>
    <row r="1013" ht="14.25" customHeight="1">
      <c r="A1013" s="8" t="s">
        <v>2966</v>
      </c>
      <c r="B1013" s="12">
        <v>46491.0</v>
      </c>
      <c r="C1013" s="8" t="s">
        <v>35</v>
      </c>
      <c r="D1013" s="8" t="s">
        <v>1833</v>
      </c>
      <c r="E1013" s="8" t="s">
        <v>1915</v>
      </c>
      <c r="F1013" s="8">
        <v>2.0</v>
      </c>
      <c r="G1013" s="8">
        <v>358.36</v>
      </c>
      <c r="H1013" s="8">
        <v>0.05</v>
      </c>
      <c r="I1013" s="8">
        <f t="shared" si="1"/>
        <v>716.72</v>
      </c>
      <c r="J1013" s="8">
        <f t="shared" si="2"/>
        <v>-35.786</v>
      </c>
      <c r="K1013" s="8" t="str">
        <f t="shared" si="3"/>
        <v>Apr</v>
      </c>
      <c r="L1013" s="8">
        <f t="shared" si="4"/>
        <v>2027</v>
      </c>
      <c r="N1013" s="8" t="str">
        <f t="array" ref="N1013">XLOOKUP(C1013,Customer_Dim!A:A,Customer_Dim!B:B,"Not Found")</f>
        <v>Caroline Collins</v>
      </c>
      <c r="O1013" s="8" t="str">
        <f t="array" ref="O1013">XLOOKUP(C1013,Customer_Dim!A:A,Customer_Dim!E:E,"Not Found")</f>
        <v>Nicholasshire</v>
      </c>
      <c r="P1013" s="8" t="str">
        <f t="array" ref="P1013">XLOOKUP(D1013,Product_Dim!A:A,Product_Dim!B:B,"Not Found")</f>
        <v>Badminton Racket Set</v>
      </c>
      <c r="Q1013" s="8" t="str">
        <f t="array" ref="Q1013">XLOOKUP(D1013,Product_Dim!A:A,Product_Dim!C:C,"Not Found")</f>
        <v>Sports</v>
      </c>
      <c r="R1013" s="8" t="str">
        <f t="array" ref="R1013">XLOOKUP(E1013,Store_Dim!A:A,Store_Dim!B:B,"Not Found")</f>
        <v>North</v>
      </c>
      <c r="S1013" s="8" t="str">
        <f t="array" ref="S1013">XLOOKUP(E1013,Store_Dim!A:A,Store_Dim!D:D,"Not Found")</f>
        <v>Outlet</v>
      </c>
    </row>
    <row r="1014" ht="14.25" customHeight="1">
      <c r="A1014" s="8" t="s">
        <v>2967</v>
      </c>
      <c r="B1014" s="12">
        <v>46492.0</v>
      </c>
      <c r="C1014" s="8" t="s">
        <v>274</v>
      </c>
      <c r="D1014" s="8" t="s">
        <v>1696</v>
      </c>
      <c r="E1014" s="8" t="s">
        <v>1939</v>
      </c>
      <c r="F1014" s="8">
        <v>4.0</v>
      </c>
      <c r="G1014" s="8">
        <v>85.62</v>
      </c>
      <c r="H1014" s="8">
        <v>0.28</v>
      </c>
      <c r="I1014" s="8">
        <f t="shared" si="1"/>
        <v>342.48</v>
      </c>
      <c r="J1014" s="8">
        <f t="shared" si="2"/>
        <v>-95.6144</v>
      </c>
      <c r="K1014" s="8" t="str">
        <f t="shared" si="3"/>
        <v>Apr</v>
      </c>
      <c r="L1014" s="8">
        <f t="shared" si="4"/>
        <v>2027</v>
      </c>
      <c r="N1014" s="8" t="str">
        <f t="array" ref="N1014">XLOOKUP(C1014,Customer_Dim!A:A,Customer_Dim!B:B,"Not Found")</f>
        <v>Tonya Burch</v>
      </c>
      <c r="O1014" s="8" t="str">
        <f t="array" ref="O1014">XLOOKUP(C1014,Customer_Dim!A:A,Customer_Dim!E:E,"Not Found")</f>
        <v>Olsonhaven</v>
      </c>
      <c r="P1014" s="8" t="str">
        <f t="array" ref="P1014">XLOOKUP(D1014,Product_Dim!A:A,Product_Dim!B:B,"Not Found")</f>
        <v>Men's Casual Sneakers</v>
      </c>
      <c r="Q1014" s="8" t="str">
        <f t="array" ref="Q1014">XLOOKUP(D1014,Product_Dim!A:A,Product_Dim!C:C,"Not Found")</f>
        <v>Clothing</v>
      </c>
      <c r="R1014" s="8" t="str">
        <f t="array" ref="R1014">XLOOKUP(E1014,Store_Dim!A:A,Store_Dim!B:B,"Not Found")</f>
        <v>East</v>
      </c>
      <c r="S1014" s="8" t="str">
        <f t="array" ref="S1014">XLOOKUP(E1014,Store_Dim!A:A,Store_Dim!D:D,"Not Found")</f>
        <v>Flagship</v>
      </c>
    </row>
    <row r="1015" ht="14.25" customHeight="1">
      <c r="A1015" s="8" t="s">
        <v>2968</v>
      </c>
      <c r="B1015" s="12">
        <v>46493.0</v>
      </c>
      <c r="C1015" s="8" t="s">
        <v>622</v>
      </c>
      <c r="D1015" s="8" t="s">
        <v>1592</v>
      </c>
      <c r="E1015" s="8" t="s">
        <v>1937</v>
      </c>
      <c r="F1015" s="8">
        <v>4.0</v>
      </c>
      <c r="G1015" s="8">
        <v>929.26</v>
      </c>
      <c r="H1015" s="8">
        <v>0.23</v>
      </c>
      <c r="I1015" s="8">
        <f t="shared" si="1"/>
        <v>3717.04</v>
      </c>
      <c r="J1015" s="8">
        <f t="shared" si="2"/>
        <v>-854.6892</v>
      </c>
      <c r="K1015" s="8" t="str">
        <f t="shared" si="3"/>
        <v>Apr</v>
      </c>
      <c r="L1015" s="8">
        <f t="shared" si="4"/>
        <v>2027</v>
      </c>
      <c r="N1015" s="8" t="str">
        <f t="array" ref="N1015">XLOOKUP(C1015,Customer_Dim!A:A,Customer_Dim!B:B,"Not Found")</f>
        <v>Brent Rivas</v>
      </c>
      <c r="O1015" s="8" t="str">
        <f t="array" ref="O1015">XLOOKUP(C1015,Customer_Dim!A:A,Customer_Dim!E:E,"Not Found")</f>
        <v>North Kellyberg</v>
      </c>
      <c r="P1015" s="8" t="str">
        <f t="array" ref="P1015">XLOOKUP(D1015,Product_Dim!A:A,Product_Dim!B:B,"Not Found")</f>
        <v>LED Table Lamp</v>
      </c>
      <c r="Q1015" s="8" t="str">
        <f t="array" ref="Q1015">XLOOKUP(D1015,Product_Dim!A:A,Product_Dim!C:C,"Not Found")</f>
        <v>Home</v>
      </c>
      <c r="R1015" s="8" t="str">
        <f t="array" ref="R1015">XLOOKUP(E1015,Store_Dim!A:A,Store_Dim!B:B,"Not Found")</f>
        <v>North</v>
      </c>
      <c r="S1015" s="8" t="str">
        <f t="array" ref="S1015">XLOOKUP(E1015,Store_Dim!A:A,Store_Dim!D:D,"Not Found")</f>
        <v>Flagship</v>
      </c>
    </row>
    <row r="1016" ht="14.25" customHeight="1">
      <c r="A1016" s="8" t="s">
        <v>2969</v>
      </c>
      <c r="B1016" s="12">
        <v>46494.0</v>
      </c>
      <c r="C1016" s="8" t="s">
        <v>990</v>
      </c>
      <c r="D1016" s="8" t="s">
        <v>1769</v>
      </c>
      <c r="E1016" s="8" t="s">
        <v>1931</v>
      </c>
      <c r="F1016" s="8">
        <v>2.0</v>
      </c>
      <c r="G1016" s="8">
        <v>92.64</v>
      </c>
      <c r="H1016" s="8">
        <v>0.14</v>
      </c>
      <c r="I1016" s="8">
        <f t="shared" si="1"/>
        <v>185.28</v>
      </c>
      <c r="J1016" s="8">
        <f t="shared" si="2"/>
        <v>-25.7992</v>
      </c>
      <c r="K1016" s="8" t="str">
        <f t="shared" si="3"/>
        <v>Apr</v>
      </c>
      <c r="L1016" s="8">
        <f t="shared" si="4"/>
        <v>2027</v>
      </c>
      <c r="N1016" s="8" t="str">
        <f t="array" ref="N1016">XLOOKUP(C1016,Customer_Dim!A:A,Customer_Dim!B:B,"Not Found")</f>
        <v>Stacy Collins</v>
      </c>
      <c r="O1016" s="8" t="str">
        <f t="array" ref="O1016">XLOOKUP(C1016,Customer_Dim!A:A,Customer_Dim!E:E,"Not Found")</f>
        <v>Randychester</v>
      </c>
      <c r="P1016" s="8" t="str">
        <f t="array" ref="P1016">XLOOKUP(D1016,Product_Dim!A:A,Product_Dim!B:B,"Not Found")</f>
        <v>Luxury Perfume Spray</v>
      </c>
      <c r="Q1016" s="8" t="str">
        <f t="array" ref="Q1016">XLOOKUP(D1016,Product_Dim!A:A,Product_Dim!C:C,"Not Found")</f>
        <v>Beauty</v>
      </c>
      <c r="R1016" s="8" t="str">
        <f t="array" ref="R1016">XLOOKUP(E1016,Store_Dim!A:A,Store_Dim!B:B,"Not Found")</f>
        <v>East</v>
      </c>
      <c r="S1016" s="8" t="str">
        <f t="array" ref="S1016">XLOOKUP(E1016,Store_Dim!A:A,Store_Dim!D:D,"Not Found")</f>
        <v>Flagship</v>
      </c>
    </row>
    <row r="1017" ht="14.25" customHeight="1">
      <c r="A1017" s="8" t="s">
        <v>2970</v>
      </c>
      <c r="B1017" s="12">
        <v>46495.0</v>
      </c>
      <c r="C1017" s="8" t="s">
        <v>809</v>
      </c>
      <c r="D1017" s="8" t="s">
        <v>1775</v>
      </c>
      <c r="E1017" s="8" t="s">
        <v>1912</v>
      </c>
      <c r="F1017" s="8">
        <v>4.0</v>
      </c>
      <c r="G1017" s="8">
        <v>139.05</v>
      </c>
      <c r="H1017" s="8">
        <v>0.29</v>
      </c>
      <c r="I1017" s="8">
        <f t="shared" si="1"/>
        <v>556.2</v>
      </c>
      <c r="J1017" s="8">
        <f t="shared" si="2"/>
        <v>-161.008</v>
      </c>
      <c r="K1017" s="8" t="str">
        <f t="shared" si="3"/>
        <v>Apr</v>
      </c>
      <c r="L1017" s="8">
        <f t="shared" si="4"/>
        <v>2027</v>
      </c>
      <c r="N1017" s="8" t="str">
        <f t="array" ref="N1017">XLOOKUP(C1017,Customer_Dim!A:A,Customer_Dim!B:B,"Not Found")</f>
        <v>Nicholas Webb</v>
      </c>
      <c r="O1017" s="8" t="str">
        <f t="array" ref="O1017">XLOOKUP(C1017,Customer_Dim!A:A,Customer_Dim!E:E,"Not Found")</f>
        <v>Lake Timothy</v>
      </c>
      <c r="P1017" s="8" t="str">
        <f t="array" ref="P1017">XLOOKUP(D1017,Product_Dim!A:A,Product_Dim!B:B,"Not Found")</f>
        <v>Laptop Cooling Pad</v>
      </c>
      <c r="Q1017" s="8" t="str">
        <f t="array" ref="Q1017">XLOOKUP(D1017,Product_Dim!A:A,Product_Dim!C:C,"Not Found")</f>
        <v>Electronics</v>
      </c>
      <c r="R1017" s="8" t="str">
        <f t="array" ref="R1017">XLOOKUP(E1017,Store_Dim!A:A,Store_Dim!B:B,"Not Found")</f>
        <v>South</v>
      </c>
      <c r="S1017" s="8" t="str">
        <f t="array" ref="S1017">XLOOKUP(E1017,Store_Dim!A:A,Store_Dim!D:D,"Not Found")</f>
        <v>Online</v>
      </c>
    </row>
    <row r="1018" ht="14.25" customHeight="1">
      <c r="A1018" s="8" t="s">
        <v>2971</v>
      </c>
      <c r="B1018" s="12">
        <v>46496.0</v>
      </c>
      <c r="C1018" s="8" t="s">
        <v>487</v>
      </c>
      <c r="D1018" s="8" t="s">
        <v>1748</v>
      </c>
      <c r="E1018" s="8" t="s">
        <v>1912</v>
      </c>
      <c r="F1018" s="8">
        <v>3.0</v>
      </c>
      <c r="G1018" s="8">
        <v>155.87</v>
      </c>
      <c r="H1018" s="8">
        <v>0.03</v>
      </c>
      <c r="I1018" s="8">
        <f t="shared" si="1"/>
        <v>467.61</v>
      </c>
      <c r="J1018" s="8">
        <f t="shared" si="2"/>
        <v>-13.9983</v>
      </c>
      <c r="K1018" s="8" t="str">
        <f t="shared" si="3"/>
        <v>Apr</v>
      </c>
      <c r="L1018" s="8">
        <f t="shared" si="4"/>
        <v>2027</v>
      </c>
      <c r="N1018" s="8" t="str">
        <f t="array" ref="N1018">XLOOKUP(C1018,Customer_Dim!A:A,Customer_Dim!B:B,"Not Found")</f>
        <v>Patty Francis</v>
      </c>
      <c r="O1018" s="8" t="str">
        <f t="array" ref="O1018">XLOOKUP(C1018,Customer_Dim!A:A,Customer_Dim!E:E,"Not Found")</f>
        <v>South Brooke</v>
      </c>
      <c r="P1018" s="8" t="str">
        <f t="array" ref="P1018">XLOOKUP(D1018,Product_Dim!A:A,Product_Dim!B:B,"Not Found")</f>
        <v>Men's Track Pants</v>
      </c>
      <c r="Q1018" s="8" t="str">
        <f t="array" ref="Q1018">XLOOKUP(D1018,Product_Dim!A:A,Product_Dim!C:C,"Not Found")</f>
        <v>Clothing</v>
      </c>
      <c r="R1018" s="8" t="str">
        <f t="array" ref="R1018">XLOOKUP(E1018,Store_Dim!A:A,Store_Dim!B:B,"Not Found")</f>
        <v>South</v>
      </c>
      <c r="S1018" s="8" t="str">
        <f t="array" ref="S1018">XLOOKUP(E1018,Store_Dim!A:A,Store_Dim!D:D,"Not Found")</f>
        <v>Online</v>
      </c>
    </row>
    <row r="1019" ht="14.25" customHeight="1">
      <c r="A1019" s="8" t="s">
        <v>2972</v>
      </c>
      <c r="B1019" s="12">
        <v>46497.0</v>
      </c>
      <c r="C1019" s="8" t="s">
        <v>1384</v>
      </c>
      <c r="D1019" s="8" t="s">
        <v>1687</v>
      </c>
      <c r="E1019" s="8" t="s">
        <v>1935</v>
      </c>
      <c r="F1019" s="8">
        <v>4.0</v>
      </c>
      <c r="G1019" s="8">
        <v>115.42</v>
      </c>
      <c r="H1019" s="8">
        <v>0.03</v>
      </c>
      <c r="I1019" s="8">
        <f t="shared" si="1"/>
        <v>461.68</v>
      </c>
      <c r="J1019" s="8">
        <f t="shared" si="2"/>
        <v>-13.8204</v>
      </c>
      <c r="K1019" s="8" t="str">
        <f t="shared" si="3"/>
        <v>Apr</v>
      </c>
      <c r="L1019" s="8">
        <f t="shared" si="4"/>
        <v>2027</v>
      </c>
      <c r="N1019" s="8" t="str">
        <f t="array" ref="N1019">XLOOKUP(C1019,Customer_Dim!A:A,Customer_Dim!B:B,"Not Found")</f>
        <v>Kelli Smith</v>
      </c>
      <c r="O1019" s="8" t="str">
        <f t="array" ref="O1019">XLOOKUP(C1019,Customer_Dim!A:A,Customer_Dim!E:E,"Not Found")</f>
        <v>North Maryfort</v>
      </c>
      <c r="P1019" s="8" t="str">
        <f t="array" ref="P1019">XLOOKUP(D1019,Product_Dim!A:A,Product_Dim!B:B,"Not Found")</f>
        <v>Gaming Mechanical Keyboard</v>
      </c>
      <c r="Q1019" s="8" t="str">
        <f t="array" ref="Q1019">XLOOKUP(D1019,Product_Dim!A:A,Product_Dim!C:C,"Not Found")</f>
        <v>Electronics</v>
      </c>
      <c r="R1019" s="8" t="str">
        <f t="array" ref="R1019">XLOOKUP(E1019,Store_Dim!A:A,Store_Dim!B:B,"Not Found")</f>
        <v>West</v>
      </c>
      <c r="S1019" s="8" t="str">
        <f t="array" ref="S1019">XLOOKUP(E1019,Store_Dim!A:A,Store_Dim!D:D,"Not Found")</f>
        <v>Flagship</v>
      </c>
    </row>
    <row r="1020" ht="14.25" customHeight="1">
      <c r="A1020" s="8" t="s">
        <v>2973</v>
      </c>
      <c r="B1020" s="12">
        <v>46498.0</v>
      </c>
      <c r="C1020" s="8" t="s">
        <v>433</v>
      </c>
      <c r="D1020" s="8" t="s">
        <v>1745</v>
      </c>
      <c r="E1020" s="8" t="s">
        <v>1917</v>
      </c>
      <c r="F1020" s="8">
        <v>3.0</v>
      </c>
      <c r="G1020" s="8">
        <v>593.62</v>
      </c>
      <c r="H1020" s="8">
        <v>0.08</v>
      </c>
      <c r="I1020" s="8">
        <f t="shared" si="1"/>
        <v>1780.86</v>
      </c>
      <c r="J1020" s="8">
        <f t="shared" si="2"/>
        <v>-142.3888</v>
      </c>
      <c r="K1020" s="8" t="str">
        <f t="shared" si="3"/>
        <v>Apr</v>
      </c>
      <c r="L1020" s="8">
        <f t="shared" si="4"/>
        <v>2027</v>
      </c>
      <c r="N1020" s="8" t="str">
        <f t="array" ref="N1020">XLOOKUP(C1020,Customer_Dim!A:A,Customer_Dim!B:B,"Not Found")</f>
        <v>Michael Chang</v>
      </c>
      <c r="O1020" s="8" t="str">
        <f t="array" ref="O1020">XLOOKUP(C1020,Customer_Dim!A:A,Customer_Dim!E:E,"Not Found")</f>
        <v>Kathrynport</v>
      </c>
      <c r="P1020" s="8" t="str">
        <f t="array" ref="P1020">XLOOKUP(D1020,Product_Dim!A:A,Product_Dim!B:B,"Not Found")</f>
        <v>Rugby Ball</v>
      </c>
      <c r="Q1020" s="8" t="str">
        <f t="array" ref="Q1020">XLOOKUP(D1020,Product_Dim!A:A,Product_Dim!C:C,"Not Found")</f>
        <v>Sports</v>
      </c>
      <c r="R1020" s="8" t="str">
        <f t="array" ref="R1020">XLOOKUP(E1020,Store_Dim!A:A,Store_Dim!B:B,"Not Found")</f>
        <v>East</v>
      </c>
      <c r="S1020" s="8" t="str">
        <f t="array" ref="S1020">XLOOKUP(E1020,Store_Dim!A:A,Store_Dim!D:D,"Not Found")</f>
        <v>Online</v>
      </c>
    </row>
    <row r="1021" ht="14.25" customHeight="1">
      <c r="A1021" s="8" t="s">
        <v>2974</v>
      </c>
      <c r="B1021" s="12">
        <v>46499.0</v>
      </c>
      <c r="C1021" s="8" t="s">
        <v>1122</v>
      </c>
      <c r="D1021" s="8" t="s">
        <v>1722</v>
      </c>
      <c r="E1021" s="8" t="s">
        <v>1912</v>
      </c>
      <c r="F1021" s="8">
        <v>2.0</v>
      </c>
      <c r="G1021" s="8">
        <v>825.04</v>
      </c>
      <c r="H1021" s="8">
        <v>0.2</v>
      </c>
      <c r="I1021" s="8">
        <f t="shared" si="1"/>
        <v>1650.08</v>
      </c>
      <c r="J1021" s="8">
        <f t="shared" si="2"/>
        <v>-329.816</v>
      </c>
      <c r="K1021" s="8" t="str">
        <f t="shared" si="3"/>
        <v>Apr</v>
      </c>
      <c r="L1021" s="8">
        <f t="shared" si="4"/>
        <v>2027</v>
      </c>
      <c r="N1021" s="8" t="str">
        <f t="array" ref="N1021">XLOOKUP(C1021,Customer_Dim!A:A,Customer_Dim!B:B,"Not Found")</f>
        <v>   laura green</v>
      </c>
      <c r="O1021" s="8" t="str">
        <f t="array" ref="O1021">XLOOKUP(C1021,Customer_Dim!A:A,Customer_Dim!E:E,"Not Found")</f>
        <v>Westbury</v>
      </c>
      <c r="P1021" s="8" t="str">
        <f t="array" ref="P1021">XLOOKUP(D1021,Product_Dim!A:A,Product_Dim!B:B,"Not Found")</f>
        <v>High-Grip Football</v>
      </c>
      <c r="Q1021" s="8" t="str">
        <f t="array" ref="Q1021">XLOOKUP(D1021,Product_Dim!A:A,Product_Dim!C:C,"Not Found")</f>
        <v>Sports</v>
      </c>
      <c r="R1021" s="8" t="str">
        <f t="array" ref="R1021">XLOOKUP(E1021,Store_Dim!A:A,Store_Dim!B:B,"Not Found")</f>
        <v>South</v>
      </c>
      <c r="S1021" s="8" t="str">
        <f t="array" ref="S1021">XLOOKUP(E1021,Store_Dim!A:A,Store_Dim!D:D,"Not Found")</f>
        <v>Online</v>
      </c>
    </row>
    <row r="1022" ht="14.25" customHeight="1">
      <c r="A1022" s="8" t="s">
        <v>2975</v>
      </c>
      <c r="B1022" s="12">
        <v>46500.0</v>
      </c>
      <c r="C1022" s="8" t="s">
        <v>1447</v>
      </c>
      <c r="D1022" s="8" t="s">
        <v>1659</v>
      </c>
      <c r="E1022" s="8" t="s">
        <v>1931</v>
      </c>
      <c r="F1022" s="8">
        <v>1.0</v>
      </c>
      <c r="G1022" s="8">
        <v>963.76</v>
      </c>
      <c r="H1022" s="8">
        <v>0.14</v>
      </c>
      <c r="I1022" s="8">
        <f t="shared" si="1"/>
        <v>963.76</v>
      </c>
      <c r="J1022" s="8">
        <f t="shared" si="2"/>
        <v>-134.7864</v>
      </c>
      <c r="K1022" s="8" t="str">
        <f t="shared" si="3"/>
        <v>Apr</v>
      </c>
      <c r="L1022" s="8">
        <f t="shared" si="4"/>
        <v>2027</v>
      </c>
      <c r="N1022" s="8" t="str">
        <f t="array" ref="N1022">XLOOKUP(C1022,Customer_Dim!A:A,Customer_Dim!B:B,"Not Found")</f>
        <v>David Pierce</v>
      </c>
      <c r="O1022" s="8" t="str">
        <f t="array" ref="O1022">XLOOKUP(C1022,Customer_Dim!A:A,Customer_Dim!E:E,"Not Found")</f>
        <v>Grayland</v>
      </c>
      <c r="P1022" s="8" t="str">
        <f t="array" ref="P1022">XLOOKUP(D1022,Product_Dim!A:A,Product_Dim!B:B,"Not Found")</f>
        <v>Women's Scarf Set</v>
      </c>
      <c r="Q1022" s="8" t="str">
        <f t="array" ref="Q1022">XLOOKUP(D1022,Product_Dim!A:A,Product_Dim!C:C,"Not Found")</f>
        <v>Clothing</v>
      </c>
      <c r="R1022" s="8" t="str">
        <f t="array" ref="R1022">XLOOKUP(E1022,Store_Dim!A:A,Store_Dim!B:B,"Not Found")</f>
        <v>East</v>
      </c>
      <c r="S1022" s="8" t="str">
        <f t="array" ref="S1022">XLOOKUP(E1022,Store_Dim!A:A,Store_Dim!D:D,"Not Found")</f>
        <v>Flagship</v>
      </c>
    </row>
    <row r="1023" ht="14.25" customHeight="1">
      <c r="A1023" s="8" t="s">
        <v>2976</v>
      </c>
      <c r="B1023" s="12">
        <v>46501.0</v>
      </c>
      <c r="C1023" s="8" t="s">
        <v>941</v>
      </c>
      <c r="D1023" s="8" t="s">
        <v>1754</v>
      </c>
      <c r="E1023" s="8" t="s">
        <v>1917</v>
      </c>
      <c r="F1023" s="8">
        <v>1.0</v>
      </c>
      <c r="G1023" s="8">
        <v>238.24</v>
      </c>
      <c r="H1023" s="8">
        <v>0.12</v>
      </c>
      <c r="I1023" s="8">
        <f t="shared" si="1"/>
        <v>238.24</v>
      </c>
      <c r="J1023" s="8">
        <f t="shared" si="2"/>
        <v>-28.4688</v>
      </c>
      <c r="K1023" s="8" t="str">
        <f t="shared" si="3"/>
        <v>Apr</v>
      </c>
      <c r="L1023" s="8">
        <f t="shared" si="4"/>
        <v>2027</v>
      </c>
      <c r="N1023" s="8" t="str">
        <f t="array" ref="N1023">XLOOKUP(C1023,Customer_Dim!A:A,Customer_Dim!B:B,"Not Found")</f>
        <v>Ricardo Jones</v>
      </c>
      <c r="O1023" s="8" t="str">
        <f t="array" ref="O1023">XLOOKUP(C1023,Customer_Dim!A:A,Customer_Dim!E:E,"Not Found")</f>
        <v>Danielland</v>
      </c>
      <c r="P1023" s="8" t="str">
        <f t="array" ref="P1023">XLOOKUP(D1023,Product_Dim!A:A,Product_Dim!B:B,"Not Found")</f>
        <v>Ceramic Plant Pot</v>
      </c>
      <c r="Q1023" s="8" t="str">
        <f t="array" ref="Q1023">XLOOKUP(D1023,Product_Dim!A:A,Product_Dim!C:C,"Not Found")</f>
        <v>Home</v>
      </c>
      <c r="R1023" s="8" t="str">
        <f t="array" ref="R1023">XLOOKUP(E1023,Store_Dim!A:A,Store_Dim!B:B,"Not Found")</f>
        <v>East</v>
      </c>
      <c r="S1023" s="8" t="str">
        <f t="array" ref="S1023">XLOOKUP(E1023,Store_Dim!A:A,Store_Dim!D:D,"Not Found")</f>
        <v>Online</v>
      </c>
    </row>
    <row r="1024" ht="14.25" customHeight="1">
      <c r="A1024" s="8" t="s">
        <v>2977</v>
      </c>
      <c r="B1024" s="12">
        <v>46502.0</v>
      </c>
      <c r="C1024" s="8" t="s">
        <v>1427</v>
      </c>
      <c r="D1024" s="8" t="s">
        <v>1836</v>
      </c>
      <c r="E1024" s="8" t="s">
        <v>1935</v>
      </c>
      <c r="F1024" s="8">
        <v>1.0</v>
      </c>
      <c r="G1024" s="8">
        <v>756.63</v>
      </c>
      <c r="H1024" s="8">
        <v>0.04</v>
      </c>
      <c r="I1024" s="8">
        <f t="shared" si="1"/>
        <v>756.63</v>
      </c>
      <c r="J1024" s="8">
        <f t="shared" si="2"/>
        <v>-30.2252</v>
      </c>
      <c r="K1024" s="8" t="str">
        <f t="shared" si="3"/>
        <v>Apr</v>
      </c>
      <c r="L1024" s="8">
        <f t="shared" si="4"/>
        <v>2027</v>
      </c>
      <c r="N1024" s="8" t="str">
        <f t="array" ref="N1024">XLOOKUP(C1024,Customer_Dim!A:A,Customer_Dim!B:B,"Not Found")</f>
        <v>Christina Robertson</v>
      </c>
      <c r="O1024" s="8" t="str">
        <f t="array" ref="O1024">XLOOKUP(C1024,Customer_Dim!A:A,Customer_Dim!E:E,"Not Found")</f>
        <v>Hubbardborough</v>
      </c>
      <c r="P1024" s="8" t="str">
        <f t="array" ref="P1024">XLOOKUP(D1024,Product_Dim!A:A,Product_Dim!B:B,"Not Found")</f>
        <v>Fitness Resistance Bands</v>
      </c>
      <c r="Q1024" s="8" t="str">
        <f t="array" ref="Q1024">XLOOKUP(D1024,Product_Dim!A:A,Product_Dim!C:C,"Not Found")</f>
        <v>Sports</v>
      </c>
      <c r="R1024" s="8" t="str">
        <f t="array" ref="R1024">XLOOKUP(E1024,Store_Dim!A:A,Store_Dim!B:B,"Not Found")</f>
        <v>West</v>
      </c>
      <c r="S1024" s="8" t="str">
        <f t="array" ref="S1024">XLOOKUP(E1024,Store_Dim!A:A,Store_Dim!D:D,"Not Found")</f>
        <v>Flagship</v>
      </c>
    </row>
    <row r="1025" ht="14.25" customHeight="1">
      <c r="A1025" s="8" t="s">
        <v>2978</v>
      </c>
      <c r="B1025" s="12">
        <v>46503.0</v>
      </c>
      <c r="C1025" s="8" t="s">
        <v>94</v>
      </c>
      <c r="D1025" s="8" t="s">
        <v>1869</v>
      </c>
      <c r="E1025" s="8" t="s">
        <v>1919</v>
      </c>
      <c r="F1025" s="8">
        <v>3.0</v>
      </c>
      <c r="G1025" s="8">
        <v>159.76</v>
      </c>
      <c r="H1025" s="8">
        <v>0.22</v>
      </c>
      <c r="I1025" s="8">
        <f t="shared" si="1"/>
        <v>479.28</v>
      </c>
      <c r="J1025" s="8">
        <f t="shared" si="2"/>
        <v>-105.2216</v>
      </c>
      <c r="K1025" s="8" t="str">
        <f t="shared" si="3"/>
        <v>Apr</v>
      </c>
      <c r="L1025" s="8">
        <f t="shared" si="4"/>
        <v>2027</v>
      </c>
      <c r="N1025" s="8" t="str">
        <f t="array" ref="N1025">XLOOKUP(C1025,Customer_Dim!A:A,Customer_Dim!B:B,"Not Found")</f>
        <v>Michael Torres</v>
      </c>
      <c r="O1025" s="8" t="str">
        <f t="array" ref="O1025">XLOOKUP(C1025,Customer_Dim!A:A,Customer_Dim!E:E,"Not Found")</f>
        <v>Gonzalezfort</v>
      </c>
      <c r="P1025" s="8" t="str">
        <f t="array" ref="P1025">XLOOKUP(D1025,Product_Dim!A:A,Product_Dim!B:B,"Not Found")</f>
        <v>USB-C Laptop Charger</v>
      </c>
      <c r="Q1025" s="8" t="str">
        <f t="array" ref="Q1025">XLOOKUP(D1025,Product_Dim!A:A,Product_Dim!C:C,"Not Found")</f>
        <v>Electronics</v>
      </c>
      <c r="R1025" s="8" t="str">
        <f t="array" ref="R1025">XLOOKUP(E1025,Store_Dim!A:A,Store_Dim!B:B,"Not Found")</f>
        <v>South</v>
      </c>
      <c r="S1025" s="8" t="str">
        <f t="array" ref="S1025">XLOOKUP(E1025,Store_Dim!A:A,Store_Dim!D:D,"Not Found")</f>
        <v>Online</v>
      </c>
    </row>
    <row r="1026" ht="14.25" customHeight="1">
      <c r="A1026" s="8" t="s">
        <v>2979</v>
      </c>
      <c r="B1026" s="12">
        <v>46504.0</v>
      </c>
      <c r="C1026" s="8" t="s">
        <v>1167</v>
      </c>
      <c r="D1026" s="8" t="s">
        <v>1875</v>
      </c>
      <c r="E1026" s="8" t="s">
        <v>1921</v>
      </c>
      <c r="F1026" s="8">
        <v>1.0</v>
      </c>
      <c r="G1026" s="8">
        <v>329.94</v>
      </c>
      <c r="H1026" s="8">
        <v>0.14</v>
      </c>
      <c r="I1026" s="8">
        <f t="shared" si="1"/>
        <v>329.94</v>
      </c>
      <c r="J1026" s="8">
        <f t="shared" si="2"/>
        <v>-46.0516</v>
      </c>
      <c r="K1026" s="8" t="str">
        <f t="shared" si="3"/>
        <v>Apr</v>
      </c>
      <c r="L1026" s="8">
        <f t="shared" si="4"/>
        <v>2027</v>
      </c>
      <c r="N1026" s="8" t="str">
        <f t="array" ref="N1026">XLOOKUP(C1026,Customer_Dim!A:A,Customer_Dim!B:B,"Not Found")</f>
        <v>Miranda King</v>
      </c>
      <c r="O1026" s="8" t="str">
        <f t="array" ref="O1026">XLOOKUP(C1026,Customer_Dim!A:A,Customer_Dim!E:E,"Not Found")</f>
        <v>West Mathew</v>
      </c>
      <c r="P1026" s="8" t="str">
        <f t="array" ref="P1026">XLOOKUP(D1026,Product_Dim!A:A,Product_Dim!B:B,"Not Found")</f>
        <v>Sports Stopwatch Basic</v>
      </c>
      <c r="Q1026" s="8" t="str">
        <f t="array" ref="Q1026">XLOOKUP(D1026,Product_Dim!A:A,Product_Dim!C:C,"Not Found")</f>
        <v>Sports</v>
      </c>
      <c r="R1026" s="8" t="str">
        <f t="array" ref="R1026">XLOOKUP(E1026,Store_Dim!A:A,Store_Dim!B:B,"Not Found")</f>
        <v>West</v>
      </c>
      <c r="S1026" s="8" t="str">
        <f t="array" ref="S1026">XLOOKUP(E1026,Store_Dim!A:A,Store_Dim!D:D,"Not Found")</f>
        <v>Online</v>
      </c>
    </row>
    <row r="1027" ht="14.25" customHeight="1">
      <c r="A1027" s="8" t="s">
        <v>2980</v>
      </c>
      <c r="B1027" s="12">
        <v>46505.0</v>
      </c>
      <c r="C1027" s="8" t="s">
        <v>234</v>
      </c>
      <c r="D1027" s="8" t="s">
        <v>1632</v>
      </c>
      <c r="E1027" s="8" t="s">
        <v>1921</v>
      </c>
      <c r="F1027" s="8">
        <v>1.0</v>
      </c>
      <c r="G1027" s="8">
        <v>234.06</v>
      </c>
      <c r="H1027" s="8">
        <v>0.11</v>
      </c>
      <c r="I1027" s="8">
        <f t="shared" si="1"/>
        <v>234.06</v>
      </c>
      <c r="J1027" s="8">
        <f t="shared" si="2"/>
        <v>-25.6366</v>
      </c>
      <c r="K1027" s="8" t="str">
        <f t="shared" si="3"/>
        <v>Apr</v>
      </c>
      <c r="L1027" s="8">
        <f t="shared" si="4"/>
        <v>2027</v>
      </c>
      <c r="N1027" s="8" t="str">
        <f t="array" ref="N1027">XLOOKUP(C1027,Customer_Dim!A:A,Customer_Dim!B:B,"Not Found")</f>
        <v>Dr. David Smith</v>
      </c>
      <c r="O1027" s="8" t="str">
        <f t="array" ref="O1027">XLOOKUP(C1027,Customer_Dim!A:A,Customer_Dim!E:E,"Not Found")</f>
        <v>Schmidtchester</v>
      </c>
      <c r="P1027" s="8" t="str">
        <f t="array" ref="P1027">XLOOKUP(D1027,Product_Dim!A:A,Product_Dim!B:B,"Not Found")</f>
        <v>Soccer Training Cone Set</v>
      </c>
      <c r="Q1027" s="8" t="str">
        <f t="array" ref="Q1027">XLOOKUP(D1027,Product_Dim!A:A,Product_Dim!C:C,"Not Found")</f>
        <v>Sports</v>
      </c>
      <c r="R1027" s="8" t="str">
        <f t="array" ref="R1027">XLOOKUP(E1027,Store_Dim!A:A,Store_Dim!B:B,"Not Found")</f>
        <v>West</v>
      </c>
      <c r="S1027" s="8" t="str">
        <f t="array" ref="S1027">XLOOKUP(E1027,Store_Dim!A:A,Store_Dim!D:D,"Not Found")</f>
        <v>Online</v>
      </c>
    </row>
    <row r="1028" ht="14.25" customHeight="1">
      <c r="A1028" s="8" t="s">
        <v>2981</v>
      </c>
      <c r="B1028" s="12">
        <v>46506.0</v>
      </c>
      <c r="C1028" s="8" t="s">
        <v>1014</v>
      </c>
      <c r="D1028" s="8" t="s">
        <v>1833</v>
      </c>
      <c r="E1028" s="8" t="s">
        <v>1899</v>
      </c>
      <c r="F1028" s="8">
        <v>2.0</v>
      </c>
      <c r="G1028" s="8">
        <v>773.75</v>
      </c>
      <c r="H1028" s="8">
        <v>0.16</v>
      </c>
      <c r="I1028" s="8">
        <f t="shared" si="1"/>
        <v>1547.5</v>
      </c>
      <c r="J1028" s="8">
        <f t="shared" si="2"/>
        <v>-247.44</v>
      </c>
      <c r="K1028" s="8" t="str">
        <f t="shared" si="3"/>
        <v>Apr</v>
      </c>
      <c r="L1028" s="8">
        <f t="shared" si="4"/>
        <v>2027</v>
      </c>
      <c r="N1028" s="8" t="str">
        <f t="array" ref="N1028">XLOOKUP(C1028,Customer_Dim!A:A,Customer_Dim!B:B,"Not Found")</f>
        <v>Tiffany Williams</v>
      </c>
      <c r="O1028" s="8" t="str">
        <f t="array" ref="O1028">XLOOKUP(C1028,Customer_Dim!A:A,Customer_Dim!E:E,"Not Found")</f>
        <v>Richardsport</v>
      </c>
      <c r="P1028" s="8" t="str">
        <f t="array" ref="P1028">XLOOKUP(D1028,Product_Dim!A:A,Product_Dim!B:B,"Not Found")</f>
        <v>Badminton Racket Set</v>
      </c>
      <c r="Q1028" s="8" t="str">
        <f t="array" ref="Q1028">XLOOKUP(D1028,Product_Dim!A:A,Product_Dim!C:C,"Not Found")</f>
        <v>Sports</v>
      </c>
      <c r="R1028" s="8" t="str">
        <f t="array" ref="R1028">XLOOKUP(E1028,Store_Dim!A:A,Store_Dim!B:B,"Not Found")</f>
        <v>East</v>
      </c>
      <c r="S1028" s="8" t="str">
        <f t="array" ref="S1028">XLOOKUP(E1028,Store_Dim!A:A,Store_Dim!D:D,"Not Found")</f>
        <v>Flagship</v>
      </c>
    </row>
    <row r="1029" ht="14.25" customHeight="1">
      <c r="A1029" s="8" t="s">
        <v>2982</v>
      </c>
      <c r="B1029" s="12">
        <v>46507.0</v>
      </c>
      <c r="C1029" s="8" t="s">
        <v>1368</v>
      </c>
      <c r="D1029" s="8" t="s">
        <v>1745</v>
      </c>
      <c r="E1029" s="8" t="s">
        <v>1939</v>
      </c>
      <c r="F1029" s="8">
        <v>1.0</v>
      </c>
      <c r="G1029" s="8">
        <v>73.88</v>
      </c>
      <c r="H1029" s="8">
        <v>0.04</v>
      </c>
      <c r="I1029" s="8">
        <f t="shared" si="1"/>
        <v>73.88</v>
      </c>
      <c r="J1029" s="8">
        <f t="shared" si="2"/>
        <v>-2.9152</v>
      </c>
      <c r="K1029" s="8" t="str">
        <f t="shared" si="3"/>
        <v>Apr</v>
      </c>
      <c r="L1029" s="8">
        <f t="shared" si="4"/>
        <v>2027</v>
      </c>
      <c r="N1029" s="8" t="str">
        <f t="array" ref="N1029">XLOOKUP(C1029,Customer_Dim!A:A,Customer_Dim!B:B,"Not Found")</f>
        <v>Sharon Simpson</v>
      </c>
      <c r="O1029" s="8" t="str">
        <f t="array" ref="O1029">XLOOKUP(C1029,Customer_Dim!A:A,Customer_Dim!E:E,"Not Found")</f>
        <v>South Michellebury</v>
      </c>
      <c r="P1029" s="8" t="str">
        <f t="array" ref="P1029">XLOOKUP(D1029,Product_Dim!A:A,Product_Dim!B:B,"Not Found")</f>
        <v>Rugby Ball</v>
      </c>
      <c r="Q1029" s="8" t="str">
        <f t="array" ref="Q1029">XLOOKUP(D1029,Product_Dim!A:A,Product_Dim!C:C,"Not Found")</f>
        <v>Sports</v>
      </c>
      <c r="R1029" s="8" t="str">
        <f t="array" ref="R1029">XLOOKUP(E1029,Store_Dim!A:A,Store_Dim!B:B,"Not Found")</f>
        <v>East</v>
      </c>
      <c r="S1029" s="8" t="str">
        <f t="array" ref="S1029">XLOOKUP(E1029,Store_Dim!A:A,Store_Dim!D:D,"Not Found")</f>
        <v>Flagship</v>
      </c>
    </row>
    <row r="1030" ht="14.25" customHeight="1">
      <c r="A1030" s="8" t="s">
        <v>2983</v>
      </c>
      <c r="B1030" s="12">
        <v>46508.0</v>
      </c>
      <c r="C1030" s="8" t="s">
        <v>40</v>
      </c>
      <c r="D1030" s="8" t="s">
        <v>1848</v>
      </c>
      <c r="E1030" s="8" t="s">
        <v>1939</v>
      </c>
      <c r="F1030" s="8">
        <v>1.0</v>
      </c>
      <c r="G1030" s="8">
        <v>859.3</v>
      </c>
      <c r="H1030" s="8">
        <v>0.16</v>
      </c>
      <c r="I1030" s="8">
        <f t="shared" si="1"/>
        <v>859.3</v>
      </c>
      <c r="J1030" s="8">
        <f t="shared" si="2"/>
        <v>-137.328</v>
      </c>
      <c r="K1030" s="8" t="str">
        <f t="shared" si="3"/>
        <v>May</v>
      </c>
      <c r="L1030" s="8">
        <f t="shared" si="4"/>
        <v>2027</v>
      </c>
      <c r="N1030" s="8" t="str">
        <f t="array" ref="N1030">XLOOKUP(C1030,Customer_Dim!A:A,Customer_Dim!B:B,"Not Found")</f>
        <v>Christine Vaughn</v>
      </c>
      <c r="O1030" s="8" t="str">
        <f t="array" ref="O1030">XLOOKUP(C1030,Customer_Dim!A:A,Customer_Dim!E:E,"Not Found")</f>
        <v>East Amandamouth</v>
      </c>
      <c r="P1030" s="8" t="str">
        <f t="array" ref="P1030">XLOOKUP(D1030,Product_Dim!A:A,Product_Dim!B:B,"Not Found")</f>
        <v>Kitchen Cutting Board</v>
      </c>
      <c r="Q1030" s="8" t="str">
        <f t="array" ref="Q1030">XLOOKUP(D1030,Product_Dim!A:A,Product_Dim!C:C,"Not Found")</f>
        <v>Home</v>
      </c>
      <c r="R1030" s="8" t="str">
        <f t="array" ref="R1030">XLOOKUP(E1030,Store_Dim!A:A,Store_Dim!B:B,"Not Found")</f>
        <v>East</v>
      </c>
      <c r="S1030" s="8" t="str">
        <f t="array" ref="S1030">XLOOKUP(E1030,Store_Dim!A:A,Store_Dim!D:D,"Not Found")</f>
        <v>Flagship</v>
      </c>
    </row>
    <row r="1031" ht="14.25" customHeight="1">
      <c r="A1031" s="8" t="s">
        <v>2984</v>
      </c>
      <c r="B1031" s="12">
        <v>46509.0</v>
      </c>
      <c r="C1031" s="8" t="s">
        <v>455</v>
      </c>
      <c r="D1031" s="8" t="s">
        <v>1833</v>
      </c>
      <c r="E1031" s="8" t="s">
        <v>1917</v>
      </c>
      <c r="F1031" s="8">
        <v>4.0</v>
      </c>
      <c r="G1031" s="8">
        <v>762.43</v>
      </c>
      <c r="H1031" s="8">
        <v>0.05</v>
      </c>
      <c r="I1031" s="8">
        <f t="shared" si="1"/>
        <v>3049.72</v>
      </c>
      <c r="J1031" s="8">
        <f t="shared" si="2"/>
        <v>-152.436</v>
      </c>
      <c r="K1031" s="8" t="str">
        <f t="shared" si="3"/>
        <v>May</v>
      </c>
      <c r="L1031" s="8">
        <f t="shared" si="4"/>
        <v>2027</v>
      </c>
      <c r="N1031" s="8" t="str">
        <f t="array" ref="N1031">XLOOKUP(C1031,Customer_Dim!A:A,Customer_Dim!B:B,"Not Found")</f>
        <v>Jessica Mitchell</v>
      </c>
      <c r="O1031" s="8" t="str">
        <f t="array" ref="O1031">XLOOKUP(C1031,Customer_Dim!A:A,Customer_Dim!E:E,"Not Found")</f>
        <v>Matthewbury</v>
      </c>
      <c r="P1031" s="8" t="str">
        <f t="array" ref="P1031">XLOOKUP(D1031,Product_Dim!A:A,Product_Dim!B:B,"Not Found")</f>
        <v>Badminton Racket Set</v>
      </c>
      <c r="Q1031" s="8" t="str">
        <f t="array" ref="Q1031">XLOOKUP(D1031,Product_Dim!A:A,Product_Dim!C:C,"Not Found")</f>
        <v>Sports</v>
      </c>
      <c r="R1031" s="8" t="str">
        <f t="array" ref="R1031">XLOOKUP(E1031,Store_Dim!A:A,Store_Dim!B:B,"Not Found")</f>
        <v>East</v>
      </c>
      <c r="S1031" s="8" t="str">
        <f t="array" ref="S1031">XLOOKUP(E1031,Store_Dim!A:A,Store_Dim!D:D,"Not Found")</f>
        <v>Online</v>
      </c>
    </row>
    <row r="1032" ht="14.25" customHeight="1">
      <c r="A1032" s="8" t="s">
        <v>2985</v>
      </c>
      <c r="B1032" s="12">
        <v>46510.0</v>
      </c>
      <c r="C1032" s="8" t="s">
        <v>439</v>
      </c>
      <c r="D1032" s="8" t="s">
        <v>1809</v>
      </c>
      <c r="E1032" s="8" t="s">
        <v>1899</v>
      </c>
      <c r="F1032" s="8">
        <v>1.0</v>
      </c>
      <c r="G1032" s="8">
        <v>328.51</v>
      </c>
      <c r="H1032" s="8">
        <v>0.2</v>
      </c>
      <c r="I1032" s="8">
        <f t="shared" si="1"/>
        <v>328.51</v>
      </c>
      <c r="J1032" s="8">
        <f t="shared" si="2"/>
        <v>-65.502</v>
      </c>
      <c r="K1032" s="8" t="str">
        <f t="shared" si="3"/>
        <v>May</v>
      </c>
      <c r="L1032" s="8">
        <f t="shared" si="4"/>
        <v>2027</v>
      </c>
      <c r="N1032" s="8" t="str">
        <f t="array" ref="N1032">XLOOKUP(C1032,Customer_Dim!A:A,Customer_Dim!B:B,"Not Found")</f>
        <v>Donald Lee</v>
      </c>
      <c r="O1032" s="8" t="str">
        <f t="array" ref="O1032">XLOOKUP(C1032,Customer_Dim!A:A,Customer_Dim!E:E,"Not Found")</f>
        <v>Wongberg</v>
      </c>
      <c r="P1032" s="8" t="str">
        <f t="array" ref="P1032">XLOOKUP(D1032,Product_Dim!A:A,Product_Dim!B:B,"Not Found")</f>
        <v>Shin Guards – Adult</v>
      </c>
      <c r="Q1032" s="8" t="str">
        <f t="array" ref="Q1032">XLOOKUP(D1032,Product_Dim!A:A,Product_Dim!C:C,"Not Found")</f>
        <v>Sports</v>
      </c>
      <c r="R1032" s="8" t="str">
        <f t="array" ref="R1032">XLOOKUP(E1032,Store_Dim!A:A,Store_Dim!B:B,"Not Found")</f>
        <v>East</v>
      </c>
      <c r="S1032" s="8" t="str">
        <f t="array" ref="S1032">XLOOKUP(E1032,Store_Dim!A:A,Store_Dim!D:D,"Not Found")</f>
        <v>Flagship</v>
      </c>
    </row>
    <row r="1033" ht="14.25" customHeight="1">
      <c r="A1033" s="8" t="s">
        <v>2986</v>
      </c>
      <c r="B1033" s="12">
        <v>46511.0</v>
      </c>
      <c r="C1033" s="8" t="s">
        <v>887</v>
      </c>
      <c r="D1033" s="8" t="s">
        <v>1719</v>
      </c>
      <c r="E1033" s="8" t="s">
        <v>1912</v>
      </c>
      <c r="F1033" s="8">
        <v>1.0</v>
      </c>
      <c r="G1033" s="8">
        <v>34.51</v>
      </c>
      <c r="H1033" s="8">
        <v>0.04</v>
      </c>
      <c r="I1033" s="8">
        <f t="shared" si="1"/>
        <v>34.51</v>
      </c>
      <c r="J1033" s="8">
        <f t="shared" si="2"/>
        <v>-1.3404</v>
      </c>
      <c r="K1033" s="8" t="str">
        <f t="shared" si="3"/>
        <v>May</v>
      </c>
      <c r="L1033" s="8">
        <f t="shared" si="4"/>
        <v>2027</v>
      </c>
      <c r="N1033" s="8" t="str">
        <f t="array" ref="N1033">XLOOKUP(C1033,Customer_Dim!A:A,Customer_Dim!B:B,"Not Found")</f>
        <v>Sarah Lane</v>
      </c>
      <c r="O1033" s="8" t="str">
        <f t="array" ref="O1033">XLOOKUP(C1033,Customer_Dim!A:A,Customer_Dim!E:E,"Not Found")</f>
        <v>Edwardborough</v>
      </c>
      <c r="P1033" s="8" t="str">
        <f t="array" ref="P1033">XLOOKUP(D1033,Product_Dim!A:A,Product_Dim!B:B,"Not Found")</f>
        <v>Adjustable Jump Rope</v>
      </c>
      <c r="Q1033" s="8" t="str">
        <f t="array" ref="Q1033">XLOOKUP(D1033,Product_Dim!A:A,Product_Dim!C:C,"Not Found")</f>
        <v>Sports</v>
      </c>
      <c r="R1033" s="8" t="str">
        <f t="array" ref="R1033">XLOOKUP(E1033,Store_Dim!A:A,Store_Dim!B:B,"Not Found")</f>
        <v>South</v>
      </c>
      <c r="S1033" s="8" t="str">
        <f t="array" ref="S1033">XLOOKUP(E1033,Store_Dim!A:A,Store_Dim!D:D,"Not Found")</f>
        <v>Online</v>
      </c>
    </row>
    <row r="1034" ht="14.25" customHeight="1">
      <c r="A1034" s="8" t="s">
        <v>2987</v>
      </c>
      <c r="B1034" s="12">
        <v>46512.0</v>
      </c>
      <c r="C1034" s="8" t="s">
        <v>382</v>
      </c>
      <c r="D1034" s="8" t="s">
        <v>1638</v>
      </c>
      <c r="E1034" s="8" t="s">
        <v>1928</v>
      </c>
      <c r="F1034" s="8">
        <v>3.0</v>
      </c>
      <c r="G1034" s="8">
        <v>663.73</v>
      </c>
      <c r="H1034" s="8">
        <v>0.06</v>
      </c>
      <c r="I1034" s="8">
        <f t="shared" si="1"/>
        <v>1991.19</v>
      </c>
      <c r="J1034" s="8">
        <f t="shared" si="2"/>
        <v>-119.4114</v>
      </c>
      <c r="K1034" s="8" t="str">
        <f t="shared" si="3"/>
        <v>May</v>
      </c>
      <c r="L1034" s="8">
        <f t="shared" si="4"/>
        <v>2027</v>
      </c>
      <c r="N1034" s="8" t="str">
        <f t="array" ref="N1034">XLOOKUP(C1034,Customer_Dim!A:A,Customer_Dim!B:B,"Not Found")</f>
        <v>Lance Baker</v>
      </c>
      <c r="O1034" s="8" t="str">
        <f t="array" ref="O1034">XLOOKUP(C1034,Customer_Dim!A:A,Customer_Dim!E:E,"Not Found")</f>
        <v>Port Victoria</v>
      </c>
      <c r="P1034" s="8" t="str">
        <f t="array" ref="P1034">XLOOKUP(D1034,Product_Dim!A:A,Product_Dim!B:B,"Not Found")</f>
        <v>Knee Support Brace</v>
      </c>
      <c r="Q1034" s="8" t="str">
        <f t="array" ref="Q1034">XLOOKUP(D1034,Product_Dim!A:A,Product_Dim!C:C,"Not Found")</f>
        <v>Sports</v>
      </c>
      <c r="R1034" s="8" t="str">
        <f t="array" ref="R1034">XLOOKUP(E1034,Store_Dim!A:A,Store_Dim!B:B,"Not Found")</f>
        <v>South</v>
      </c>
      <c r="S1034" s="8" t="str">
        <f t="array" ref="S1034">XLOOKUP(E1034,Store_Dim!A:A,Store_Dim!D:D,"Not Found")</f>
        <v>Online</v>
      </c>
    </row>
    <row r="1035" ht="14.25" customHeight="1">
      <c r="A1035" s="8" t="s">
        <v>2988</v>
      </c>
      <c r="B1035" s="12">
        <v>46513.0</v>
      </c>
      <c r="C1035" s="8" t="s">
        <v>803</v>
      </c>
      <c r="D1035" s="8" t="s">
        <v>1684</v>
      </c>
      <c r="E1035" s="8" t="s">
        <v>1924</v>
      </c>
      <c r="F1035" s="8">
        <v>1.0</v>
      </c>
      <c r="G1035" s="8">
        <v>409.41</v>
      </c>
      <c r="H1035" s="8">
        <v>0.13</v>
      </c>
      <c r="I1035" s="8">
        <f t="shared" si="1"/>
        <v>409.41</v>
      </c>
      <c r="J1035" s="8">
        <f t="shared" si="2"/>
        <v>-53.0933</v>
      </c>
      <c r="K1035" s="8" t="str">
        <f t="shared" si="3"/>
        <v>May</v>
      </c>
      <c r="L1035" s="8">
        <f t="shared" si="4"/>
        <v>2027</v>
      </c>
      <c r="N1035" s="8" t="str">
        <f t="array" ref="N1035">XLOOKUP(C1035,Customer_Dim!A:A,Customer_Dim!B:B,"Not Found")</f>
        <v>Mary Russell</v>
      </c>
      <c r="O1035" s="8" t="str">
        <f t="array" ref="O1035">XLOOKUP(C1035,Customer_Dim!A:A,Customer_Dim!E:E,"Not Found")</f>
        <v>South Regina</v>
      </c>
      <c r="P1035" s="8" t="str">
        <f t="array" ref="P1035">XLOOKUP(D1035,Product_Dim!A:A,Product_Dim!B:B,"Not Found")</f>
        <v>Modern Wall Clock</v>
      </c>
      <c r="Q1035" s="8" t="str">
        <f t="array" ref="Q1035">XLOOKUP(D1035,Product_Dim!A:A,Product_Dim!C:C,"Not Found")</f>
        <v>Home</v>
      </c>
      <c r="R1035" s="8" t="str">
        <f t="array" ref="R1035">XLOOKUP(E1035,Store_Dim!A:A,Store_Dim!B:B,"Not Found")</f>
        <v>South</v>
      </c>
      <c r="S1035" s="8" t="str">
        <f t="array" ref="S1035">XLOOKUP(E1035,Store_Dim!A:A,Store_Dim!D:D,"Not Found")</f>
        <v>Flagship</v>
      </c>
    </row>
    <row r="1036" ht="14.25" customHeight="1">
      <c r="A1036" s="8" t="s">
        <v>2989</v>
      </c>
      <c r="B1036" s="12">
        <v>46514.0</v>
      </c>
      <c r="C1036" s="8" t="s">
        <v>342</v>
      </c>
      <c r="D1036" s="8" t="s">
        <v>1824</v>
      </c>
      <c r="E1036" s="8" t="s">
        <v>1910</v>
      </c>
      <c r="F1036" s="8">
        <v>3.0</v>
      </c>
      <c r="G1036" s="8">
        <v>461.03</v>
      </c>
      <c r="H1036" s="8">
        <v>0.11</v>
      </c>
      <c r="I1036" s="8">
        <f t="shared" si="1"/>
        <v>1383.09</v>
      </c>
      <c r="J1036" s="8">
        <f t="shared" si="2"/>
        <v>-152.0299</v>
      </c>
      <c r="K1036" s="8" t="str">
        <f t="shared" si="3"/>
        <v>May</v>
      </c>
      <c r="L1036" s="8">
        <f t="shared" si="4"/>
        <v>2027</v>
      </c>
      <c r="N1036" s="8" t="str">
        <f t="array" ref="N1036">XLOOKUP(C1036,Customer_Dim!A:A,Customer_Dim!B:B,"Not Found")</f>
        <v>Robert Jackson</v>
      </c>
      <c r="O1036" s="8" t="str">
        <f t="array" ref="O1036">XLOOKUP(C1036,Customer_Dim!A:A,Customer_Dim!E:E,"Not Found")</f>
        <v>Lake Brandy</v>
      </c>
      <c r="P1036" s="8" t="str">
        <f t="array" ref="P1036">XLOOKUP(D1036,Product_Dim!A:A,Product_Dim!B:B,"Not Found")</f>
        <v>Essential Oil Diffuser</v>
      </c>
      <c r="Q1036" s="8" t="str">
        <f t="array" ref="Q1036">XLOOKUP(D1036,Product_Dim!A:A,Product_Dim!C:C,"Not Found")</f>
        <v>Home</v>
      </c>
      <c r="R1036" s="8" t="str">
        <f t="array" ref="R1036">XLOOKUP(E1036,Store_Dim!A:A,Store_Dim!B:B,"Not Found")</f>
        <v>North</v>
      </c>
      <c r="S1036" s="8" t="str">
        <f t="array" ref="S1036">XLOOKUP(E1036,Store_Dim!A:A,Store_Dim!D:D,"Not Found")</f>
        <v>Outlet</v>
      </c>
    </row>
    <row r="1037" ht="14.25" customHeight="1">
      <c r="A1037" s="8" t="s">
        <v>2990</v>
      </c>
      <c r="B1037" s="12">
        <v>46515.0</v>
      </c>
      <c r="C1037" s="8" t="s">
        <v>1167</v>
      </c>
      <c r="D1037" s="8" t="s">
        <v>1638</v>
      </c>
      <c r="E1037" s="8" t="s">
        <v>1932</v>
      </c>
      <c r="F1037" s="8">
        <v>2.0</v>
      </c>
      <c r="G1037" s="8">
        <v>760.14</v>
      </c>
      <c r="H1037" s="8">
        <v>0.02</v>
      </c>
      <c r="I1037" s="8">
        <f t="shared" si="1"/>
        <v>1520.28</v>
      </c>
      <c r="J1037" s="8">
        <f t="shared" si="2"/>
        <v>-30.3856</v>
      </c>
      <c r="K1037" s="8" t="str">
        <f t="shared" si="3"/>
        <v>May</v>
      </c>
      <c r="L1037" s="8">
        <f t="shared" si="4"/>
        <v>2027</v>
      </c>
      <c r="N1037" s="8" t="str">
        <f t="array" ref="N1037">XLOOKUP(C1037,Customer_Dim!A:A,Customer_Dim!B:B,"Not Found")</f>
        <v>Miranda King</v>
      </c>
      <c r="O1037" s="8" t="str">
        <f t="array" ref="O1037">XLOOKUP(C1037,Customer_Dim!A:A,Customer_Dim!E:E,"Not Found")</f>
        <v>West Mathew</v>
      </c>
      <c r="P1037" s="8" t="str">
        <f t="array" ref="P1037">XLOOKUP(D1037,Product_Dim!A:A,Product_Dim!B:B,"Not Found")</f>
        <v>Knee Support Brace</v>
      </c>
      <c r="Q1037" s="8" t="str">
        <f t="array" ref="Q1037">XLOOKUP(D1037,Product_Dim!A:A,Product_Dim!C:C,"Not Found")</f>
        <v>Sports</v>
      </c>
      <c r="R1037" s="8" t="str">
        <f t="array" ref="R1037">XLOOKUP(E1037,Store_Dim!A:A,Store_Dim!B:B,"Not Found")</f>
        <v>South</v>
      </c>
      <c r="S1037" s="8" t="str">
        <f t="array" ref="S1037">XLOOKUP(E1037,Store_Dim!A:A,Store_Dim!D:D,"Not Found")</f>
        <v>Outlet</v>
      </c>
    </row>
    <row r="1038" ht="14.25" customHeight="1">
      <c r="A1038" s="8" t="s">
        <v>2991</v>
      </c>
      <c r="B1038" s="12">
        <v>46516.0</v>
      </c>
      <c r="C1038" s="8" t="s">
        <v>899</v>
      </c>
      <c r="D1038" s="8" t="s">
        <v>1652</v>
      </c>
      <c r="E1038" s="8" t="s">
        <v>1903</v>
      </c>
      <c r="F1038" s="8">
        <v>3.0</v>
      </c>
      <c r="G1038" s="8">
        <v>688.76</v>
      </c>
      <c r="H1038" s="8">
        <v>0.12</v>
      </c>
      <c r="I1038" s="8">
        <f t="shared" si="1"/>
        <v>2066.28</v>
      </c>
      <c r="J1038" s="8">
        <f t="shared" si="2"/>
        <v>-247.8336</v>
      </c>
      <c r="K1038" s="8" t="str">
        <f t="shared" si="3"/>
        <v>May</v>
      </c>
      <c r="L1038" s="8">
        <f t="shared" si="4"/>
        <v>2027</v>
      </c>
      <c r="N1038" s="8" t="str">
        <f t="array" ref="N1038">XLOOKUP(C1038,Customer_Dim!A:A,Customer_Dim!B:B,"Not Found")</f>
        <v>Stephen Fowler</v>
      </c>
      <c r="O1038" s="8" t="str">
        <f t="array" ref="O1038">XLOOKUP(C1038,Customer_Dim!A:A,Customer_Dim!E:E,"Not Found")</f>
        <v>Port Mariastad</v>
      </c>
      <c r="P1038" s="8" t="str">
        <f t="array" ref="P1038">XLOOKUP(D1038,Product_Dim!A:A,Product_Dim!B:B,"Not Found")</f>
        <v>Men's Formal Shirt</v>
      </c>
      <c r="Q1038" s="8" t="str">
        <f t="array" ref="Q1038">XLOOKUP(D1038,Product_Dim!A:A,Product_Dim!C:C,"Not Found")</f>
        <v>Clothing</v>
      </c>
      <c r="R1038" s="8" t="str">
        <f t="array" ref="R1038">XLOOKUP(E1038,Store_Dim!A:A,Store_Dim!B:B,"Not Found")</f>
        <v>North</v>
      </c>
      <c r="S1038" s="8" t="str">
        <f t="array" ref="S1038">XLOOKUP(E1038,Store_Dim!A:A,Store_Dim!D:D,"Not Found")</f>
        <v>Flagship</v>
      </c>
    </row>
    <row r="1039" ht="14.25" customHeight="1">
      <c r="A1039" s="8" t="s">
        <v>2992</v>
      </c>
      <c r="B1039" s="12">
        <v>46517.0</v>
      </c>
      <c r="C1039" s="8" t="s">
        <v>544</v>
      </c>
      <c r="D1039" s="8" t="s">
        <v>1716</v>
      </c>
      <c r="E1039" s="8" t="s">
        <v>1924</v>
      </c>
      <c r="F1039" s="8">
        <v>2.0</v>
      </c>
      <c r="G1039" s="8">
        <v>257.78</v>
      </c>
      <c r="H1039" s="8">
        <v>0.05</v>
      </c>
      <c r="I1039" s="8">
        <f t="shared" si="1"/>
        <v>515.56</v>
      </c>
      <c r="J1039" s="8">
        <f t="shared" si="2"/>
        <v>-25.728</v>
      </c>
      <c r="K1039" s="8" t="str">
        <f t="shared" si="3"/>
        <v>May</v>
      </c>
      <c r="L1039" s="8">
        <f t="shared" si="4"/>
        <v>2027</v>
      </c>
      <c r="N1039" s="8" t="str">
        <f t="array" ref="N1039">XLOOKUP(C1039,Customer_Dim!A:A,Customer_Dim!B:B,"Not Found")</f>
        <v>Brian Choi</v>
      </c>
      <c r="O1039" s="8" t="str">
        <f t="array" ref="O1039">XLOOKUP(C1039,Customer_Dim!A:A,Customer_Dim!E:E,"Not Found")</f>
        <v>Floydton</v>
      </c>
      <c r="P1039" s="8" t="str">
        <f t="array" ref="P1039">XLOOKUP(D1039,Product_Dim!A:A,Product_Dim!B:B,"Not Found")</f>
        <v>USB External Hard Drive</v>
      </c>
      <c r="Q1039" s="8" t="str">
        <f t="array" ref="Q1039">XLOOKUP(D1039,Product_Dim!A:A,Product_Dim!C:C,"Not Found")</f>
        <v>Electronics</v>
      </c>
      <c r="R1039" s="8" t="str">
        <f t="array" ref="R1039">XLOOKUP(E1039,Store_Dim!A:A,Store_Dim!B:B,"Not Found")</f>
        <v>South</v>
      </c>
      <c r="S1039" s="8" t="str">
        <f t="array" ref="S1039">XLOOKUP(E1039,Store_Dim!A:A,Store_Dim!D:D,"Not Found")</f>
        <v>Flagship</v>
      </c>
    </row>
    <row r="1040" ht="14.25" customHeight="1">
      <c r="A1040" s="8" t="s">
        <v>2993</v>
      </c>
      <c r="B1040" s="12">
        <v>46518.0</v>
      </c>
      <c r="C1040" s="8" t="s">
        <v>208</v>
      </c>
      <c r="D1040" s="8" t="s">
        <v>1748</v>
      </c>
      <c r="E1040" s="8" t="s">
        <v>1919</v>
      </c>
      <c r="F1040" s="8">
        <v>2.0</v>
      </c>
      <c r="G1040" s="8">
        <v>314.29</v>
      </c>
      <c r="H1040" s="8">
        <v>0.19</v>
      </c>
      <c r="I1040" s="8">
        <f t="shared" si="1"/>
        <v>628.58</v>
      </c>
      <c r="J1040" s="8">
        <f t="shared" si="2"/>
        <v>-119.2402</v>
      </c>
      <c r="K1040" s="8" t="str">
        <f t="shared" si="3"/>
        <v>May</v>
      </c>
      <c r="L1040" s="8">
        <f t="shared" si="4"/>
        <v>2027</v>
      </c>
      <c r="N1040" s="8" t="str">
        <f t="array" ref="N1040">XLOOKUP(C1040,Customer_Dim!A:A,Customer_Dim!B:B,"Not Found")</f>
        <v>Debra Liu</v>
      </c>
      <c r="O1040" s="8" t="str">
        <f t="array" ref="O1040">XLOOKUP(C1040,Customer_Dim!A:A,Customer_Dim!E:E,"Not Found")</f>
        <v>South Timtown</v>
      </c>
      <c r="P1040" s="8" t="str">
        <f t="array" ref="P1040">XLOOKUP(D1040,Product_Dim!A:A,Product_Dim!B:B,"Not Found")</f>
        <v>Men's Track Pants</v>
      </c>
      <c r="Q1040" s="8" t="str">
        <f t="array" ref="Q1040">XLOOKUP(D1040,Product_Dim!A:A,Product_Dim!C:C,"Not Found")</f>
        <v>Clothing</v>
      </c>
      <c r="R1040" s="8" t="str">
        <f t="array" ref="R1040">XLOOKUP(E1040,Store_Dim!A:A,Store_Dim!B:B,"Not Found")</f>
        <v>South</v>
      </c>
      <c r="S1040" s="8" t="str">
        <f t="array" ref="S1040">XLOOKUP(E1040,Store_Dim!A:A,Store_Dim!D:D,"Not Found")</f>
        <v>Online</v>
      </c>
    </row>
    <row r="1041" ht="14.25" customHeight="1">
      <c r="A1041" s="8" t="s">
        <v>2994</v>
      </c>
      <c r="B1041" s="12">
        <v>46519.0</v>
      </c>
      <c r="C1041" s="8" t="s">
        <v>532</v>
      </c>
      <c r="D1041" s="8" t="s">
        <v>1806</v>
      </c>
      <c r="E1041" s="8" t="s">
        <v>1932</v>
      </c>
      <c r="F1041" s="8">
        <v>3.0</v>
      </c>
      <c r="G1041" s="8">
        <v>336.09</v>
      </c>
      <c r="H1041" s="8">
        <v>0.01</v>
      </c>
      <c r="I1041" s="8">
        <f t="shared" si="1"/>
        <v>1008.27</v>
      </c>
      <c r="J1041" s="8">
        <f t="shared" si="2"/>
        <v>-10.0727</v>
      </c>
      <c r="K1041" s="8" t="str">
        <f t="shared" si="3"/>
        <v>May</v>
      </c>
      <c r="L1041" s="8">
        <f t="shared" si="4"/>
        <v>2027</v>
      </c>
      <c r="N1041" s="8" t="str">
        <f t="array" ref="N1041">XLOOKUP(C1041,Customer_Dim!A:A,Customer_Dim!B:B,"Not Found")</f>
        <v>Curtis Haynes</v>
      </c>
      <c r="O1041" s="8" t="str">
        <f t="array" ref="O1041">XLOOKUP(C1041,Customer_Dim!A:A,Customer_Dim!E:E,"Not Found")</f>
        <v>Estradaside</v>
      </c>
      <c r="P1041" s="8" t="str">
        <f t="array" ref="P1041">XLOOKUP(D1041,Product_Dim!A:A,Product_Dim!B:B,"Not Found")</f>
        <v>Professional Jump Rope</v>
      </c>
      <c r="Q1041" s="8" t="str">
        <f t="array" ref="Q1041">XLOOKUP(D1041,Product_Dim!A:A,Product_Dim!C:C,"Not Found")</f>
        <v>Sports</v>
      </c>
      <c r="R1041" s="8" t="str">
        <f t="array" ref="R1041">XLOOKUP(E1041,Store_Dim!A:A,Store_Dim!B:B,"Not Found")</f>
        <v>South</v>
      </c>
      <c r="S1041" s="8" t="str">
        <f t="array" ref="S1041">XLOOKUP(E1041,Store_Dim!A:A,Store_Dim!D:D,"Not Found")</f>
        <v>Outlet</v>
      </c>
    </row>
    <row r="1042" ht="14.25" customHeight="1">
      <c r="A1042" s="8" t="s">
        <v>2995</v>
      </c>
      <c r="B1042" s="12">
        <v>46520.0</v>
      </c>
      <c r="C1042" s="8" t="s">
        <v>26</v>
      </c>
      <c r="D1042" s="8" t="s">
        <v>1815</v>
      </c>
      <c r="E1042" s="8" t="s">
        <v>1937</v>
      </c>
      <c r="F1042" s="8">
        <v>3.0</v>
      </c>
      <c r="G1042" s="8">
        <v>202.07</v>
      </c>
      <c r="H1042" s="8">
        <v>0.23</v>
      </c>
      <c r="I1042" s="8">
        <f t="shared" si="1"/>
        <v>606.21</v>
      </c>
      <c r="J1042" s="8">
        <f t="shared" si="2"/>
        <v>-139.1983</v>
      </c>
      <c r="K1042" s="8" t="str">
        <f t="shared" si="3"/>
        <v>May</v>
      </c>
      <c r="L1042" s="8">
        <f t="shared" si="4"/>
        <v>2027</v>
      </c>
      <c r="N1042" s="8" t="str">
        <f t="array" ref="N1042">XLOOKUP(C1042,Customer_Dim!A:A,Customer_Dim!B:B,"Not Found")</f>
        <v>dr. Benjamin Price</v>
      </c>
      <c r="O1042" s="8" t="str">
        <f t="array" ref="O1042">XLOOKUP(C1042,Customer_Dim!A:A,Customer_Dim!E:E,"Not Found")</f>
        <v>Kylebury</v>
      </c>
      <c r="P1042" s="8" t="str">
        <f t="array" ref="P1042">XLOOKUP(D1042,Product_Dim!A:A,Product_Dim!B:B,"Not Found")</f>
        <v>Women's Ankle Boots</v>
      </c>
      <c r="Q1042" s="8" t="str">
        <f t="array" ref="Q1042">XLOOKUP(D1042,Product_Dim!A:A,Product_Dim!C:C,"Not Found")</f>
        <v>Clothing</v>
      </c>
      <c r="R1042" s="8" t="str">
        <f t="array" ref="R1042">XLOOKUP(E1042,Store_Dim!A:A,Store_Dim!B:B,"Not Found")</f>
        <v>North</v>
      </c>
      <c r="S1042" s="8" t="str">
        <f t="array" ref="S1042">XLOOKUP(E1042,Store_Dim!A:A,Store_Dim!D:D,"Not Found")</f>
        <v>Flagship</v>
      </c>
    </row>
    <row r="1043" ht="14.25" customHeight="1">
      <c r="A1043" s="8" t="s">
        <v>2996</v>
      </c>
      <c r="B1043" s="12">
        <v>46521.0</v>
      </c>
      <c r="C1043" s="8" t="s">
        <v>993</v>
      </c>
      <c r="D1043" s="8" t="s">
        <v>1632</v>
      </c>
      <c r="E1043" s="8" t="s">
        <v>1921</v>
      </c>
      <c r="F1043" s="8">
        <v>2.0</v>
      </c>
      <c r="G1043" s="8">
        <v>485.25</v>
      </c>
      <c r="H1043" s="8">
        <v>0.28</v>
      </c>
      <c r="I1043" s="8">
        <f t="shared" si="1"/>
        <v>970.5</v>
      </c>
      <c r="J1043" s="8">
        <f t="shared" si="2"/>
        <v>-271.46</v>
      </c>
      <c r="K1043" s="8" t="str">
        <f t="shared" si="3"/>
        <v>May</v>
      </c>
      <c r="L1043" s="8">
        <f t="shared" si="4"/>
        <v>2027</v>
      </c>
      <c r="N1043" s="8" t="str">
        <f t="array" ref="N1043">XLOOKUP(C1043,Customer_Dim!A:A,Customer_Dim!B:B,"Not Found")</f>
        <v>Kara Dodson</v>
      </c>
      <c r="O1043" s="8" t="str">
        <f t="array" ref="O1043">XLOOKUP(C1043,Customer_Dim!A:A,Customer_Dim!E:E,"Not Found")</f>
        <v>Joelside</v>
      </c>
      <c r="P1043" s="8" t="str">
        <f t="array" ref="P1043">XLOOKUP(D1043,Product_Dim!A:A,Product_Dim!B:B,"Not Found")</f>
        <v>Soccer Training Cone Set</v>
      </c>
      <c r="Q1043" s="8" t="str">
        <f t="array" ref="Q1043">XLOOKUP(D1043,Product_Dim!A:A,Product_Dim!C:C,"Not Found")</f>
        <v>Sports</v>
      </c>
      <c r="R1043" s="8" t="str">
        <f t="array" ref="R1043">XLOOKUP(E1043,Store_Dim!A:A,Store_Dim!B:B,"Not Found")</f>
        <v>West</v>
      </c>
      <c r="S1043" s="8" t="str">
        <f t="array" ref="S1043">XLOOKUP(E1043,Store_Dim!A:A,Store_Dim!D:D,"Not Found")</f>
        <v>Online</v>
      </c>
    </row>
    <row r="1044" ht="14.25" customHeight="1">
      <c r="A1044" s="8" t="s">
        <v>2997</v>
      </c>
      <c r="B1044" s="12">
        <v>46522.0</v>
      </c>
      <c r="C1044" s="8" t="s">
        <v>580</v>
      </c>
      <c r="D1044" s="8" t="s">
        <v>1815</v>
      </c>
      <c r="E1044" s="8" t="s">
        <v>1926</v>
      </c>
      <c r="F1044" s="8">
        <v>4.0</v>
      </c>
      <c r="G1044" s="8">
        <v>552.38</v>
      </c>
      <c r="H1044" s="8">
        <v>0.1</v>
      </c>
      <c r="I1044" s="8">
        <f t="shared" si="1"/>
        <v>2209.52</v>
      </c>
      <c r="J1044" s="8">
        <f t="shared" si="2"/>
        <v>-220.852</v>
      </c>
      <c r="K1044" s="8" t="str">
        <f t="shared" si="3"/>
        <v>May</v>
      </c>
      <c r="L1044" s="8">
        <f t="shared" si="4"/>
        <v>2027</v>
      </c>
      <c r="N1044" s="8" t="str">
        <f t="array" ref="N1044">XLOOKUP(C1044,Customer_Dim!A:A,Customer_Dim!B:B,"Not Found")</f>
        <v>Amy Wilson</v>
      </c>
      <c r="O1044" s="8" t="str">
        <f t="array" ref="O1044">XLOOKUP(C1044,Customer_Dim!A:A,Customer_Dim!E:E,"Not Found")</f>
        <v>Morrisburgh</v>
      </c>
      <c r="P1044" s="8" t="str">
        <f t="array" ref="P1044">XLOOKUP(D1044,Product_Dim!A:A,Product_Dim!B:B,"Not Found")</f>
        <v>Women's Ankle Boots</v>
      </c>
      <c r="Q1044" s="8" t="str">
        <f t="array" ref="Q1044">XLOOKUP(D1044,Product_Dim!A:A,Product_Dim!C:C,"Not Found")</f>
        <v>Clothing</v>
      </c>
      <c r="R1044" s="8" t="str">
        <f t="array" ref="R1044">XLOOKUP(E1044,Store_Dim!A:A,Store_Dim!B:B,"Not Found")</f>
        <v>East</v>
      </c>
      <c r="S1044" s="8" t="str">
        <f t="array" ref="S1044">XLOOKUP(E1044,Store_Dim!A:A,Store_Dim!D:D,"Not Found")</f>
        <v>Online</v>
      </c>
    </row>
    <row r="1045" ht="14.25" customHeight="1">
      <c r="A1045" s="8" t="s">
        <v>2998</v>
      </c>
      <c r="B1045" s="12">
        <v>46523.0</v>
      </c>
      <c r="C1045" s="8" t="s">
        <v>388</v>
      </c>
      <c r="D1045" s="8" t="s">
        <v>1763</v>
      </c>
      <c r="E1045" s="8" t="s">
        <v>1937</v>
      </c>
      <c r="F1045" s="8">
        <v>4.0</v>
      </c>
      <c r="G1045" s="8">
        <v>377.26</v>
      </c>
      <c r="H1045" s="8">
        <v>0.22</v>
      </c>
      <c r="I1045" s="8">
        <f t="shared" si="1"/>
        <v>1509.04</v>
      </c>
      <c r="J1045" s="8">
        <f t="shared" si="2"/>
        <v>-331.7688</v>
      </c>
      <c r="K1045" s="8" t="str">
        <f t="shared" si="3"/>
        <v>May</v>
      </c>
      <c r="L1045" s="8">
        <f t="shared" si="4"/>
        <v>2027</v>
      </c>
      <c r="N1045" s="8" t="str">
        <f t="array" ref="N1045">XLOOKUP(C1045,Customer_Dim!A:A,Customer_Dim!B:B,"Not Found")</f>
        <v>Erica Carney</v>
      </c>
      <c r="O1045" s="8" t="str">
        <f t="array" ref="O1045">XLOOKUP(C1045,Customer_Dim!A:A,Customer_Dim!E:E,"Not Found")</f>
        <v>North Justin</v>
      </c>
      <c r="P1045" s="8" t="str">
        <f t="array" ref="P1045">XLOOKUP(D1045,Product_Dim!A:A,Product_Dim!B:B,"Not Found")</f>
        <v>Womens Cotton Scarf</v>
      </c>
      <c r="Q1045" s="8" t="str">
        <f t="array" ref="Q1045">XLOOKUP(D1045,Product_Dim!A:A,Product_Dim!C:C,"Not Found")</f>
        <v>Clothing</v>
      </c>
      <c r="R1045" s="8" t="str">
        <f t="array" ref="R1045">XLOOKUP(E1045,Store_Dim!A:A,Store_Dim!B:B,"Not Found")</f>
        <v>North</v>
      </c>
      <c r="S1045" s="8" t="str">
        <f t="array" ref="S1045">XLOOKUP(E1045,Store_Dim!A:A,Store_Dim!D:D,"Not Found")</f>
        <v>Flagship</v>
      </c>
    </row>
    <row r="1046" ht="14.25" customHeight="1">
      <c r="A1046" s="8" t="s">
        <v>2999</v>
      </c>
      <c r="B1046" s="12">
        <v>46524.0</v>
      </c>
      <c r="C1046" s="8" t="s">
        <v>212</v>
      </c>
      <c r="D1046" s="8" t="s">
        <v>1728</v>
      </c>
      <c r="E1046" s="8" t="s">
        <v>1941</v>
      </c>
      <c r="F1046" s="8">
        <v>4.0</v>
      </c>
      <c r="G1046" s="8">
        <v>189.07</v>
      </c>
      <c r="H1046" s="8">
        <v>0.1</v>
      </c>
      <c r="I1046" s="8">
        <f t="shared" si="1"/>
        <v>756.28</v>
      </c>
      <c r="J1046" s="8">
        <f t="shared" si="2"/>
        <v>-75.528</v>
      </c>
      <c r="K1046" s="8" t="str">
        <f t="shared" si="3"/>
        <v>May</v>
      </c>
      <c r="L1046" s="8">
        <f t="shared" si="4"/>
        <v>2027</v>
      </c>
      <c r="N1046" s="8" t="str">
        <f t="array" ref="N1046">XLOOKUP(C1046,Customer_Dim!A:A,Customer_Dim!B:B,"Not Found")</f>
        <v>Sharon Brown</v>
      </c>
      <c r="O1046" s="8" t="str">
        <f t="array" ref="O1046">XLOOKUP(C1046,Customer_Dim!A:A,Customer_Dim!E:E,"Not Found")</f>
        <v>East Andrea</v>
      </c>
      <c r="P1046" s="8" t="str">
        <f t="array" ref="P1046">XLOOKUP(D1046,Product_Dim!A:A,Product_Dim!B:B,"Not Found")</f>
        <v>Makeup Brush Set</v>
      </c>
      <c r="Q1046" s="8" t="str">
        <f t="array" ref="Q1046">XLOOKUP(D1046,Product_Dim!A:A,Product_Dim!C:C,"Not Found")</f>
        <v>Beauty</v>
      </c>
      <c r="R1046" s="8" t="str">
        <f t="array" ref="R1046">XLOOKUP(E1046,Store_Dim!A:A,Store_Dim!B:B,"Not Found")</f>
        <v>East</v>
      </c>
      <c r="S1046" s="8" t="str">
        <f t="array" ref="S1046">XLOOKUP(E1046,Store_Dim!A:A,Store_Dim!D:D,"Not Found")</f>
        <v>Online</v>
      </c>
    </row>
    <row r="1047" ht="14.25" customHeight="1">
      <c r="A1047" s="8" t="s">
        <v>3000</v>
      </c>
      <c r="B1047" s="12">
        <v>46525.0</v>
      </c>
      <c r="C1047" s="8" t="s">
        <v>1549</v>
      </c>
      <c r="D1047" s="8" t="s">
        <v>1674</v>
      </c>
      <c r="E1047" s="8" t="s">
        <v>1912</v>
      </c>
      <c r="F1047" s="8">
        <v>3.0</v>
      </c>
      <c r="G1047" s="8">
        <v>272.27</v>
      </c>
      <c r="H1047" s="8">
        <v>0.01</v>
      </c>
      <c r="I1047" s="8">
        <f t="shared" si="1"/>
        <v>816.81</v>
      </c>
      <c r="J1047" s="8">
        <f t="shared" si="2"/>
        <v>-8.1581</v>
      </c>
      <c r="K1047" s="8" t="str">
        <f t="shared" si="3"/>
        <v>May</v>
      </c>
      <c r="L1047" s="8">
        <f t="shared" si="4"/>
        <v>2027</v>
      </c>
      <c r="N1047" s="8" t="str">
        <f t="array" ref="N1047">XLOOKUP(C1047,Customer_Dim!A:A,Customer_Dim!B:B,"Not Found")</f>
        <v>Philip Pennington</v>
      </c>
      <c r="O1047" s="8" t="str">
        <f t="array" ref="O1047">XLOOKUP(C1047,Customer_Dim!A:A,Customer_Dim!E:E,"Not Found")</f>
        <v>East Valerieview</v>
      </c>
      <c r="P1047" s="8" t="str">
        <f t="array" ref="P1047">XLOOKUP(D1047,Product_Dim!A:A,Product_Dim!B:B,"Not Found")</f>
        <v>Stainless Steel Cutlery Set</v>
      </c>
      <c r="Q1047" s="8" t="str">
        <f t="array" ref="Q1047">XLOOKUP(D1047,Product_Dim!A:A,Product_Dim!C:C,"Not Found")</f>
        <v>Home</v>
      </c>
      <c r="R1047" s="8" t="str">
        <f t="array" ref="R1047">XLOOKUP(E1047,Store_Dim!A:A,Store_Dim!B:B,"Not Found")</f>
        <v>South</v>
      </c>
      <c r="S1047" s="8" t="str">
        <f t="array" ref="S1047">XLOOKUP(E1047,Store_Dim!A:A,Store_Dim!D:D,"Not Found")</f>
        <v>Online</v>
      </c>
    </row>
    <row r="1048" ht="14.25" customHeight="1">
      <c r="A1048" s="8" t="s">
        <v>3001</v>
      </c>
      <c r="B1048" s="12">
        <v>46526.0</v>
      </c>
      <c r="C1048" s="8" t="s">
        <v>857</v>
      </c>
      <c r="D1048" s="8" t="s">
        <v>1866</v>
      </c>
      <c r="E1048" s="8" t="s">
        <v>1928</v>
      </c>
      <c r="F1048" s="8">
        <v>1.0</v>
      </c>
      <c r="G1048" s="8">
        <v>209.39</v>
      </c>
      <c r="H1048" s="8">
        <v>0.28</v>
      </c>
      <c r="I1048" s="8">
        <f t="shared" si="1"/>
        <v>209.39</v>
      </c>
      <c r="J1048" s="8">
        <f t="shared" si="2"/>
        <v>-58.3492</v>
      </c>
      <c r="K1048" s="8" t="str">
        <f t="shared" si="3"/>
        <v>May</v>
      </c>
      <c r="L1048" s="8">
        <f t="shared" si="4"/>
        <v>2027</v>
      </c>
      <c r="N1048" s="8" t="str">
        <f t="array" ref="N1048">XLOOKUP(C1048,Customer_Dim!A:A,Customer_Dim!B:B,"Not Found")</f>
        <v>Matthew Payne</v>
      </c>
      <c r="O1048" s="8" t="str">
        <f t="array" ref="O1048">XLOOKUP(C1048,Customer_Dim!A:A,Customer_Dim!E:E,"Not Found")</f>
        <v>Grahamfurt</v>
      </c>
      <c r="P1048" s="8" t="str">
        <f t="array" ref="P1048">XLOOKUP(D1048,Product_Dim!A:A,Product_Dim!B:B,"Not Found")</f>
        <v>Microwave Oven</v>
      </c>
      <c r="Q1048" s="8" t="str">
        <f t="array" ref="Q1048">XLOOKUP(D1048,Product_Dim!A:A,Product_Dim!C:C,"Not Found")</f>
        <v>Home</v>
      </c>
      <c r="R1048" s="8" t="str">
        <f t="array" ref="R1048">XLOOKUP(E1048,Store_Dim!A:A,Store_Dim!B:B,"Not Found")</f>
        <v>South</v>
      </c>
      <c r="S1048" s="8" t="str">
        <f t="array" ref="S1048">XLOOKUP(E1048,Store_Dim!A:A,Store_Dim!D:D,"Not Found")</f>
        <v>Online</v>
      </c>
    </row>
    <row r="1049" ht="14.25" customHeight="1">
      <c r="A1049" s="8" t="s">
        <v>3002</v>
      </c>
      <c r="B1049" s="12">
        <v>46527.0</v>
      </c>
      <c r="C1049" s="8" t="s">
        <v>212</v>
      </c>
      <c r="D1049" s="8" t="s">
        <v>1830</v>
      </c>
      <c r="E1049" s="8" t="s">
        <v>1924</v>
      </c>
      <c r="F1049" s="8">
        <v>1.0</v>
      </c>
      <c r="G1049" s="8">
        <v>813.87</v>
      </c>
      <c r="H1049" s="8">
        <v>0.23</v>
      </c>
      <c r="I1049" s="8">
        <f t="shared" si="1"/>
        <v>813.87</v>
      </c>
      <c r="J1049" s="8">
        <f t="shared" si="2"/>
        <v>-186.9601</v>
      </c>
      <c r="K1049" s="8" t="str">
        <f t="shared" si="3"/>
        <v>May</v>
      </c>
      <c r="L1049" s="8">
        <f t="shared" si="4"/>
        <v>2027</v>
      </c>
      <c r="N1049" s="8" t="str">
        <f t="array" ref="N1049">XLOOKUP(C1049,Customer_Dim!A:A,Customer_Dim!B:B,"Not Found")</f>
        <v>Sharon Brown</v>
      </c>
      <c r="O1049" s="8" t="str">
        <f t="array" ref="O1049">XLOOKUP(C1049,Customer_Dim!A:A,Customer_Dim!E:E,"Not Found")</f>
        <v>East Andrea</v>
      </c>
      <c r="P1049" s="8" t="str">
        <f t="array" ref="P1049">XLOOKUP(D1049,Product_Dim!A:A,Product_Dim!B:B,"Not Found")</f>
        <v>Wall-Mounted Spice Rack</v>
      </c>
      <c r="Q1049" s="8" t="str">
        <f t="array" ref="Q1049">XLOOKUP(D1049,Product_Dim!A:A,Product_Dim!C:C,"Not Found")</f>
        <v>Home</v>
      </c>
      <c r="R1049" s="8" t="str">
        <f t="array" ref="R1049">XLOOKUP(E1049,Store_Dim!A:A,Store_Dim!B:B,"Not Found")</f>
        <v>South</v>
      </c>
      <c r="S1049" s="8" t="str">
        <f t="array" ref="S1049">XLOOKUP(E1049,Store_Dim!A:A,Store_Dim!D:D,"Not Found")</f>
        <v>Flagship</v>
      </c>
    </row>
    <row r="1050" ht="14.25" customHeight="1">
      <c r="A1050" s="8" t="s">
        <v>3003</v>
      </c>
      <c r="B1050" s="12">
        <v>46528.0</v>
      </c>
      <c r="C1050" s="8" t="s">
        <v>836</v>
      </c>
      <c r="D1050" s="8" t="s">
        <v>1668</v>
      </c>
      <c r="E1050" s="8" t="s">
        <v>1899</v>
      </c>
      <c r="F1050" s="8">
        <v>1.0</v>
      </c>
      <c r="G1050" s="8">
        <v>143.7</v>
      </c>
      <c r="H1050" s="8">
        <v>0.19</v>
      </c>
      <c r="I1050" s="8">
        <f t="shared" si="1"/>
        <v>143.7</v>
      </c>
      <c r="J1050" s="8">
        <f t="shared" si="2"/>
        <v>-27.113</v>
      </c>
      <c r="K1050" s="8" t="str">
        <f t="shared" si="3"/>
        <v>May</v>
      </c>
      <c r="L1050" s="8">
        <f t="shared" si="4"/>
        <v>2027</v>
      </c>
      <c r="N1050" s="8" t="str">
        <f t="array" ref="N1050">XLOOKUP(C1050,Customer_Dim!A:A,Customer_Dim!B:B,"Not Found")</f>
        <v>Christopher David</v>
      </c>
      <c r="O1050" s="8" t="str">
        <f t="array" ref="O1050">XLOOKUP(C1050,Customer_Dim!A:A,Customer_Dim!E:E,"Not Found")</f>
        <v>Karenmouth</v>
      </c>
      <c r="P1050" s="8" t="str">
        <f t="array" ref="P1050">XLOOKUP(D1050,Product_Dim!A:A,Product_Dim!B:B,"Not Found")</f>
        <v>Sports Stopwatch Timer</v>
      </c>
      <c r="Q1050" s="8" t="str">
        <f t="array" ref="Q1050">XLOOKUP(D1050,Product_Dim!A:A,Product_Dim!C:C,"Not Found")</f>
        <v>Sports</v>
      </c>
      <c r="R1050" s="8" t="str">
        <f t="array" ref="R1050">XLOOKUP(E1050,Store_Dim!A:A,Store_Dim!B:B,"Not Found")</f>
        <v>East</v>
      </c>
      <c r="S1050" s="8" t="str">
        <f t="array" ref="S1050">XLOOKUP(E1050,Store_Dim!A:A,Store_Dim!D:D,"Not Found")</f>
        <v>Flagship</v>
      </c>
    </row>
    <row r="1051" ht="14.25" customHeight="1">
      <c r="A1051" s="8" t="s">
        <v>3004</v>
      </c>
      <c r="B1051" s="12">
        <v>46529.0</v>
      </c>
      <c r="C1051" s="8" t="s">
        <v>1465</v>
      </c>
      <c r="D1051" s="8" t="s">
        <v>1725</v>
      </c>
      <c r="E1051" s="8" t="s">
        <v>1903</v>
      </c>
      <c r="F1051" s="8">
        <v>4.0</v>
      </c>
      <c r="G1051" s="8">
        <v>837.34</v>
      </c>
      <c r="H1051" s="8">
        <v>0.05</v>
      </c>
      <c r="I1051" s="8">
        <f t="shared" si="1"/>
        <v>3349.36</v>
      </c>
      <c r="J1051" s="8">
        <f t="shared" si="2"/>
        <v>-167.418</v>
      </c>
      <c r="K1051" s="8" t="str">
        <f t="shared" si="3"/>
        <v>May</v>
      </c>
      <c r="L1051" s="8">
        <f t="shared" si="4"/>
        <v>2027</v>
      </c>
      <c r="N1051" s="8" t="str">
        <f t="array" ref="N1051">XLOOKUP(C1051,Customer_Dim!A:A,Customer_Dim!B:B,"Not Found")</f>
        <v>Manuel Fisher</v>
      </c>
      <c r="O1051" s="8" t="str">
        <f t="array" ref="O1051">XLOOKUP(C1051,Customer_Dim!A:A,Customer_Dim!E:E,"Not Found")</f>
        <v>Kanebury</v>
      </c>
      <c r="P1051" s="8" t="str">
        <f t="array" ref="P1051">XLOOKUP(D1051,Product_Dim!A:A,Product_Dim!B:B,"Not Found")</f>
        <v>Men's Winter Jacket</v>
      </c>
      <c r="Q1051" s="8" t="str">
        <f t="array" ref="Q1051">XLOOKUP(D1051,Product_Dim!A:A,Product_Dim!C:C,"Not Found")</f>
        <v>Clothing</v>
      </c>
      <c r="R1051" s="8" t="str">
        <f t="array" ref="R1051">XLOOKUP(E1051,Store_Dim!A:A,Store_Dim!B:B,"Not Found")</f>
        <v>North</v>
      </c>
      <c r="S1051" s="8" t="str">
        <f t="array" ref="S1051">XLOOKUP(E1051,Store_Dim!A:A,Store_Dim!D:D,"Not Found")</f>
        <v>Flagship</v>
      </c>
    </row>
    <row r="1052" ht="14.25" customHeight="1">
      <c r="A1052" s="8" t="s">
        <v>3005</v>
      </c>
      <c r="B1052" s="12">
        <v>46530.0</v>
      </c>
      <c r="C1052" s="8" t="s">
        <v>427</v>
      </c>
      <c r="D1052" s="8" t="s">
        <v>1624</v>
      </c>
      <c r="E1052" s="8" t="s">
        <v>1941</v>
      </c>
      <c r="F1052" s="8">
        <v>1.0</v>
      </c>
      <c r="G1052" s="8">
        <v>151.66</v>
      </c>
      <c r="H1052" s="8">
        <v>0.16</v>
      </c>
      <c r="I1052" s="8">
        <f t="shared" si="1"/>
        <v>151.66</v>
      </c>
      <c r="J1052" s="8">
        <f t="shared" si="2"/>
        <v>-24.1056</v>
      </c>
      <c r="K1052" s="8" t="str">
        <f t="shared" si="3"/>
        <v>May</v>
      </c>
      <c r="L1052" s="8">
        <f t="shared" si="4"/>
        <v>2027</v>
      </c>
      <c r="N1052" s="8" t="str">
        <f t="array" ref="N1052">XLOOKUP(C1052,Customer_Dim!A:A,Customer_Dim!B:B,"Not Found")</f>
        <v>Jacob Hopkins</v>
      </c>
      <c r="O1052" s="8" t="str">
        <f t="array" ref="O1052">XLOOKUP(C1052,Customer_Dim!A:A,Customer_Dim!E:E,"Not Found")</f>
        <v>lake tylerfort</v>
      </c>
      <c r="P1052" s="8" t="str">
        <f t="array" ref="P1052">XLOOKUP(D1052,Product_Dim!A:A,Product_Dim!B:B,"Not Found")</f>
        <v>4K Home Projector</v>
      </c>
      <c r="Q1052" s="8" t="str">
        <f t="array" ref="Q1052">XLOOKUP(D1052,Product_Dim!A:A,Product_Dim!C:C,"Not Found")</f>
        <v>Electronics</v>
      </c>
      <c r="R1052" s="8" t="str">
        <f t="array" ref="R1052">XLOOKUP(E1052,Store_Dim!A:A,Store_Dim!B:B,"Not Found")</f>
        <v>East</v>
      </c>
      <c r="S1052" s="8" t="str">
        <f t="array" ref="S1052">XLOOKUP(E1052,Store_Dim!A:A,Store_Dim!D:D,"Not Found")</f>
        <v>Online</v>
      </c>
    </row>
    <row r="1053" ht="14.25" customHeight="1">
      <c r="A1053" s="8" t="s">
        <v>3006</v>
      </c>
      <c r="B1053" s="12">
        <v>46531.0</v>
      </c>
      <c r="C1053" s="8" t="s">
        <v>1549</v>
      </c>
      <c r="D1053" s="8" t="s">
        <v>1719</v>
      </c>
      <c r="E1053" s="8" t="s">
        <v>1921</v>
      </c>
      <c r="F1053" s="8">
        <v>3.0</v>
      </c>
      <c r="G1053" s="8">
        <v>961.4</v>
      </c>
      <c r="H1053" s="8">
        <v>0.02</v>
      </c>
      <c r="I1053" s="8">
        <f t="shared" si="1"/>
        <v>2884.2</v>
      </c>
      <c r="J1053" s="8">
        <f t="shared" si="2"/>
        <v>-57.664</v>
      </c>
      <c r="K1053" s="8" t="str">
        <f t="shared" si="3"/>
        <v>May</v>
      </c>
      <c r="L1053" s="8">
        <f t="shared" si="4"/>
        <v>2027</v>
      </c>
      <c r="N1053" s="8" t="str">
        <f t="array" ref="N1053">XLOOKUP(C1053,Customer_Dim!A:A,Customer_Dim!B:B,"Not Found")</f>
        <v>Philip Pennington</v>
      </c>
      <c r="O1053" s="8" t="str">
        <f t="array" ref="O1053">XLOOKUP(C1053,Customer_Dim!A:A,Customer_Dim!E:E,"Not Found")</f>
        <v>East Valerieview</v>
      </c>
      <c r="P1053" s="8" t="str">
        <f t="array" ref="P1053">XLOOKUP(D1053,Product_Dim!A:A,Product_Dim!B:B,"Not Found")</f>
        <v>Adjustable Jump Rope</v>
      </c>
      <c r="Q1053" s="8" t="str">
        <f t="array" ref="Q1053">XLOOKUP(D1053,Product_Dim!A:A,Product_Dim!C:C,"Not Found")</f>
        <v>Sports</v>
      </c>
      <c r="R1053" s="8" t="str">
        <f t="array" ref="R1053">XLOOKUP(E1053,Store_Dim!A:A,Store_Dim!B:B,"Not Found")</f>
        <v>West</v>
      </c>
      <c r="S1053" s="8" t="str">
        <f t="array" ref="S1053">XLOOKUP(E1053,Store_Dim!A:A,Store_Dim!D:D,"Not Found")</f>
        <v>Online</v>
      </c>
    </row>
    <row r="1054" ht="14.25" customHeight="1">
      <c r="A1054" s="8" t="s">
        <v>3007</v>
      </c>
      <c r="B1054" s="12">
        <v>46532.0</v>
      </c>
      <c r="C1054" s="8" t="s">
        <v>1173</v>
      </c>
      <c r="D1054" s="8" t="s">
        <v>1812</v>
      </c>
      <c r="E1054" s="8" t="s">
        <v>1939</v>
      </c>
      <c r="F1054" s="8">
        <v>4.0</v>
      </c>
      <c r="G1054" s="8">
        <v>475.98</v>
      </c>
      <c r="H1054" s="8">
        <v>0.19</v>
      </c>
      <c r="I1054" s="8">
        <f t="shared" si="1"/>
        <v>1903.92</v>
      </c>
      <c r="J1054" s="8">
        <f t="shared" si="2"/>
        <v>-361.5548</v>
      </c>
      <c r="K1054" s="8" t="str">
        <f t="shared" si="3"/>
        <v>May</v>
      </c>
      <c r="L1054" s="8">
        <f t="shared" si="4"/>
        <v>2027</v>
      </c>
      <c r="N1054" s="8" t="str">
        <f t="array" ref="N1054">XLOOKUP(C1054,Customer_Dim!A:A,Customer_Dim!B:B,"Not Found")</f>
        <v>James Holloway Jr.</v>
      </c>
      <c r="O1054" s="8" t="str">
        <f t="array" ref="O1054">XLOOKUP(C1054,Customer_Dim!A:A,Customer_Dim!E:E,"Not Found")</f>
        <v>Millston</v>
      </c>
      <c r="P1054" s="8" t="str">
        <f t="array" ref="P1054">XLOOKUP(D1054,Product_Dim!A:A,Product_Dim!B:B,"Not Found")</f>
        <v>Bluetooth Car Audio System</v>
      </c>
      <c r="Q1054" s="8" t="str">
        <f t="array" ref="Q1054">XLOOKUP(D1054,Product_Dim!A:A,Product_Dim!C:C,"Not Found")</f>
        <v>Electronics</v>
      </c>
      <c r="R1054" s="8" t="str">
        <f t="array" ref="R1054">XLOOKUP(E1054,Store_Dim!A:A,Store_Dim!B:B,"Not Found")</f>
        <v>East</v>
      </c>
      <c r="S1054" s="8" t="str">
        <f t="array" ref="S1054">XLOOKUP(E1054,Store_Dim!A:A,Store_Dim!D:D,"Not Found")</f>
        <v>Flagship</v>
      </c>
    </row>
    <row r="1055" ht="14.25" customHeight="1">
      <c r="A1055" s="8" t="s">
        <v>3008</v>
      </c>
      <c r="B1055" s="12">
        <v>46533.0</v>
      </c>
      <c r="C1055" s="8" t="s">
        <v>1203</v>
      </c>
      <c r="D1055" s="8" t="s">
        <v>1700</v>
      </c>
      <c r="E1055" s="8" t="s">
        <v>1933</v>
      </c>
      <c r="F1055" s="8">
        <v>4.0</v>
      </c>
      <c r="G1055" s="8">
        <v>132.89</v>
      </c>
      <c r="H1055" s="8">
        <v>0.12</v>
      </c>
      <c r="I1055" s="8">
        <f t="shared" si="1"/>
        <v>531.56</v>
      </c>
      <c r="J1055" s="8">
        <f t="shared" si="2"/>
        <v>-63.6672</v>
      </c>
      <c r="K1055" s="8" t="str">
        <f t="shared" si="3"/>
        <v>May</v>
      </c>
      <c r="L1055" s="8">
        <f t="shared" si="4"/>
        <v>2027</v>
      </c>
      <c r="N1055" s="8" t="str">
        <f t="array" ref="N1055">XLOOKUP(C1055,Customer_Dim!A:A,Customer_Dim!B:B,"Not Found")</f>
        <v>Shelley Ponce</v>
      </c>
      <c r="O1055" s="8" t="str">
        <f t="array" ref="O1055">XLOOKUP(C1055,Customer_Dim!A:A,Customer_Dim!E:E,"Not Found")</f>
        <v>South Cassandrachester</v>
      </c>
      <c r="P1055" s="8" t="str">
        <f t="array" ref="P1055">XLOOKUP(D1055,Product_Dim!A:A,Product_Dim!B:B,"Not Found")</f>
        <v>Sports Water Hydration Pack</v>
      </c>
      <c r="Q1055" s="8" t="str">
        <f t="array" ref="Q1055">XLOOKUP(D1055,Product_Dim!A:A,Product_Dim!C:C,"Not Found")</f>
        <v>Sports</v>
      </c>
      <c r="R1055" s="8" t="str">
        <f t="array" ref="R1055">XLOOKUP(E1055,Store_Dim!A:A,Store_Dim!B:B,"Not Found")</f>
        <v>North</v>
      </c>
      <c r="S1055" s="8" t="str">
        <f t="array" ref="S1055">XLOOKUP(E1055,Store_Dim!A:A,Store_Dim!D:D,"Not Found")</f>
        <v>Flagship</v>
      </c>
    </row>
    <row r="1056" ht="14.25" customHeight="1">
      <c r="A1056" s="8" t="s">
        <v>3009</v>
      </c>
      <c r="B1056" s="12">
        <v>46534.0</v>
      </c>
      <c r="C1056" s="8" t="s">
        <v>1371</v>
      </c>
      <c r="D1056" s="8" t="s">
        <v>1690</v>
      </c>
      <c r="E1056" s="8" t="s">
        <v>1929</v>
      </c>
      <c r="F1056" s="8">
        <v>3.0</v>
      </c>
      <c r="G1056" s="8">
        <v>471.31</v>
      </c>
      <c r="H1056" s="8">
        <v>0.0</v>
      </c>
      <c r="I1056" s="8">
        <f t="shared" si="1"/>
        <v>1413.93</v>
      </c>
      <c r="J1056" s="8">
        <f t="shared" si="2"/>
        <v>0</v>
      </c>
      <c r="K1056" s="8" t="str">
        <f t="shared" si="3"/>
        <v>May</v>
      </c>
      <c r="L1056" s="8">
        <f t="shared" si="4"/>
        <v>2027</v>
      </c>
      <c r="N1056" s="8" t="str">
        <f t="array" ref="N1056">XLOOKUP(C1056,Customer_Dim!A:A,Customer_Dim!B:B,"Not Found")</f>
        <v>Melinda Rivera</v>
      </c>
      <c r="O1056" s="8" t="str">
        <f t="array" ref="O1056">XLOOKUP(C1056,Customer_Dim!A:A,Customer_Dim!E:E,"Not Found")</f>
        <v>East Davidmouth</v>
      </c>
      <c r="P1056" s="8" t="str">
        <f t="array" ref="P1056">XLOOKUP(D1056,Product_Dim!A:A,Product_Dim!B:B,"Not Found")</f>
        <v>Bedroom Table Lamp</v>
      </c>
      <c r="Q1056" s="8" t="str">
        <f t="array" ref="Q1056">XLOOKUP(D1056,Product_Dim!A:A,Product_Dim!C:C,"Not Found")</f>
        <v>Home</v>
      </c>
      <c r="R1056" s="8" t="str">
        <f t="array" ref="R1056">XLOOKUP(E1056,Store_Dim!A:A,Store_Dim!B:B,"Not Found")</f>
        <v>North</v>
      </c>
      <c r="S1056" s="8" t="str">
        <f t="array" ref="S1056">XLOOKUP(E1056,Store_Dim!A:A,Store_Dim!D:D,"Not Found")</f>
        <v>Online</v>
      </c>
    </row>
    <row r="1057" ht="14.25" customHeight="1">
      <c r="A1057" s="8" t="s">
        <v>3010</v>
      </c>
      <c r="B1057" s="12">
        <v>46535.0</v>
      </c>
      <c r="C1057" s="8" t="s">
        <v>1447</v>
      </c>
      <c r="D1057" s="8" t="s">
        <v>1818</v>
      </c>
      <c r="E1057" s="8" t="s">
        <v>1932</v>
      </c>
      <c r="F1057" s="8">
        <v>2.0</v>
      </c>
      <c r="G1057" s="8">
        <v>720.32</v>
      </c>
      <c r="H1057" s="8">
        <v>0.26</v>
      </c>
      <c r="I1057" s="8">
        <f t="shared" si="1"/>
        <v>1440.64</v>
      </c>
      <c r="J1057" s="8">
        <f t="shared" si="2"/>
        <v>-374.3064</v>
      </c>
      <c r="K1057" s="8" t="str">
        <f t="shared" si="3"/>
        <v>May</v>
      </c>
      <c r="L1057" s="8">
        <f t="shared" si="4"/>
        <v>2027</v>
      </c>
      <c r="N1057" s="8" t="str">
        <f t="array" ref="N1057">XLOOKUP(C1057,Customer_Dim!A:A,Customer_Dim!B:B,"Not Found")</f>
        <v>David Pierce</v>
      </c>
      <c r="O1057" s="8" t="str">
        <f t="array" ref="O1057">XLOOKUP(C1057,Customer_Dim!A:A,Customer_Dim!E:E,"Not Found")</f>
        <v>Grayland</v>
      </c>
      <c r="P1057" s="8" t="str">
        <f t="array" ref="P1057">XLOOKUP(D1057,Product_Dim!A:A,Product_Dim!B:B,"Not Found")</f>
        <v>Wireless Mouse</v>
      </c>
      <c r="Q1057" s="8" t="str">
        <f t="array" ref="Q1057">XLOOKUP(D1057,Product_Dim!A:A,Product_Dim!C:C,"Not Found")</f>
        <v>Electronics</v>
      </c>
      <c r="R1057" s="8" t="str">
        <f t="array" ref="R1057">XLOOKUP(E1057,Store_Dim!A:A,Store_Dim!B:B,"Not Found")</f>
        <v>South</v>
      </c>
      <c r="S1057" s="8" t="str">
        <f t="array" ref="S1057">XLOOKUP(E1057,Store_Dim!A:A,Store_Dim!D:D,"Not Found")</f>
        <v>Outlet</v>
      </c>
    </row>
    <row r="1058" ht="14.25" customHeight="1">
      <c r="A1058" s="8" t="s">
        <v>3011</v>
      </c>
      <c r="B1058" s="12">
        <v>46536.0</v>
      </c>
      <c r="C1058" s="8" t="s">
        <v>285</v>
      </c>
      <c r="D1058" s="8" t="s">
        <v>1787</v>
      </c>
      <c r="E1058" s="8" t="s">
        <v>1939</v>
      </c>
      <c r="F1058" s="8">
        <v>4.0</v>
      </c>
      <c r="G1058" s="8">
        <v>99.92</v>
      </c>
      <c r="H1058" s="8">
        <v>0.11</v>
      </c>
      <c r="I1058" s="8">
        <f t="shared" si="1"/>
        <v>399.68</v>
      </c>
      <c r="J1058" s="8">
        <f t="shared" si="2"/>
        <v>-43.8548</v>
      </c>
      <c r="K1058" s="8" t="str">
        <f t="shared" si="3"/>
        <v>May</v>
      </c>
      <c r="L1058" s="8">
        <f t="shared" si="4"/>
        <v>2027</v>
      </c>
      <c r="N1058" s="8" t="str">
        <f t="array" ref="N1058">XLOOKUP(C1058,Customer_Dim!A:A,Customer_Dim!B:B,"Not Found")</f>
        <v>Rhonda Morales</v>
      </c>
      <c r="O1058" s="8" t="str">
        <f t="array" ref="O1058">XLOOKUP(C1058,Customer_Dim!A:A,Customer_Dim!E:E,"Not Found")</f>
        <v>Lake Barryfurt</v>
      </c>
      <c r="P1058" s="8" t="str">
        <f t="array" ref="P1058">XLOOKUP(D1058,Product_Dim!A:A,Product_Dim!B:B,"Not Found")</f>
        <v>Women's Hair Dryer Brush</v>
      </c>
      <c r="Q1058" s="8" t="str">
        <f t="array" ref="Q1058">XLOOKUP(D1058,Product_Dim!A:A,Product_Dim!C:C,"Not Found")</f>
        <v>Beauty</v>
      </c>
      <c r="R1058" s="8" t="str">
        <f t="array" ref="R1058">XLOOKUP(E1058,Store_Dim!A:A,Store_Dim!B:B,"Not Found")</f>
        <v>East</v>
      </c>
      <c r="S1058" s="8" t="str">
        <f t="array" ref="S1058">XLOOKUP(E1058,Store_Dim!A:A,Store_Dim!D:D,"Not Found")</f>
        <v>Flagship</v>
      </c>
    </row>
    <row r="1059" ht="14.25" customHeight="1">
      <c r="A1059" s="8" t="s">
        <v>3012</v>
      </c>
      <c r="B1059" s="12">
        <v>46537.0</v>
      </c>
      <c r="C1059" s="8" t="s">
        <v>257</v>
      </c>
      <c r="D1059" s="8" t="s">
        <v>1606</v>
      </c>
      <c r="E1059" s="8" t="s">
        <v>1910</v>
      </c>
      <c r="F1059" s="8">
        <v>3.0</v>
      </c>
      <c r="G1059" s="8">
        <v>900.63</v>
      </c>
      <c r="H1059" s="8">
        <v>0.11</v>
      </c>
      <c r="I1059" s="8">
        <f t="shared" si="1"/>
        <v>2701.89</v>
      </c>
      <c r="J1059" s="8">
        <f t="shared" si="2"/>
        <v>-297.0979</v>
      </c>
      <c r="K1059" s="8" t="str">
        <f t="shared" si="3"/>
        <v>May</v>
      </c>
      <c r="L1059" s="8">
        <f t="shared" si="4"/>
        <v>2027</v>
      </c>
      <c r="N1059" s="8" t="str">
        <f t="array" ref="N1059">XLOOKUP(C1059,Customer_Dim!A:A,Customer_Dim!B:B,"Not Found")</f>
        <v>Amber Mcclain</v>
      </c>
      <c r="O1059" s="8" t="str">
        <f t="array" ref="O1059">XLOOKUP(C1059,Customer_Dim!A:A,Customer_Dim!E:E,"Not Found")</f>
        <v>Brendaburgh</v>
      </c>
      <c r="P1059" s="8" t="str">
        <f t="array" ref="P1059">XLOOKUP(D1059,Product_Dim!A:A,Product_Dim!B:B,"Not Found")</f>
        <v>Ceramic Kitchen Bowl Set</v>
      </c>
      <c r="Q1059" s="8" t="str">
        <f t="array" ref="Q1059">XLOOKUP(D1059,Product_Dim!A:A,Product_Dim!C:C,"Not Found")</f>
        <v>Home</v>
      </c>
      <c r="R1059" s="8" t="str">
        <f t="array" ref="R1059">XLOOKUP(E1059,Store_Dim!A:A,Store_Dim!B:B,"Not Found")</f>
        <v>North</v>
      </c>
      <c r="S1059" s="8" t="str">
        <f t="array" ref="S1059">XLOOKUP(E1059,Store_Dim!A:A,Store_Dim!D:D,"Not Found")</f>
        <v>Outlet</v>
      </c>
    </row>
    <row r="1060" ht="14.25" customHeight="1">
      <c r="A1060" s="8" t="s">
        <v>3013</v>
      </c>
      <c r="B1060" s="12">
        <v>46538.0</v>
      </c>
      <c r="C1060" s="8" t="s">
        <v>1384</v>
      </c>
      <c r="D1060" s="8" t="s">
        <v>1725</v>
      </c>
      <c r="E1060" s="8" t="s">
        <v>1921</v>
      </c>
      <c r="F1060" s="8">
        <v>1.0</v>
      </c>
      <c r="G1060" s="8">
        <v>681.72</v>
      </c>
      <c r="H1060" s="8">
        <v>0.11</v>
      </c>
      <c r="I1060" s="8">
        <f t="shared" si="1"/>
        <v>681.72</v>
      </c>
      <c r="J1060" s="8">
        <f t="shared" si="2"/>
        <v>-74.8792</v>
      </c>
      <c r="K1060" s="8" t="str">
        <f t="shared" si="3"/>
        <v>May</v>
      </c>
      <c r="L1060" s="8">
        <f t="shared" si="4"/>
        <v>2027</v>
      </c>
      <c r="N1060" s="8" t="str">
        <f t="array" ref="N1060">XLOOKUP(C1060,Customer_Dim!A:A,Customer_Dim!B:B,"Not Found")</f>
        <v>Kelli Smith</v>
      </c>
      <c r="O1060" s="8" t="str">
        <f t="array" ref="O1060">XLOOKUP(C1060,Customer_Dim!A:A,Customer_Dim!E:E,"Not Found")</f>
        <v>North Maryfort</v>
      </c>
      <c r="P1060" s="8" t="str">
        <f t="array" ref="P1060">XLOOKUP(D1060,Product_Dim!A:A,Product_Dim!B:B,"Not Found")</f>
        <v>Men's Winter Jacket</v>
      </c>
      <c r="Q1060" s="8" t="str">
        <f t="array" ref="Q1060">XLOOKUP(D1060,Product_Dim!A:A,Product_Dim!C:C,"Not Found")</f>
        <v>Clothing</v>
      </c>
      <c r="R1060" s="8" t="str">
        <f t="array" ref="R1060">XLOOKUP(E1060,Store_Dim!A:A,Store_Dim!B:B,"Not Found")</f>
        <v>West</v>
      </c>
      <c r="S1060" s="8" t="str">
        <f t="array" ref="S1060">XLOOKUP(E1060,Store_Dim!A:A,Store_Dim!D:D,"Not Found")</f>
        <v>Online</v>
      </c>
    </row>
    <row r="1061" ht="14.25" customHeight="1">
      <c r="A1061" s="8" t="s">
        <v>3014</v>
      </c>
      <c r="B1061" s="12">
        <v>46539.0</v>
      </c>
      <c r="C1061" s="8" t="s">
        <v>57</v>
      </c>
      <c r="D1061" s="8" t="s">
        <v>1824</v>
      </c>
      <c r="E1061" s="8" t="s">
        <v>1931</v>
      </c>
      <c r="F1061" s="8">
        <v>2.0</v>
      </c>
      <c r="G1061" s="8">
        <v>838.22</v>
      </c>
      <c r="H1061" s="8">
        <v>0.3</v>
      </c>
      <c r="I1061" s="8">
        <f t="shared" si="1"/>
        <v>1676.44</v>
      </c>
      <c r="J1061" s="8">
        <f t="shared" si="2"/>
        <v>-502.632</v>
      </c>
      <c r="K1061" s="8" t="str">
        <f t="shared" si="3"/>
        <v>Jun</v>
      </c>
      <c r="L1061" s="8">
        <f t="shared" si="4"/>
        <v>2027</v>
      </c>
      <c r="N1061" s="8" t="str">
        <f t="array" ref="N1061">XLOOKUP(C1061,Customer_Dim!A:A,Customer_Dim!B:B,"Not Found")</f>
        <v>Ms. Maria Leach</v>
      </c>
      <c r="O1061" s="8" t="str">
        <f t="array" ref="O1061">XLOOKUP(C1061,Customer_Dim!A:A,Customer_Dim!E:E,"Not Found")</f>
        <v>Melissashire</v>
      </c>
      <c r="P1061" s="8" t="str">
        <f t="array" ref="P1061">XLOOKUP(D1061,Product_Dim!A:A,Product_Dim!B:B,"Not Found")</f>
        <v>Essential Oil Diffuser</v>
      </c>
      <c r="Q1061" s="8" t="str">
        <f t="array" ref="Q1061">XLOOKUP(D1061,Product_Dim!A:A,Product_Dim!C:C,"Not Found")</f>
        <v>Home</v>
      </c>
      <c r="R1061" s="8" t="str">
        <f t="array" ref="R1061">XLOOKUP(E1061,Store_Dim!A:A,Store_Dim!B:B,"Not Found")</f>
        <v>East</v>
      </c>
      <c r="S1061" s="8" t="str">
        <f t="array" ref="S1061">XLOOKUP(E1061,Store_Dim!A:A,Store_Dim!D:D,"Not Found")</f>
        <v>Flagship</v>
      </c>
    </row>
    <row r="1062" ht="14.25" customHeight="1">
      <c r="A1062" s="8" t="s">
        <v>3015</v>
      </c>
      <c r="B1062" s="12">
        <v>46540.0</v>
      </c>
      <c r="C1062" s="8" t="s">
        <v>649</v>
      </c>
      <c r="D1062" s="8" t="s">
        <v>1851</v>
      </c>
      <c r="E1062" s="8" t="s">
        <v>1929</v>
      </c>
      <c r="F1062" s="8">
        <v>2.0</v>
      </c>
      <c r="G1062" s="8">
        <v>816.22</v>
      </c>
      <c r="H1062" s="8">
        <v>0.27</v>
      </c>
      <c r="I1062" s="8">
        <f t="shared" si="1"/>
        <v>1632.44</v>
      </c>
      <c r="J1062" s="8">
        <f t="shared" si="2"/>
        <v>-440.4888</v>
      </c>
      <c r="K1062" s="8" t="str">
        <f t="shared" si="3"/>
        <v>Jun</v>
      </c>
      <c r="L1062" s="8">
        <f t="shared" si="4"/>
        <v>2027</v>
      </c>
      <c r="N1062" s="8" t="str">
        <f t="array" ref="N1062">XLOOKUP(C1062,Customer_Dim!A:A,Customer_Dim!B:B,"Not Found")</f>
        <v>Ashley Ferguson</v>
      </c>
      <c r="O1062" s="8" t="str">
        <f t="array" ref="O1062">XLOOKUP(C1062,Customer_Dim!A:A,Customer_Dim!E:E,"Not Found")</f>
        <v>Sarahmouth</v>
      </c>
      <c r="P1062" s="8" t="str">
        <f t="array" ref="P1062">XLOOKUP(D1062,Product_Dim!A:A,Product_Dim!B:B,"Not Found")</f>
        <v>LED Bedside Lamp</v>
      </c>
      <c r="Q1062" s="8" t="str">
        <f t="array" ref="Q1062">XLOOKUP(D1062,Product_Dim!A:A,Product_Dim!C:C,"Not Found")</f>
        <v>Home</v>
      </c>
      <c r="R1062" s="8" t="str">
        <f t="array" ref="R1062">XLOOKUP(E1062,Store_Dim!A:A,Store_Dim!B:B,"Not Found")</f>
        <v>North</v>
      </c>
      <c r="S1062" s="8" t="str">
        <f t="array" ref="S1062">XLOOKUP(E1062,Store_Dim!A:A,Store_Dim!D:D,"Not Found")</f>
        <v>Online</v>
      </c>
    </row>
    <row r="1063" ht="14.25" customHeight="1">
      <c r="A1063" s="8" t="s">
        <v>3016</v>
      </c>
      <c r="B1063" s="12">
        <v>46541.0</v>
      </c>
      <c r="C1063" s="8" t="s">
        <v>1203</v>
      </c>
      <c r="D1063" s="8" t="s">
        <v>1772</v>
      </c>
      <c r="E1063" s="8" t="s">
        <v>1919</v>
      </c>
      <c r="F1063" s="8">
        <v>2.0</v>
      </c>
      <c r="G1063" s="8">
        <v>654.12</v>
      </c>
      <c r="H1063" s="8">
        <v>0.27</v>
      </c>
      <c r="I1063" s="8">
        <f t="shared" si="1"/>
        <v>1308.24</v>
      </c>
      <c r="J1063" s="8">
        <f t="shared" si="2"/>
        <v>-352.9548</v>
      </c>
      <c r="K1063" s="8" t="str">
        <f t="shared" si="3"/>
        <v>Jun</v>
      </c>
      <c r="L1063" s="8">
        <f t="shared" si="4"/>
        <v>2027</v>
      </c>
      <c r="N1063" s="8" t="str">
        <f t="array" ref="N1063">XLOOKUP(C1063,Customer_Dim!A:A,Customer_Dim!B:B,"Not Found")</f>
        <v>Shelley Ponce</v>
      </c>
      <c r="O1063" s="8" t="str">
        <f t="array" ref="O1063">XLOOKUP(C1063,Customer_Dim!A:A,Customer_Dim!E:E,"Not Found")</f>
        <v>South Cassandrachester</v>
      </c>
      <c r="P1063" s="8" t="str">
        <f t="array" ref="P1063">XLOOKUP(D1063,Product_Dim!A:A,Product_Dim!B:B,"Not Found")</f>
        <v>Tennis Ball 3-Pack</v>
      </c>
      <c r="Q1063" s="8" t="str">
        <f t="array" ref="Q1063">XLOOKUP(D1063,Product_Dim!A:A,Product_Dim!C:C,"Not Found")</f>
        <v>Sports</v>
      </c>
      <c r="R1063" s="8" t="str">
        <f t="array" ref="R1063">XLOOKUP(E1063,Store_Dim!A:A,Store_Dim!B:B,"Not Found")</f>
        <v>South</v>
      </c>
      <c r="S1063" s="8" t="str">
        <f t="array" ref="S1063">XLOOKUP(E1063,Store_Dim!A:A,Store_Dim!D:D,"Not Found")</f>
        <v>Online</v>
      </c>
    </row>
    <row r="1064" ht="14.25" customHeight="1">
      <c r="A1064" s="8" t="s">
        <v>3017</v>
      </c>
      <c r="B1064" s="12">
        <v>46542.0</v>
      </c>
      <c r="C1064" s="8" t="s">
        <v>382</v>
      </c>
      <c r="D1064" s="8" t="s">
        <v>1809</v>
      </c>
      <c r="E1064" s="8" t="s">
        <v>1931</v>
      </c>
      <c r="F1064" s="8">
        <v>4.0</v>
      </c>
      <c r="G1064" s="8">
        <v>528.22</v>
      </c>
      <c r="H1064" s="8">
        <v>0.2</v>
      </c>
      <c r="I1064" s="8">
        <f t="shared" si="1"/>
        <v>2112.88</v>
      </c>
      <c r="J1064" s="8">
        <f t="shared" si="2"/>
        <v>-422.376</v>
      </c>
      <c r="K1064" s="8" t="str">
        <f t="shared" si="3"/>
        <v>Jun</v>
      </c>
      <c r="L1064" s="8">
        <f t="shared" si="4"/>
        <v>2027</v>
      </c>
      <c r="N1064" s="8" t="str">
        <f t="array" ref="N1064">XLOOKUP(C1064,Customer_Dim!A:A,Customer_Dim!B:B,"Not Found")</f>
        <v>Lance Baker</v>
      </c>
      <c r="O1064" s="8" t="str">
        <f t="array" ref="O1064">XLOOKUP(C1064,Customer_Dim!A:A,Customer_Dim!E:E,"Not Found")</f>
        <v>Port Victoria</v>
      </c>
      <c r="P1064" s="8" t="str">
        <f t="array" ref="P1064">XLOOKUP(D1064,Product_Dim!A:A,Product_Dim!B:B,"Not Found")</f>
        <v>Shin Guards – Adult</v>
      </c>
      <c r="Q1064" s="8" t="str">
        <f t="array" ref="Q1064">XLOOKUP(D1064,Product_Dim!A:A,Product_Dim!C:C,"Not Found")</f>
        <v>Sports</v>
      </c>
      <c r="R1064" s="8" t="str">
        <f t="array" ref="R1064">XLOOKUP(E1064,Store_Dim!A:A,Store_Dim!B:B,"Not Found")</f>
        <v>East</v>
      </c>
      <c r="S1064" s="8" t="str">
        <f t="array" ref="S1064">XLOOKUP(E1064,Store_Dim!A:A,Store_Dim!D:D,"Not Found")</f>
        <v>Flagship</v>
      </c>
    </row>
    <row r="1065" ht="14.25" customHeight="1">
      <c r="A1065" s="8" t="s">
        <v>3018</v>
      </c>
      <c r="B1065" s="12">
        <v>46543.0</v>
      </c>
      <c r="C1065" s="8" t="s">
        <v>730</v>
      </c>
      <c r="D1065" s="8" t="s">
        <v>1687</v>
      </c>
      <c r="E1065" s="8" t="s">
        <v>1919</v>
      </c>
      <c r="F1065" s="8">
        <v>4.0</v>
      </c>
      <c r="G1065" s="8">
        <v>36.72</v>
      </c>
      <c r="H1065" s="8">
        <v>0.07</v>
      </c>
      <c r="I1065" s="8">
        <f t="shared" si="1"/>
        <v>146.88</v>
      </c>
      <c r="J1065" s="8">
        <f t="shared" si="2"/>
        <v>-10.2116</v>
      </c>
      <c r="K1065" s="8" t="str">
        <f t="shared" si="3"/>
        <v>Jun</v>
      </c>
      <c r="L1065" s="8">
        <f t="shared" si="4"/>
        <v>2027</v>
      </c>
      <c r="N1065" s="8" t="str">
        <f t="array" ref="N1065">XLOOKUP(C1065,Customer_Dim!A:A,Customer_Dim!B:B,"Not Found")</f>
        <v>Lisa Young</v>
      </c>
      <c r="O1065" s="8" t="str">
        <f t="array" ref="O1065">XLOOKUP(C1065,Customer_Dim!A:A,Customer_Dim!E:E,"Not Found")</f>
        <v>Maybury</v>
      </c>
      <c r="P1065" s="8" t="str">
        <f t="array" ref="P1065">XLOOKUP(D1065,Product_Dim!A:A,Product_Dim!B:B,"Not Found")</f>
        <v>Gaming Mechanical Keyboard</v>
      </c>
      <c r="Q1065" s="8" t="str">
        <f t="array" ref="Q1065">XLOOKUP(D1065,Product_Dim!A:A,Product_Dim!C:C,"Not Found")</f>
        <v>Electronics</v>
      </c>
      <c r="R1065" s="8" t="str">
        <f t="array" ref="R1065">XLOOKUP(E1065,Store_Dim!A:A,Store_Dim!B:B,"Not Found")</f>
        <v>South</v>
      </c>
      <c r="S1065" s="8" t="str">
        <f t="array" ref="S1065">XLOOKUP(E1065,Store_Dim!A:A,Store_Dim!D:D,"Not Found")</f>
        <v>Online</v>
      </c>
    </row>
    <row r="1066" ht="14.25" customHeight="1">
      <c r="A1066" s="8" t="s">
        <v>3019</v>
      </c>
      <c r="B1066" s="12">
        <v>46544.0</v>
      </c>
      <c r="C1066" s="8" t="s">
        <v>1173</v>
      </c>
      <c r="D1066" s="8" t="s">
        <v>1824</v>
      </c>
      <c r="E1066" s="8" t="s">
        <v>1941</v>
      </c>
      <c r="F1066" s="8">
        <v>2.0</v>
      </c>
      <c r="G1066" s="8">
        <v>705.97</v>
      </c>
      <c r="H1066" s="8">
        <v>0.1</v>
      </c>
      <c r="I1066" s="8">
        <f t="shared" si="1"/>
        <v>1411.94</v>
      </c>
      <c r="J1066" s="8">
        <f t="shared" si="2"/>
        <v>-141.094</v>
      </c>
      <c r="K1066" s="8" t="str">
        <f t="shared" si="3"/>
        <v>Jun</v>
      </c>
      <c r="L1066" s="8">
        <f t="shared" si="4"/>
        <v>2027</v>
      </c>
      <c r="N1066" s="8" t="str">
        <f t="array" ref="N1066">XLOOKUP(C1066,Customer_Dim!A:A,Customer_Dim!B:B,"Not Found")</f>
        <v>James Holloway Jr.</v>
      </c>
      <c r="O1066" s="8" t="str">
        <f t="array" ref="O1066">XLOOKUP(C1066,Customer_Dim!A:A,Customer_Dim!E:E,"Not Found")</f>
        <v>Millston</v>
      </c>
      <c r="P1066" s="8" t="str">
        <f t="array" ref="P1066">XLOOKUP(D1066,Product_Dim!A:A,Product_Dim!B:B,"Not Found")</f>
        <v>Essential Oil Diffuser</v>
      </c>
      <c r="Q1066" s="8" t="str">
        <f t="array" ref="Q1066">XLOOKUP(D1066,Product_Dim!A:A,Product_Dim!C:C,"Not Found")</f>
        <v>Home</v>
      </c>
      <c r="R1066" s="8" t="str">
        <f t="array" ref="R1066">XLOOKUP(E1066,Store_Dim!A:A,Store_Dim!B:B,"Not Found")</f>
        <v>East</v>
      </c>
      <c r="S1066" s="8" t="str">
        <f t="array" ref="S1066">XLOOKUP(E1066,Store_Dim!A:A,Store_Dim!D:D,"Not Found")</f>
        <v>Online</v>
      </c>
    </row>
    <row r="1067" ht="14.25" customHeight="1">
      <c r="A1067" s="8" t="s">
        <v>3020</v>
      </c>
      <c r="B1067" s="12">
        <v>46545.0</v>
      </c>
      <c r="C1067" s="8" t="s">
        <v>110</v>
      </c>
      <c r="D1067" s="8" t="s">
        <v>1707</v>
      </c>
      <c r="E1067" s="8" t="s">
        <v>1903</v>
      </c>
      <c r="F1067" s="8">
        <v>2.0</v>
      </c>
      <c r="G1067" s="8">
        <v>994.29</v>
      </c>
      <c r="H1067" s="8">
        <v>0.01</v>
      </c>
      <c r="I1067" s="8">
        <f t="shared" si="1"/>
        <v>1988.58</v>
      </c>
      <c r="J1067" s="8">
        <f t="shared" si="2"/>
        <v>-19.8758</v>
      </c>
      <c r="K1067" s="8" t="str">
        <f t="shared" si="3"/>
        <v>Jun</v>
      </c>
      <c r="L1067" s="8">
        <f t="shared" si="4"/>
        <v>2027</v>
      </c>
      <c r="N1067" s="8" t="str">
        <f t="array" ref="N1067">XLOOKUP(C1067,Customer_Dim!A:A,Customer_Dim!B:B,"Not Found")</f>
        <v>Jonathan Steele</v>
      </c>
      <c r="O1067" s="8" t="str">
        <f t="array" ref="O1067">XLOOKUP(C1067,Customer_Dim!A:A,Customer_Dim!E:E,"Not Found")</f>
        <v>Molinabury</v>
      </c>
      <c r="P1067" s="8" t="str">
        <f t="array" ref="P1067">XLOOKUP(D1067,Product_Dim!A:A,Product_Dim!B:B,"Not Found")</f>
        <v>Noise-Canceling Headphones</v>
      </c>
      <c r="Q1067" s="8" t="str">
        <f t="array" ref="Q1067">XLOOKUP(D1067,Product_Dim!A:A,Product_Dim!C:C,"Not Found")</f>
        <v>Electronics</v>
      </c>
      <c r="R1067" s="8" t="str">
        <f t="array" ref="R1067">XLOOKUP(E1067,Store_Dim!A:A,Store_Dim!B:B,"Not Found")</f>
        <v>North</v>
      </c>
      <c r="S1067" s="8" t="str">
        <f t="array" ref="S1067">XLOOKUP(E1067,Store_Dim!A:A,Store_Dim!D:D,"Not Found")</f>
        <v>Flagship</v>
      </c>
    </row>
    <row r="1068" ht="14.25" customHeight="1">
      <c r="A1068" s="8" t="s">
        <v>3021</v>
      </c>
      <c r="B1068" s="12">
        <v>46546.0</v>
      </c>
      <c r="C1068" s="8" t="s">
        <v>1323</v>
      </c>
      <c r="D1068" s="8" t="s">
        <v>1866</v>
      </c>
      <c r="E1068" s="8" t="s">
        <v>1939</v>
      </c>
      <c r="F1068" s="8">
        <v>1.0</v>
      </c>
      <c r="G1068" s="8">
        <v>909.04</v>
      </c>
      <c r="H1068" s="8">
        <v>0.11</v>
      </c>
      <c r="I1068" s="8">
        <f t="shared" si="1"/>
        <v>909.04</v>
      </c>
      <c r="J1068" s="8">
        <f t="shared" si="2"/>
        <v>-99.8844</v>
      </c>
      <c r="K1068" s="8" t="str">
        <f t="shared" si="3"/>
        <v>Jun</v>
      </c>
      <c r="L1068" s="8">
        <f t="shared" si="4"/>
        <v>2027</v>
      </c>
      <c r="N1068" s="8" t="str">
        <f t="array" ref="N1068">XLOOKUP(C1068,Customer_Dim!A:A,Customer_Dim!B:B,"Not Found")</f>
        <v>Holly Robinson</v>
      </c>
      <c r="O1068" s="8" t="str">
        <f t="array" ref="O1068">XLOOKUP(C1068,Customer_Dim!A:A,Customer_Dim!E:E,"Not Found")</f>
        <v>East Amy</v>
      </c>
      <c r="P1068" s="8" t="str">
        <f t="array" ref="P1068">XLOOKUP(D1068,Product_Dim!A:A,Product_Dim!B:B,"Not Found")</f>
        <v>Microwave Oven</v>
      </c>
      <c r="Q1068" s="8" t="str">
        <f t="array" ref="Q1068">XLOOKUP(D1068,Product_Dim!A:A,Product_Dim!C:C,"Not Found")</f>
        <v>Home</v>
      </c>
      <c r="R1068" s="8" t="str">
        <f t="array" ref="R1068">XLOOKUP(E1068,Store_Dim!A:A,Store_Dim!B:B,"Not Found")</f>
        <v>East</v>
      </c>
      <c r="S1068" s="8" t="str">
        <f t="array" ref="S1068">XLOOKUP(E1068,Store_Dim!A:A,Store_Dim!D:D,"Not Found")</f>
        <v>Flagship</v>
      </c>
    </row>
    <row r="1069" ht="14.25" customHeight="1">
      <c r="A1069" s="8" t="s">
        <v>3022</v>
      </c>
      <c r="B1069" s="12">
        <v>46547.0</v>
      </c>
      <c r="C1069" s="8" t="s">
        <v>1110</v>
      </c>
      <c r="D1069" s="8" t="s">
        <v>1687</v>
      </c>
      <c r="E1069" s="8" t="s">
        <v>1928</v>
      </c>
      <c r="F1069" s="8">
        <v>1.0</v>
      </c>
      <c r="G1069" s="8">
        <v>164.73</v>
      </c>
      <c r="H1069" s="8">
        <v>0.12</v>
      </c>
      <c r="I1069" s="8">
        <f t="shared" si="1"/>
        <v>164.73</v>
      </c>
      <c r="J1069" s="8">
        <f t="shared" si="2"/>
        <v>-19.6476</v>
      </c>
      <c r="K1069" s="8" t="str">
        <f t="shared" si="3"/>
        <v>Jun</v>
      </c>
      <c r="L1069" s="8">
        <f t="shared" si="4"/>
        <v>2027</v>
      </c>
      <c r="N1069" s="8" t="str">
        <f t="array" ref="N1069">XLOOKUP(C1069,Customer_Dim!A:A,Customer_Dim!B:B,"Not Found")</f>
        <v>Heather Valenzuela</v>
      </c>
      <c r="O1069" s="8" t="str">
        <f t="array" ref="O1069">XLOOKUP(C1069,Customer_Dim!A:A,Customer_Dim!E:E,"Not Found")</f>
        <v>New Angiefurt</v>
      </c>
      <c r="P1069" s="8" t="str">
        <f t="array" ref="P1069">XLOOKUP(D1069,Product_Dim!A:A,Product_Dim!B:B,"Not Found")</f>
        <v>Gaming Mechanical Keyboard</v>
      </c>
      <c r="Q1069" s="8" t="str">
        <f t="array" ref="Q1069">XLOOKUP(D1069,Product_Dim!A:A,Product_Dim!C:C,"Not Found")</f>
        <v>Electronics</v>
      </c>
      <c r="R1069" s="8" t="str">
        <f t="array" ref="R1069">XLOOKUP(E1069,Store_Dim!A:A,Store_Dim!B:B,"Not Found")</f>
        <v>South</v>
      </c>
      <c r="S1069" s="8" t="str">
        <f t="array" ref="S1069">XLOOKUP(E1069,Store_Dim!A:A,Store_Dim!D:D,"Not Found")</f>
        <v>Online</v>
      </c>
    </row>
    <row r="1070" ht="14.25" customHeight="1">
      <c r="A1070" s="8" t="s">
        <v>3023</v>
      </c>
      <c r="B1070" s="12">
        <v>46548.0</v>
      </c>
      <c r="C1070" s="8" t="s">
        <v>240</v>
      </c>
      <c r="D1070" s="8" t="s">
        <v>1696</v>
      </c>
      <c r="E1070" s="8" t="s">
        <v>1919</v>
      </c>
      <c r="F1070" s="8">
        <v>2.0</v>
      </c>
      <c r="G1070" s="8">
        <v>606.35</v>
      </c>
      <c r="H1070" s="8">
        <v>0.16</v>
      </c>
      <c r="I1070" s="8">
        <f t="shared" si="1"/>
        <v>1212.7</v>
      </c>
      <c r="J1070" s="8">
        <f t="shared" si="2"/>
        <v>-193.872</v>
      </c>
      <c r="K1070" s="8" t="str">
        <f t="shared" si="3"/>
        <v>Jun</v>
      </c>
      <c r="L1070" s="8">
        <f t="shared" si="4"/>
        <v>2027</v>
      </c>
      <c r="N1070" s="8" t="str">
        <f t="array" ref="N1070">XLOOKUP(C1070,Customer_Dim!A:A,Customer_Dim!B:B,"Not Found")</f>
        <v>James Bean</v>
      </c>
      <c r="O1070" s="8" t="str">
        <f t="array" ref="O1070">XLOOKUP(C1070,Customer_Dim!A:A,Customer_Dim!E:E,"Not Found")</f>
        <v>Stevensonton</v>
      </c>
      <c r="P1070" s="8" t="str">
        <f t="array" ref="P1070">XLOOKUP(D1070,Product_Dim!A:A,Product_Dim!B:B,"Not Found")</f>
        <v>Men's Casual Sneakers</v>
      </c>
      <c r="Q1070" s="8" t="str">
        <f t="array" ref="Q1070">XLOOKUP(D1070,Product_Dim!A:A,Product_Dim!C:C,"Not Found")</f>
        <v>Clothing</v>
      </c>
      <c r="R1070" s="8" t="str">
        <f t="array" ref="R1070">XLOOKUP(E1070,Store_Dim!A:A,Store_Dim!B:B,"Not Found")</f>
        <v>South</v>
      </c>
      <c r="S1070" s="8" t="str">
        <f t="array" ref="S1070">XLOOKUP(E1070,Store_Dim!A:A,Store_Dim!D:D,"Not Found")</f>
        <v>Online</v>
      </c>
    </row>
    <row r="1071" ht="14.25" customHeight="1">
      <c r="A1071" s="8" t="s">
        <v>3024</v>
      </c>
      <c r="B1071" s="12">
        <v>46549.0</v>
      </c>
      <c r="C1071" s="8" t="s">
        <v>556</v>
      </c>
      <c r="D1071" s="8" t="s">
        <v>1884</v>
      </c>
      <c r="E1071" s="8" t="s">
        <v>1912</v>
      </c>
      <c r="F1071" s="8">
        <v>3.0</v>
      </c>
      <c r="G1071" s="8">
        <v>904.19</v>
      </c>
      <c r="H1071" s="8">
        <v>0.09</v>
      </c>
      <c r="I1071" s="8">
        <f t="shared" si="1"/>
        <v>2712.57</v>
      </c>
      <c r="J1071" s="8">
        <f t="shared" si="2"/>
        <v>-244.0413</v>
      </c>
      <c r="K1071" s="8" t="str">
        <f t="shared" si="3"/>
        <v>Jun</v>
      </c>
      <c r="L1071" s="8">
        <f t="shared" si="4"/>
        <v>2027</v>
      </c>
      <c r="N1071" s="8" t="str">
        <f t="array" ref="N1071">XLOOKUP(C1071,Customer_Dim!A:A,Customer_Dim!B:B,"Not Found")</f>
        <v>Joseph Jones</v>
      </c>
      <c r="O1071" s="8" t="str">
        <f t="array" ref="O1071">XLOOKUP(C1071,Customer_Dim!A:A,Customer_Dim!E:E,"Not Found")</f>
        <v>North Matthew</v>
      </c>
      <c r="P1071" s="8" t="str">
        <f t="array" ref="P1071">XLOOKUP(D1071,Product_Dim!A:A,Product_Dim!B:B,"Not Found")</f>
        <v>Portable Bluetooth Speaker</v>
      </c>
      <c r="Q1071" s="8" t="str">
        <f t="array" ref="Q1071">XLOOKUP(D1071,Product_Dim!A:A,Product_Dim!C:C,"Not Found")</f>
        <v>Electronics</v>
      </c>
      <c r="R1071" s="8" t="str">
        <f t="array" ref="R1071">XLOOKUP(E1071,Store_Dim!A:A,Store_Dim!B:B,"Not Found")</f>
        <v>South</v>
      </c>
      <c r="S1071" s="8" t="str">
        <f t="array" ref="S1071">XLOOKUP(E1071,Store_Dim!A:A,Store_Dim!D:D,"Not Found")</f>
        <v>Online</v>
      </c>
    </row>
    <row r="1072" ht="14.25" customHeight="1">
      <c r="A1072" s="8" t="s">
        <v>3025</v>
      </c>
      <c r="B1072" s="12">
        <v>46550.0</v>
      </c>
      <c r="C1072" s="8" t="s">
        <v>520</v>
      </c>
      <c r="D1072" s="8" t="s">
        <v>1739</v>
      </c>
      <c r="E1072" s="8" t="s">
        <v>1906</v>
      </c>
      <c r="F1072" s="8">
        <v>4.0</v>
      </c>
      <c r="G1072" s="8">
        <v>694.61</v>
      </c>
      <c r="H1072" s="8">
        <v>0.18</v>
      </c>
      <c r="I1072" s="8">
        <f t="shared" si="1"/>
        <v>2778.44</v>
      </c>
      <c r="J1072" s="8">
        <f t="shared" si="2"/>
        <v>-499.9392</v>
      </c>
      <c r="K1072" s="8" t="str">
        <f t="shared" si="3"/>
        <v>Jun</v>
      </c>
      <c r="L1072" s="8">
        <f t="shared" si="4"/>
        <v>2027</v>
      </c>
      <c r="N1072" s="8" t="str">
        <f t="array" ref="N1072">XLOOKUP(C1072,Customer_Dim!A:A,Customer_Dim!B:B,"Not Found")</f>
        <v>Michael Davies</v>
      </c>
      <c r="O1072" s="8" t="str">
        <f t="array" ref="O1072">XLOOKUP(C1072,Customer_Dim!A:A,Customer_Dim!E:E,"Not Found")</f>
        <v>Lake Stevenfort</v>
      </c>
      <c r="P1072" s="8" t="str">
        <f t="array" ref="P1072">XLOOKUP(D1072,Product_Dim!A:A,Product_Dim!B:B,"Not Found")</f>
        <v>Boxing Hand Wraps</v>
      </c>
      <c r="Q1072" s="8" t="str">
        <f t="array" ref="Q1072">XLOOKUP(D1072,Product_Dim!A:A,Product_Dim!C:C,"Not Found")</f>
        <v>Sports</v>
      </c>
      <c r="R1072" s="8" t="str">
        <f t="array" ref="R1072">XLOOKUP(E1072,Store_Dim!A:A,Store_Dim!B:B,"Not Found")</f>
        <v>South</v>
      </c>
      <c r="S1072" s="8" t="str">
        <f t="array" ref="S1072">XLOOKUP(E1072,Store_Dim!A:A,Store_Dim!D:D,"Not Found")</f>
        <v>Outlet</v>
      </c>
    </row>
    <row r="1073" ht="14.25" customHeight="1">
      <c r="A1073" s="8" t="s">
        <v>3026</v>
      </c>
      <c r="B1073" s="12">
        <v>46551.0</v>
      </c>
      <c r="C1073" s="8" t="s">
        <v>742</v>
      </c>
      <c r="D1073" s="8" t="s">
        <v>1857</v>
      </c>
      <c r="E1073" s="8" t="s">
        <v>1906</v>
      </c>
      <c r="F1073" s="8">
        <v>4.0</v>
      </c>
      <c r="G1073" s="8">
        <v>753.83</v>
      </c>
      <c r="H1073" s="8">
        <v>0.24</v>
      </c>
      <c r="I1073" s="8">
        <f t="shared" si="1"/>
        <v>3015.32</v>
      </c>
      <c r="J1073" s="8">
        <f t="shared" si="2"/>
        <v>-723.4368</v>
      </c>
      <c r="K1073" s="8" t="str">
        <f t="shared" si="3"/>
        <v>Jun</v>
      </c>
      <c r="L1073" s="8">
        <f t="shared" si="4"/>
        <v>2027</v>
      </c>
      <c r="N1073" s="8" t="str">
        <f t="array" ref="N1073">XLOOKUP(C1073,Customer_Dim!A:A,Customer_Dim!B:B,"Not Found")</f>
        <v>Elizabeth Stanley</v>
      </c>
      <c r="O1073" s="8" t="str">
        <f t="array" ref="O1073">XLOOKUP(C1073,Customer_Dim!A:A,Customer_Dim!E:E,"Not Found")</f>
        <v>Bethanyton</v>
      </c>
      <c r="P1073" s="8" t="str">
        <f t="array" ref="P1073">XLOOKUP(D1073,Product_Dim!A:A,Product_Dim!B:B,"Not Found")</f>
        <v>Face Foundation Kit</v>
      </c>
      <c r="Q1073" s="8" t="str">
        <f t="array" ref="Q1073">XLOOKUP(D1073,Product_Dim!A:A,Product_Dim!C:C,"Not Found")</f>
        <v>Beauty</v>
      </c>
      <c r="R1073" s="8" t="str">
        <f t="array" ref="R1073">XLOOKUP(E1073,Store_Dim!A:A,Store_Dim!B:B,"Not Found")</f>
        <v>South</v>
      </c>
      <c r="S1073" s="8" t="str">
        <f t="array" ref="S1073">XLOOKUP(E1073,Store_Dim!A:A,Store_Dim!D:D,"Not Found")</f>
        <v>Outlet</v>
      </c>
    </row>
    <row r="1074" ht="14.25" customHeight="1">
      <c r="A1074" s="8" t="s">
        <v>3027</v>
      </c>
      <c r="B1074" s="12">
        <v>46552.0</v>
      </c>
      <c r="C1074" s="8" t="s">
        <v>658</v>
      </c>
      <c r="D1074" s="8" t="s">
        <v>1645</v>
      </c>
      <c r="E1074" s="8" t="s">
        <v>1921</v>
      </c>
      <c r="F1074" s="8">
        <v>1.0</v>
      </c>
      <c r="G1074" s="8">
        <v>66.22</v>
      </c>
      <c r="H1074" s="8">
        <v>0.02</v>
      </c>
      <c r="I1074" s="8">
        <f t="shared" si="1"/>
        <v>66.22</v>
      </c>
      <c r="J1074" s="8">
        <f t="shared" si="2"/>
        <v>-1.3044</v>
      </c>
      <c r="K1074" s="8" t="str">
        <f t="shared" si="3"/>
        <v>Jun</v>
      </c>
      <c r="L1074" s="8">
        <f t="shared" si="4"/>
        <v>2027</v>
      </c>
      <c r="N1074" s="8" t="str">
        <f t="array" ref="N1074">XLOOKUP(C1074,Customer_Dim!A:A,Customer_Dim!B:B,"Not Found")</f>
        <v>Andrea Jacobs</v>
      </c>
      <c r="O1074" s="8" t="str">
        <f t="array" ref="O1074">XLOOKUP(C1074,Customer_Dim!A:A,Customer_Dim!E:E,"Not Found")</f>
        <v>Christopherland</v>
      </c>
      <c r="P1074" s="8" t="str">
        <f t="array" ref="P1074">XLOOKUP(D1074,Product_Dim!A:A,Product_Dim!B:B,"Not Found")</f>
        <v>Multi-Purpose Storage Box</v>
      </c>
      <c r="Q1074" s="8" t="str">
        <f t="array" ref="Q1074">XLOOKUP(D1074,Product_Dim!A:A,Product_Dim!C:C,"Not Found")</f>
        <v>Home</v>
      </c>
      <c r="R1074" s="8" t="str">
        <f t="array" ref="R1074">XLOOKUP(E1074,Store_Dim!A:A,Store_Dim!B:B,"Not Found")</f>
        <v>West</v>
      </c>
      <c r="S1074" s="8" t="str">
        <f t="array" ref="S1074">XLOOKUP(E1074,Store_Dim!A:A,Store_Dim!D:D,"Not Found")</f>
        <v>Online</v>
      </c>
    </row>
    <row r="1075" ht="14.25" customHeight="1">
      <c r="A1075" s="8" t="s">
        <v>3028</v>
      </c>
      <c r="B1075" s="12">
        <v>46553.0</v>
      </c>
      <c r="C1075" s="8" t="s">
        <v>1074</v>
      </c>
      <c r="D1075" s="8" t="s">
        <v>1781</v>
      </c>
      <c r="E1075" s="8" t="s">
        <v>1932</v>
      </c>
      <c r="F1075" s="8">
        <v>2.0</v>
      </c>
      <c r="G1075" s="8">
        <v>891.8</v>
      </c>
      <c r="H1075" s="8">
        <v>0.29</v>
      </c>
      <c r="I1075" s="8">
        <f t="shared" si="1"/>
        <v>1783.6</v>
      </c>
      <c r="J1075" s="8">
        <f t="shared" si="2"/>
        <v>-516.954</v>
      </c>
      <c r="K1075" s="8" t="str">
        <f t="shared" si="3"/>
        <v>Jun</v>
      </c>
      <c r="L1075" s="8">
        <f t="shared" si="4"/>
        <v>2027</v>
      </c>
      <c r="N1075" s="8" t="str">
        <f t="array" ref="N1075">XLOOKUP(C1075,Customer_Dim!A:A,Customer_Dim!B:B,"Not Found")</f>
        <v>Carol Lewis</v>
      </c>
      <c r="O1075" s="8" t="str">
        <f t="array" ref="O1075">XLOOKUP(C1075,Customer_Dim!A:A,Customer_Dim!E:E,"Not Found")</f>
        <v>Ryanport</v>
      </c>
      <c r="P1075" s="8" t="str">
        <f t="array" ref="P1075">XLOOKUP(D1075,Product_Dim!A:A,Product_Dim!B:B,"Not Found")</f>
        <v>Matte Lipstick Set</v>
      </c>
      <c r="Q1075" s="8" t="str">
        <f t="array" ref="Q1075">XLOOKUP(D1075,Product_Dim!A:A,Product_Dim!C:C,"Not Found")</f>
        <v>Beauty</v>
      </c>
      <c r="R1075" s="8" t="str">
        <f t="array" ref="R1075">XLOOKUP(E1075,Store_Dim!A:A,Store_Dim!B:B,"Not Found")</f>
        <v>South</v>
      </c>
      <c r="S1075" s="8" t="str">
        <f t="array" ref="S1075">XLOOKUP(E1075,Store_Dim!A:A,Store_Dim!D:D,"Not Found")</f>
        <v>Outlet</v>
      </c>
    </row>
    <row r="1076" ht="14.25" customHeight="1">
      <c r="A1076" s="8" t="s">
        <v>3029</v>
      </c>
      <c r="B1076" s="12">
        <v>46554.0</v>
      </c>
      <c r="C1076" s="8" t="s">
        <v>1152</v>
      </c>
      <c r="D1076" s="8" t="s">
        <v>1815</v>
      </c>
      <c r="E1076" s="8" t="s">
        <v>1924</v>
      </c>
      <c r="F1076" s="8">
        <v>4.0</v>
      </c>
      <c r="G1076" s="8">
        <v>255.48</v>
      </c>
      <c r="H1076" s="8">
        <v>0.03</v>
      </c>
      <c r="I1076" s="8">
        <f t="shared" si="1"/>
        <v>1021.92</v>
      </c>
      <c r="J1076" s="8">
        <f t="shared" si="2"/>
        <v>-30.6276</v>
      </c>
      <c r="K1076" s="8" t="str">
        <f t="shared" si="3"/>
        <v>Jun</v>
      </c>
      <c r="L1076" s="8">
        <f t="shared" si="4"/>
        <v>2027</v>
      </c>
      <c r="N1076" s="8" t="str">
        <f t="array" ref="N1076">XLOOKUP(C1076,Customer_Dim!A:A,Customer_Dim!B:B,"Not Found")</f>
        <v>Elizabeth Smith</v>
      </c>
      <c r="O1076" s="8" t="str">
        <f t="array" ref="O1076">XLOOKUP(C1076,Customer_Dim!A:A,Customer_Dim!E:E,"Not Found")</f>
        <v>Murphytown</v>
      </c>
      <c r="P1076" s="8" t="str">
        <f t="array" ref="P1076">XLOOKUP(D1076,Product_Dim!A:A,Product_Dim!B:B,"Not Found")</f>
        <v>Women's Ankle Boots</v>
      </c>
      <c r="Q1076" s="8" t="str">
        <f t="array" ref="Q1076">XLOOKUP(D1076,Product_Dim!A:A,Product_Dim!C:C,"Not Found")</f>
        <v>Clothing</v>
      </c>
      <c r="R1076" s="8" t="str">
        <f t="array" ref="R1076">XLOOKUP(E1076,Store_Dim!A:A,Store_Dim!B:B,"Not Found")</f>
        <v>South</v>
      </c>
      <c r="S1076" s="8" t="str">
        <f t="array" ref="S1076">XLOOKUP(E1076,Store_Dim!A:A,Store_Dim!D:D,"Not Found")</f>
        <v>Flagship</v>
      </c>
    </row>
    <row r="1077" ht="14.25" customHeight="1">
      <c r="A1077" s="8" t="s">
        <v>3030</v>
      </c>
      <c r="B1077" s="12">
        <v>46555.0</v>
      </c>
      <c r="C1077" s="8" t="s">
        <v>966</v>
      </c>
      <c r="D1077" s="8" t="s">
        <v>1842</v>
      </c>
      <c r="E1077" s="8" t="s">
        <v>1937</v>
      </c>
      <c r="F1077" s="8">
        <v>4.0</v>
      </c>
      <c r="G1077" s="8">
        <v>604.87</v>
      </c>
      <c r="H1077" s="8">
        <v>0.28</v>
      </c>
      <c r="I1077" s="8">
        <f t="shared" si="1"/>
        <v>2419.48</v>
      </c>
      <c r="J1077" s="8">
        <f t="shared" si="2"/>
        <v>-677.1744</v>
      </c>
      <c r="K1077" s="8" t="str">
        <f t="shared" si="3"/>
        <v>Jun</v>
      </c>
      <c r="L1077" s="8">
        <f t="shared" si="4"/>
        <v>2027</v>
      </c>
      <c r="N1077" s="8" t="str">
        <f t="array" ref="N1077">XLOOKUP(C1077,Customer_Dim!A:A,Customer_Dim!B:B,"Not Found")</f>
        <v>Ryan Kane</v>
      </c>
      <c r="O1077" s="8" t="str">
        <f t="array" ref="O1077">XLOOKUP(C1077,Customer_Dim!A:A,Customer_Dim!E:E,"Not Found")</f>
        <v>West Bruceburgh</v>
      </c>
      <c r="P1077" s="8" t="str">
        <f t="array" ref="P1077">XLOOKUP(D1077,Product_Dim!A:A,Product_Dim!B:B,"Not Found")</f>
        <v>Wooden Bookshelf</v>
      </c>
      <c r="Q1077" s="8" t="str">
        <f t="array" ref="Q1077">XLOOKUP(D1077,Product_Dim!A:A,Product_Dim!C:C,"Not Found")</f>
        <v>Home</v>
      </c>
      <c r="R1077" s="8" t="str">
        <f t="array" ref="R1077">XLOOKUP(E1077,Store_Dim!A:A,Store_Dim!B:B,"Not Found")</f>
        <v>North</v>
      </c>
      <c r="S1077" s="8" t="str">
        <f t="array" ref="S1077">XLOOKUP(E1077,Store_Dim!A:A,Store_Dim!D:D,"Not Found")</f>
        <v>Flagship</v>
      </c>
    </row>
    <row r="1078" ht="14.25" customHeight="1">
      <c r="A1078" s="8" t="s">
        <v>3031</v>
      </c>
      <c r="B1078" s="12">
        <v>46556.0</v>
      </c>
      <c r="C1078" s="8" t="s">
        <v>185</v>
      </c>
      <c r="D1078" s="8" t="s">
        <v>1684</v>
      </c>
      <c r="E1078" s="8" t="s">
        <v>1937</v>
      </c>
      <c r="F1078" s="8">
        <v>3.0</v>
      </c>
      <c r="G1078" s="8">
        <v>623.82</v>
      </c>
      <c r="H1078" s="8">
        <v>0.13</v>
      </c>
      <c r="I1078" s="8">
        <f t="shared" si="1"/>
        <v>1871.46</v>
      </c>
      <c r="J1078" s="8">
        <f t="shared" si="2"/>
        <v>-243.1598</v>
      </c>
      <c r="K1078" s="8" t="str">
        <f t="shared" si="3"/>
        <v>Jun</v>
      </c>
      <c r="L1078" s="8">
        <f t="shared" si="4"/>
        <v>2027</v>
      </c>
      <c r="N1078" s="8" t="str">
        <f t="array" ref="N1078">XLOOKUP(C1078,Customer_Dim!A:A,Customer_Dim!B:B,"Not Found")</f>
        <v>Jordan Jackson DDS</v>
      </c>
      <c r="O1078" s="8" t="str">
        <f t="array" ref="O1078">XLOOKUP(C1078,Customer_Dim!A:A,Customer_Dim!E:E,"Not Found")</f>
        <v>North Johnview</v>
      </c>
      <c r="P1078" s="8" t="str">
        <f t="array" ref="P1078">XLOOKUP(D1078,Product_Dim!A:A,Product_Dim!B:B,"Not Found")</f>
        <v>Modern Wall Clock</v>
      </c>
      <c r="Q1078" s="8" t="str">
        <f t="array" ref="Q1078">XLOOKUP(D1078,Product_Dim!A:A,Product_Dim!C:C,"Not Found")</f>
        <v>Home</v>
      </c>
      <c r="R1078" s="8" t="str">
        <f t="array" ref="R1078">XLOOKUP(E1078,Store_Dim!A:A,Store_Dim!B:B,"Not Found")</f>
        <v>North</v>
      </c>
      <c r="S1078" s="8" t="str">
        <f t="array" ref="S1078">XLOOKUP(E1078,Store_Dim!A:A,Store_Dim!D:D,"Not Found")</f>
        <v>Flagship</v>
      </c>
    </row>
    <row r="1079" ht="14.25" customHeight="1">
      <c r="A1079" s="8" t="s">
        <v>3032</v>
      </c>
      <c r="B1079" s="12">
        <v>46557.0</v>
      </c>
      <c r="C1079" s="8" t="s">
        <v>482</v>
      </c>
      <c r="D1079" s="8" t="s">
        <v>1803</v>
      </c>
      <c r="E1079" s="8" t="s">
        <v>1935</v>
      </c>
      <c r="F1079" s="8">
        <v>3.0</v>
      </c>
      <c r="G1079" s="8">
        <v>575.24</v>
      </c>
      <c r="H1079" s="8">
        <v>0.12</v>
      </c>
      <c r="I1079" s="8">
        <f t="shared" si="1"/>
        <v>1725.72</v>
      </c>
      <c r="J1079" s="8">
        <f t="shared" si="2"/>
        <v>-206.9664</v>
      </c>
      <c r="K1079" s="8" t="str">
        <f t="shared" si="3"/>
        <v>Jun</v>
      </c>
      <c r="L1079" s="8">
        <f t="shared" si="4"/>
        <v>2027</v>
      </c>
      <c r="N1079" s="8" t="str">
        <f t="array" ref="N1079">XLOOKUP(C1079,Customer_Dim!A:A,Customer_Dim!B:B,"Not Found")</f>
        <v>Sean Roth</v>
      </c>
      <c r="O1079" s="8" t="str">
        <f t="array" ref="O1079">XLOOKUP(C1079,Customer_Dim!A:A,Customer_Dim!E:E,"Not Found")</f>
        <v>Lake Michael</v>
      </c>
      <c r="P1079" s="8" t="str">
        <f t="array" ref="P1079">XLOOKUP(D1079,Product_Dim!A:A,Product_Dim!B:B,"Not Found")</f>
        <v>Hair Repair Oil Treatment</v>
      </c>
      <c r="Q1079" s="8" t="str">
        <f t="array" ref="Q1079">XLOOKUP(D1079,Product_Dim!A:A,Product_Dim!C:C,"Not Found")</f>
        <v>Beauty</v>
      </c>
      <c r="R1079" s="8" t="str">
        <f t="array" ref="R1079">XLOOKUP(E1079,Store_Dim!A:A,Store_Dim!B:B,"Not Found")</f>
        <v>West</v>
      </c>
      <c r="S1079" s="8" t="str">
        <f t="array" ref="S1079">XLOOKUP(E1079,Store_Dim!A:A,Store_Dim!D:D,"Not Found")</f>
        <v>Flagship</v>
      </c>
    </row>
    <row r="1080" ht="14.25" customHeight="1">
      <c r="A1080" s="8" t="s">
        <v>3033</v>
      </c>
      <c r="B1080" s="12">
        <v>46558.0</v>
      </c>
      <c r="C1080" s="8" t="s">
        <v>1302</v>
      </c>
      <c r="D1080" s="8" t="s">
        <v>1579</v>
      </c>
      <c r="E1080" s="8" t="s">
        <v>1928</v>
      </c>
      <c r="F1080" s="8">
        <v>1.0</v>
      </c>
      <c r="G1080" s="8">
        <v>769.4</v>
      </c>
      <c r="H1080" s="8">
        <v>0.16</v>
      </c>
      <c r="I1080" s="8">
        <f t="shared" si="1"/>
        <v>769.4</v>
      </c>
      <c r="J1080" s="8">
        <f t="shared" si="2"/>
        <v>-122.944</v>
      </c>
      <c r="K1080" s="8" t="str">
        <f t="shared" si="3"/>
        <v>Jun</v>
      </c>
      <c r="L1080" s="8">
        <f t="shared" si="4"/>
        <v>2027</v>
      </c>
      <c r="N1080" s="8" t="str">
        <f t="array" ref="N1080">XLOOKUP(C1080,Customer_Dim!A:A,Customer_Dim!B:B,"Not Found")</f>
        <v>Melissa Valentine</v>
      </c>
      <c r="O1080" s="8" t="str">
        <f t="array" ref="O1080">XLOOKUP(C1080,Customer_Dim!A:A,Customer_Dim!E:E,"Not Found")</f>
        <v>East Patriciafort</v>
      </c>
      <c r="P1080" s="8" t="str">
        <f t="array" ref="P1080">XLOOKUP(D1080,Product_Dim!A:A,Product_Dim!B:B,"Not Found")</f>
        <v>Women's Yoga Pants</v>
      </c>
      <c r="Q1080" s="8" t="str">
        <f t="array" ref="Q1080">XLOOKUP(D1080,Product_Dim!A:A,Product_Dim!C:C,"Not Found")</f>
        <v>Clothing</v>
      </c>
      <c r="R1080" s="8" t="str">
        <f t="array" ref="R1080">XLOOKUP(E1080,Store_Dim!A:A,Store_Dim!B:B,"Not Found")</f>
        <v>South</v>
      </c>
      <c r="S1080" s="8" t="str">
        <f t="array" ref="S1080">XLOOKUP(E1080,Store_Dim!A:A,Store_Dim!D:D,"Not Found")</f>
        <v>Online</v>
      </c>
    </row>
    <row r="1081" ht="14.25" customHeight="1">
      <c r="A1081" s="8" t="s">
        <v>3034</v>
      </c>
      <c r="B1081" s="12">
        <v>46559.0</v>
      </c>
      <c r="C1081" s="8" t="s">
        <v>1050</v>
      </c>
      <c r="D1081" s="8" t="s">
        <v>1579</v>
      </c>
      <c r="E1081" s="8" t="s">
        <v>1937</v>
      </c>
      <c r="F1081" s="8">
        <v>1.0</v>
      </c>
      <c r="G1081" s="8">
        <v>227.28</v>
      </c>
      <c r="H1081" s="8">
        <v>0.13</v>
      </c>
      <c r="I1081" s="8">
        <f t="shared" si="1"/>
        <v>227.28</v>
      </c>
      <c r="J1081" s="8">
        <f t="shared" si="2"/>
        <v>-29.4164</v>
      </c>
      <c r="K1081" s="8" t="str">
        <f t="shared" si="3"/>
        <v>Jun</v>
      </c>
      <c r="L1081" s="8">
        <f t="shared" si="4"/>
        <v>2027</v>
      </c>
      <c r="N1081" s="8" t="str">
        <f t="array" ref="N1081">XLOOKUP(C1081,Customer_Dim!A:A,Customer_Dim!B:B,"Not Found")</f>
        <v>Victor Mcintosh</v>
      </c>
      <c r="O1081" s="8" t="str">
        <f t="array" ref="O1081">XLOOKUP(C1081,Customer_Dim!A:A,Customer_Dim!E:E,"Not Found")</f>
        <v>Tiffanyshire</v>
      </c>
      <c r="P1081" s="8" t="str">
        <f t="array" ref="P1081">XLOOKUP(D1081,Product_Dim!A:A,Product_Dim!B:B,"Not Found")</f>
        <v>Women's Yoga Pants</v>
      </c>
      <c r="Q1081" s="8" t="str">
        <f t="array" ref="Q1081">XLOOKUP(D1081,Product_Dim!A:A,Product_Dim!C:C,"Not Found")</f>
        <v>Clothing</v>
      </c>
      <c r="R1081" s="8" t="str">
        <f t="array" ref="R1081">XLOOKUP(E1081,Store_Dim!A:A,Store_Dim!B:B,"Not Found")</f>
        <v>North</v>
      </c>
      <c r="S1081" s="8" t="str">
        <f t="array" ref="S1081">XLOOKUP(E1081,Store_Dim!A:A,Store_Dim!D:D,"Not Found")</f>
        <v>Flagship</v>
      </c>
    </row>
    <row r="1082" ht="14.25" customHeight="1">
      <c r="A1082" s="8" t="s">
        <v>3035</v>
      </c>
      <c r="B1082" s="12">
        <v>46560.0</v>
      </c>
      <c r="C1082" s="8" t="s">
        <v>205</v>
      </c>
      <c r="D1082" s="8" t="s">
        <v>1572</v>
      </c>
      <c r="E1082" s="8" t="s">
        <v>1937</v>
      </c>
      <c r="F1082" s="8">
        <v>4.0</v>
      </c>
      <c r="G1082" s="8">
        <v>127.58</v>
      </c>
      <c r="H1082" s="8">
        <v>0.15</v>
      </c>
      <c r="I1082" s="8">
        <f t="shared" si="1"/>
        <v>510.32</v>
      </c>
      <c r="J1082" s="8">
        <f t="shared" si="2"/>
        <v>-76.398</v>
      </c>
      <c r="K1082" s="8" t="str">
        <f t="shared" si="3"/>
        <v>Jun</v>
      </c>
      <c r="L1082" s="8">
        <f t="shared" si="4"/>
        <v>2027</v>
      </c>
      <c r="N1082" s="8" t="str">
        <f t="array" ref="N1082">XLOOKUP(C1082,Customer_Dim!A:A,Customer_Dim!B:B,"Not Found")</f>
        <v>Sarah Rodgers</v>
      </c>
      <c r="O1082" s="8" t="str">
        <f t="array" ref="O1082">XLOOKUP(C1082,Customer_Dim!A:A,Customer_Dim!E:E,"Not Found")</f>
        <v>New Julia</v>
      </c>
      <c r="P1082" s="8" t="str">
        <f t="array" ref="P1082">XLOOKUP(D1082,Product_Dim!A:A,Product_Dim!B:B,"Not Found")</f>
        <v>Women's Casual Hoodie</v>
      </c>
      <c r="Q1082" s="8" t="str">
        <f t="array" ref="Q1082">XLOOKUP(D1082,Product_Dim!A:A,Product_Dim!C:C,"Not Found")</f>
        <v>Clothing</v>
      </c>
      <c r="R1082" s="8" t="str">
        <f t="array" ref="R1082">XLOOKUP(E1082,Store_Dim!A:A,Store_Dim!B:B,"Not Found")</f>
        <v>North</v>
      </c>
      <c r="S1082" s="8" t="str">
        <f t="array" ref="S1082">XLOOKUP(E1082,Store_Dim!A:A,Store_Dim!D:D,"Not Found")</f>
        <v>Flagship</v>
      </c>
    </row>
    <row r="1083" ht="14.25" customHeight="1">
      <c r="A1083" s="8" t="s">
        <v>3036</v>
      </c>
      <c r="B1083" s="12">
        <v>46561.0</v>
      </c>
      <c r="C1083" s="8" t="s">
        <v>1314</v>
      </c>
      <c r="D1083" s="8" t="s">
        <v>1719</v>
      </c>
      <c r="E1083" s="8" t="s">
        <v>1910</v>
      </c>
      <c r="F1083" s="8">
        <v>1.0</v>
      </c>
      <c r="G1083" s="8">
        <v>793.21</v>
      </c>
      <c r="H1083" s="8">
        <v>0.09</v>
      </c>
      <c r="I1083" s="8">
        <f t="shared" si="1"/>
        <v>793.21</v>
      </c>
      <c r="J1083" s="8">
        <f t="shared" si="2"/>
        <v>-71.2989</v>
      </c>
      <c r="K1083" s="8" t="str">
        <f t="shared" si="3"/>
        <v>Jun</v>
      </c>
      <c r="L1083" s="8">
        <f t="shared" si="4"/>
        <v>2027</v>
      </c>
      <c r="N1083" s="8" t="str">
        <f t="array" ref="N1083">XLOOKUP(C1083,Customer_Dim!A:A,Customer_Dim!B:B,"Not Found")</f>
        <v>Luke Parks</v>
      </c>
      <c r="O1083" s="8" t="str">
        <f t="array" ref="O1083">XLOOKUP(C1083,Customer_Dim!A:A,Customer_Dim!E:E,"Not Found")</f>
        <v>West Mario</v>
      </c>
      <c r="P1083" s="8" t="str">
        <f t="array" ref="P1083">XLOOKUP(D1083,Product_Dim!A:A,Product_Dim!B:B,"Not Found")</f>
        <v>Adjustable Jump Rope</v>
      </c>
      <c r="Q1083" s="8" t="str">
        <f t="array" ref="Q1083">XLOOKUP(D1083,Product_Dim!A:A,Product_Dim!C:C,"Not Found")</f>
        <v>Sports</v>
      </c>
      <c r="R1083" s="8" t="str">
        <f t="array" ref="R1083">XLOOKUP(E1083,Store_Dim!A:A,Store_Dim!B:B,"Not Found")</f>
        <v>North</v>
      </c>
      <c r="S1083" s="8" t="str">
        <f t="array" ref="S1083">XLOOKUP(E1083,Store_Dim!A:A,Store_Dim!D:D,"Not Found")</f>
        <v>Outlet</v>
      </c>
    </row>
    <row r="1084" ht="14.25" customHeight="1">
      <c r="A1084" s="8" t="s">
        <v>3037</v>
      </c>
      <c r="B1084" s="12">
        <v>46562.0</v>
      </c>
      <c r="C1084" s="8" t="s">
        <v>966</v>
      </c>
      <c r="D1084" s="8" t="s">
        <v>1839</v>
      </c>
      <c r="E1084" s="8" t="s">
        <v>1929</v>
      </c>
      <c r="F1084" s="8">
        <v>3.0</v>
      </c>
      <c r="G1084" s="8">
        <v>435.61</v>
      </c>
      <c r="H1084" s="8">
        <v>0.03</v>
      </c>
      <c r="I1084" s="8">
        <f t="shared" si="1"/>
        <v>1306.83</v>
      </c>
      <c r="J1084" s="8">
        <f t="shared" si="2"/>
        <v>-39.1749</v>
      </c>
      <c r="K1084" s="8" t="str">
        <f t="shared" si="3"/>
        <v>Jun</v>
      </c>
      <c r="L1084" s="8">
        <f t="shared" si="4"/>
        <v>2027</v>
      </c>
      <c r="N1084" s="8" t="str">
        <f t="array" ref="N1084">XLOOKUP(C1084,Customer_Dim!A:A,Customer_Dim!B:B,"Not Found")</f>
        <v>Ryan Kane</v>
      </c>
      <c r="O1084" s="8" t="str">
        <f t="array" ref="O1084">XLOOKUP(C1084,Customer_Dim!A:A,Customer_Dim!E:E,"Not Found")</f>
        <v>West Bruceburgh</v>
      </c>
      <c r="P1084" s="8" t="str">
        <f t="array" ref="P1084">XLOOKUP(D1084,Product_Dim!A:A,Product_Dim!B:B,"Not Found")</f>
        <v>Hydrating Face Cleanser</v>
      </c>
      <c r="Q1084" s="8" t="str">
        <f t="array" ref="Q1084">XLOOKUP(D1084,Product_Dim!A:A,Product_Dim!C:C,"Not Found")</f>
        <v>Beauty</v>
      </c>
      <c r="R1084" s="8" t="str">
        <f t="array" ref="R1084">XLOOKUP(E1084,Store_Dim!A:A,Store_Dim!B:B,"Not Found")</f>
        <v>North</v>
      </c>
      <c r="S1084" s="8" t="str">
        <f t="array" ref="S1084">XLOOKUP(E1084,Store_Dim!A:A,Store_Dim!D:D,"Not Found")</f>
        <v>Online</v>
      </c>
    </row>
    <row r="1085" ht="14.25" customHeight="1">
      <c r="A1085" s="8" t="s">
        <v>3038</v>
      </c>
      <c r="B1085" s="12">
        <v>46563.0</v>
      </c>
      <c r="C1085" s="8" t="s">
        <v>1218</v>
      </c>
      <c r="D1085" s="8" t="s">
        <v>1671</v>
      </c>
      <c r="E1085" s="8" t="s">
        <v>1935</v>
      </c>
      <c r="F1085" s="8">
        <v>1.0</v>
      </c>
      <c r="G1085" s="8">
        <v>850.06</v>
      </c>
      <c r="H1085" s="8">
        <v>0.29</v>
      </c>
      <c r="I1085" s="8">
        <f t="shared" si="1"/>
        <v>850.06</v>
      </c>
      <c r="J1085" s="8">
        <f t="shared" si="2"/>
        <v>-246.2274</v>
      </c>
      <c r="K1085" s="8" t="str">
        <f t="shared" si="3"/>
        <v>Jun</v>
      </c>
      <c r="L1085" s="8">
        <f t="shared" si="4"/>
        <v>2027</v>
      </c>
      <c r="N1085" s="8" t="str">
        <f t="array" ref="N1085">XLOOKUP(C1085,Customer_Dim!A:A,Customer_Dim!B:B,"Not Found")</f>
        <v>Tammy Brennan</v>
      </c>
      <c r="O1085" s="8" t="str">
        <f t="array" ref="O1085">XLOOKUP(C1085,Customer_Dim!A:A,Customer_Dim!E:E,"Not Found")</f>
        <v>Lake Brandontown</v>
      </c>
      <c r="P1085" s="8" t="str">
        <f t="array" ref="P1085">XLOOKUP(D1085,Product_Dim!A:A,Product_Dim!B:B,"Not Found")</f>
        <v>Fabric Sofa Throw Blanket</v>
      </c>
      <c r="Q1085" s="8" t="str">
        <f t="array" ref="Q1085">XLOOKUP(D1085,Product_Dim!A:A,Product_Dim!C:C,"Not Found")</f>
        <v>Home</v>
      </c>
      <c r="R1085" s="8" t="str">
        <f t="array" ref="R1085">XLOOKUP(E1085,Store_Dim!A:A,Store_Dim!B:B,"Not Found")</f>
        <v>West</v>
      </c>
      <c r="S1085" s="8" t="str">
        <f t="array" ref="S1085">XLOOKUP(E1085,Store_Dim!A:A,Store_Dim!D:D,"Not Found")</f>
        <v>Flagship</v>
      </c>
    </row>
    <row r="1086" ht="14.25" customHeight="1">
      <c r="A1086" s="8" t="s">
        <v>3039</v>
      </c>
      <c r="B1086" s="12">
        <v>46564.0</v>
      </c>
      <c r="C1086" s="8" t="s">
        <v>1104</v>
      </c>
      <c r="D1086" s="8" t="s">
        <v>1989</v>
      </c>
      <c r="E1086" s="8" t="s">
        <v>1935</v>
      </c>
      <c r="F1086" s="8">
        <v>2.0</v>
      </c>
      <c r="G1086" s="8">
        <v>753.92</v>
      </c>
      <c r="H1086" s="8">
        <v>0.17</v>
      </c>
      <c r="I1086" s="8">
        <f t="shared" si="1"/>
        <v>1507.84</v>
      </c>
      <c r="J1086" s="8">
        <f t="shared" si="2"/>
        <v>-256.1628</v>
      </c>
      <c r="K1086" s="8" t="str">
        <f t="shared" si="3"/>
        <v>Jun</v>
      </c>
      <c r="L1086" s="8">
        <f t="shared" si="4"/>
        <v>2027</v>
      </c>
      <c r="N1086" s="8" t="str">
        <f t="array" ref="N1086">XLOOKUP(C1086,Customer_Dim!A:A,Customer_Dim!B:B,"Not Found")</f>
        <v>Justin Mason DDS</v>
      </c>
      <c r="O1086" s="8" t="str">
        <f t="array" ref="O1086">XLOOKUP(C1086,Customer_Dim!A:A,Customer_Dim!E:E,"Not Found")</f>
        <v>Peggystad</v>
      </c>
      <c r="P1086" s="8" t="str">
        <f t="array" ref="P1086">XLOOKUP(D1086,Product_Dim!A:A,Product_Dim!B:B,"Not Found")</f>
        <v>Not Found</v>
      </c>
      <c r="Q1086" s="8" t="str">
        <f t="array" ref="Q1086">XLOOKUP(D1086,Product_Dim!A:A,Product_Dim!C:C,"Not Found")</f>
        <v>Not Found</v>
      </c>
      <c r="R1086" s="8" t="str">
        <f t="array" ref="R1086">XLOOKUP(E1086,Store_Dim!A:A,Store_Dim!B:B,"Not Found")</f>
        <v>West</v>
      </c>
      <c r="S1086" s="8" t="str">
        <f t="array" ref="S1086">XLOOKUP(E1086,Store_Dim!A:A,Store_Dim!D:D,"Not Found")</f>
        <v>Flagship</v>
      </c>
    </row>
    <row r="1087" ht="14.25" customHeight="1">
      <c r="A1087" s="8" t="s">
        <v>3040</v>
      </c>
      <c r="B1087" s="12">
        <v>46565.0</v>
      </c>
      <c r="C1087" s="8" t="s">
        <v>1517</v>
      </c>
      <c r="D1087" s="8" t="s">
        <v>1579</v>
      </c>
      <c r="E1087" s="8" t="s">
        <v>1931</v>
      </c>
      <c r="F1087" s="8">
        <v>3.0</v>
      </c>
      <c r="G1087" s="8">
        <v>408.99</v>
      </c>
      <c r="H1087" s="8">
        <v>0.27</v>
      </c>
      <c r="I1087" s="8">
        <f t="shared" si="1"/>
        <v>1226.97</v>
      </c>
      <c r="J1087" s="8">
        <f t="shared" si="2"/>
        <v>-331.0119</v>
      </c>
      <c r="K1087" s="8" t="str">
        <f t="shared" si="3"/>
        <v>Jun</v>
      </c>
      <c r="L1087" s="8">
        <f t="shared" si="4"/>
        <v>2027</v>
      </c>
      <c r="N1087" s="8" t="str">
        <f t="array" ref="N1087">XLOOKUP(C1087,Customer_Dim!A:A,Customer_Dim!B:B,"Not Found")</f>
        <v>Zachary Andrade</v>
      </c>
      <c r="O1087" s="8" t="str">
        <f t="array" ref="O1087">XLOOKUP(C1087,Customer_Dim!A:A,Customer_Dim!E:E,"Not Found")</f>
        <v>South Davidport</v>
      </c>
      <c r="P1087" s="8" t="str">
        <f t="array" ref="P1087">XLOOKUP(D1087,Product_Dim!A:A,Product_Dim!B:B,"Not Found")</f>
        <v>Women's Yoga Pants</v>
      </c>
      <c r="Q1087" s="8" t="str">
        <f t="array" ref="Q1087">XLOOKUP(D1087,Product_Dim!A:A,Product_Dim!C:C,"Not Found")</f>
        <v>Clothing</v>
      </c>
      <c r="R1087" s="8" t="str">
        <f t="array" ref="R1087">XLOOKUP(E1087,Store_Dim!A:A,Store_Dim!B:B,"Not Found")</f>
        <v>East</v>
      </c>
      <c r="S1087" s="8" t="str">
        <f t="array" ref="S1087">XLOOKUP(E1087,Store_Dim!A:A,Store_Dim!D:D,"Not Found")</f>
        <v>Flagship</v>
      </c>
    </row>
    <row r="1088" ht="14.25" customHeight="1">
      <c r="A1088" s="8" t="s">
        <v>3041</v>
      </c>
      <c r="B1088" s="12">
        <v>46566.0</v>
      </c>
      <c r="C1088" s="8" t="s">
        <v>920</v>
      </c>
      <c r="D1088" s="8" t="s">
        <v>1760</v>
      </c>
      <c r="E1088" s="8" t="s">
        <v>1915</v>
      </c>
      <c r="F1088" s="8">
        <v>3.0</v>
      </c>
      <c r="G1088" s="8">
        <v>404.5</v>
      </c>
      <c r="H1088" s="8">
        <v>0.22</v>
      </c>
      <c r="I1088" s="8">
        <f t="shared" si="1"/>
        <v>1213.5</v>
      </c>
      <c r="J1088" s="8">
        <f t="shared" si="2"/>
        <v>-266.75</v>
      </c>
      <c r="K1088" s="8" t="str">
        <f t="shared" si="3"/>
        <v>Jun</v>
      </c>
      <c r="L1088" s="8">
        <f t="shared" si="4"/>
        <v>2027</v>
      </c>
      <c r="N1088" s="8" t="str">
        <f t="array" ref="N1088">XLOOKUP(C1088,Customer_Dim!A:A,Customer_Dim!B:B,"Not Found")</f>
        <v>Donna Guerra</v>
      </c>
      <c r="O1088" s="8" t="str">
        <f t="array" ref="O1088">XLOOKUP(C1088,Customer_Dim!A:A,Customer_Dim!E:E,"Not Found")</f>
        <v>North Robert</v>
      </c>
      <c r="P1088" s="8" t="str">
        <f t="array" ref="P1088">XLOOKUP(D1088,Product_Dim!A:A,Product_Dim!B:B,"Not Found")</f>
        <v>Foam Roller</v>
      </c>
      <c r="Q1088" s="8" t="str">
        <f t="array" ref="Q1088">XLOOKUP(D1088,Product_Dim!A:A,Product_Dim!C:C,"Not Found")</f>
        <v>Sports</v>
      </c>
      <c r="R1088" s="8" t="str">
        <f t="array" ref="R1088">XLOOKUP(E1088,Store_Dim!A:A,Store_Dim!B:B,"Not Found")</f>
        <v>North</v>
      </c>
      <c r="S1088" s="8" t="str">
        <f t="array" ref="S1088">XLOOKUP(E1088,Store_Dim!A:A,Store_Dim!D:D,"Not Found")</f>
        <v>Outlet</v>
      </c>
    </row>
    <row r="1089" ht="14.25" customHeight="1">
      <c r="A1089" s="8" t="s">
        <v>3042</v>
      </c>
      <c r="B1089" s="12">
        <v>46567.0</v>
      </c>
      <c r="C1089" s="8" t="s">
        <v>1203</v>
      </c>
      <c r="D1089" s="8" t="s">
        <v>1703</v>
      </c>
      <c r="E1089" s="8" t="s">
        <v>1910</v>
      </c>
      <c r="F1089" s="8">
        <v>3.0</v>
      </c>
      <c r="G1089" s="8">
        <v>717.81</v>
      </c>
      <c r="H1089" s="8">
        <v>0.17</v>
      </c>
      <c r="I1089" s="8">
        <f t="shared" si="1"/>
        <v>2153.43</v>
      </c>
      <c r="J1089" s="8">
        <f t="shared" si="2"/>
        <v>-365.9131</v>
      </c>
      <c r="K1089" s="8" t="str">
        <f t="shared" si="3"/>
        <v>Jun</v>
      </c>
      <c r="L1089" s="8">
        <f t="shared" si="4"/>
        <v>2027</v>
      </c>
      <c r="N1089" s="8" t="str">
        <f t="array" ref="N1089">XLOOKUP(C1089,Customer_Dim!A:A,Customer_Dim!B:B,"Not Found")</f>
        <v>Shelley Ponce</v>
      </c>
      <c r="O1089" s="8" t="str">
        <f t="array" ref="O1089">XLOOKUP(C1089,Customer_Dim!A:A,Customer_Dim!E:E,"Not Found")</f>
        <v>South Cassandrachester</v>
      </c>
      <c r="P1089" s="8" t="str">
        <f t="array" ref="P1089">XLOOKUP(D1089,Product_Dim!A:A,Product_Dim!B:B,"Not Found")</f>
        <v>Portable Power Bank</v>
      </c>
      <c r="Q1089" s="8" t="str">
        <f t="array" ref="Q1089">XLOOKUP(D1089,Product_Dim!A:A,Product_Dim!C:C,"Not Found")</f>
        <v>Electronics</v>
      </c>
      <c r="R1089" s="8" t="str">
        <f t="array" ref="R1089">XLOOKUP(E1089,Store_Dim!A:A,Store_Dim!B:B,"Not Found")</f>
        <v>North</v>
      </c>
      <c r="S1089" s="8" t="str">
        <f t="array" ref="S1089">XLOOKUP(E1089,Store_Dim!A:A,Store_Dim!D:D,"Not Found")</f>
        <v>Outlet</v>
      </c>
    </row>
    <row r="1090" ht="14.25" customHeight="1">
      <c r="A1090" s="8" t="s">
        <v>3043</v>
      </c>
      <c r="B1090" s="12">
        <v>46568.0</v>
      </c>
      <c r="C1090" s="8" t="s">
        <v>818</v>
      </c>
      <c r="D1090" s="8" t="s">
        <v>1842</v>
      </c>
      <c r="E1090" s="8" t="s">
        <v>1903</v>
      </c>
      <c r="F1090" s="8">
        <v>3.0</v>
      </c>
      <c r="G1090" s="8">
        <v>204.77</v>
      </c>
      <c r="H1090" s="8">
        <v>0.14</v>
      </c>
      <c r="I1090" s="8">
        <f t="shared" si="1"/>
        <v>614.31</v>
      </c>
      <c r="J1090" s="8">
        <f t="shared" si="2"/>
        <v>-85.8634</v>
      </c>
      <c r="K1090" s="8" t="str">
        <f t="shared" si="3"/>
        <v>Jun</v>
      </c>
      <c r="L1090" s="8">
        <f t="shared" si="4"/>
        <v>2027</v>
      </c>
      <c r="N1090" s="8" t="str">
        <f t="array" ref="N1090">XLOOKUP(C1090,Customer_Dim!A:A,Customer_Dim!B:B,"Not Found")</f>
        <v>Tyler Garner</v>
      </c>
      <c r="O1090" s="8" t="str">
        <f t="array" ref="O1090">XLOOKUP(C1090,Customer_Dim!A:A,Customer_Dim!E:E,"Not Found")</f>
        <v>Port Coreyfort</v>
      </c>
      <c r="P1090" s="8" t="str">
        <f t="array" ref="P1090">XLOOKUP(D1090,Product_Dim!A:A,Product_Dim!B:B,"Not Found")</f>
        <v>Wooden Bookshelf</v>
      </c>
      <c r="Q1090" s="8" t="str">
        <f t="array" ref="Q1090">XLOOKUP(D1090,Product_Dim!A:A,Product_Dim!C:C,"Not Found")</f>
        <v>Home</v>
      </c>
      <c r="R1090" s="8" t="str">
        <f t="array" ref="R1090">XLOOKUP(E1090,Store_Dim!A:A,Store_Dim!B:B,"Not Found")</f>
        <v>North</v>
      </c>
      <c r="S1090" s="8" t="str">
        <f t="array" ref="S1090">XLOOKUP(E1090,Store_Dim!A:A,Store_Dim!D:D,"Not Found")</f>
        <v>Flagship</v>
      </c>
    </row>
    <row r="1091" ht="14.25" customHeight="1">
      <c r="A1091" s="8" t="s">
        <v>3044</v>
      </c>
      <c r="B1091" s="12">
        <v>46569.0</v>
      </c>
      <c r="C1091" s="8" t="s">
        <v>163</v>
      </c>
      <c r="D1091" s="8" t="s">
        <v>1732</v>
      </c>
      <c r="E1091" s="8" t="s">
        <v>1939</v>
      </c>
      <c r="F1091" s="8">
        <v>4.0</v>
      </c>
      <c r="G1091" s="8">
        <v>106.23</v>
      </c>
      <c r="H1091" s="8">
        <v>0.28</v>
      </c>
      <c r="I1091" s="8">
        <f t="shared" si="1"/>
        <v>424.92</v>
      </c>
      <c r="J1091" s="8">
        <f t="shared" si="2"/>
        <v>-118.6976</v>
      </c>
      <c r="K1091" s="8" t="str">
        <f t="shared" si="3"/>
        <v>Jul</v>
      </c>
      <c r="L1091" s="8">
        <f t="shared" si="4"/>
        <v>2027</v>
      </c>
      <c r="N1091" s="8" t="str">
        <f t="array" ref="N1091">XLOOKUP(C1091,Customer_Dim!A:A,Customer_Dim!B:B,"Not Found")</f>
        <v>Tonya Reynolds</v>
      </c>
      <c r="O1091" s="8" t="str">
        <f t="array" ref="O1091">XLOOKUP(C1091,Customer_Dim!A:A,Customer_Dim!E:E,"Not Found")</f>
        <v>Darleneton</v>
      </c>
      <c r="P1091" s="8" t="str">
        <f t="array" ref="P1091">XLOOKUP(D1091,Product_Dim!A:A,Product_Dim!B:B,"Not Found")</f>
        <v>Car Dashboard Phone Holder</v>
      </c>
      <c r="Q1091" s="8" t="str">
        <f t="array" ref="Q1091">XLOOKUP(D1091,Product_Dim!A:A,Product_Dim!C:C,"Not Found")</f>
        <v>Electronics</v>
      </c>
      <c r="R1091" s="8" t="str">
        <f t="array" ref="R1091">XLOOKUP(E1091,Store_Dim!A:A,Store_Dim!B:B,"Not Found")</f>
        <v>East</v>
      </c>
      <c r="S1091" s="8" t="str">
        <f t="array" ref="S1091">XLOOKUP(E1091,Store_Dim!A:A,Store_Dim!D:D,"Not Found")</f>
        <v>Flagship</v>
      </c>
    </row>
    <row r="1092" ht="14.25" customHeight="1">
      <c r="A1092" s="8" t="s">
        <v>3045</v>
      </c>
      <c r="B1092" s="12">
        <v>46570.0</v>
      </c>
      <c r="C1092" s="8" t="s">
        <v>1038</v>
      </c>
      <c r="D1092" s="8" t="s">
        <v>1787</v>
      </c>
      <c r="E1092" s="8" t="s">
        <v>1915</v>
      </c>
      <c r="F1092" s="8">
        <v>2.0</v>
      </c>
      <c r="G1092" s="8">
        <v>769.48</v>
      </c>
      <c r="H1092" s="8">
        <v>0.11</v>
      </c>
      <c r="I1092" s="8">
        <f t="shared" si="1"/>
        <v>1538.96</v>
      </c>
      <c r="J1092" s="8">
        <f t="shared" si="2"/>
        <v>-169.1756</v>
      </c>
      <c r="K1092" s="8" t="str">
        <f t="shared" si="3"/>
        <v>Jul</v>
      </c>
      <c r="L1092" s="8">
        <f t="shared" si="4"/>
        <v>2027</v>
      </c>
      <c r="N1092" s="8" t="str">
        <f t="array" ref="N1092">XLOOKUP(C1092,Customer_Dim!A:A,Customer_Dim!B:B,"Not Found")</f>
        <v>Andrew Smith</v>
      </c>
      <c r="O1092" s="8" t="str">
        <f t="array" ref="O1092">XLOOKUP(C1092,Customer_Dim!A:A,Customer_Dim!E:E,"Not Found")</f>
        <v>East Matthew</v>
      </c>
      <c r="P1092" s="8" t="str">
        <f t="array" ref="P1092">XLOOKUP(D1092,Product_Dim!A:A,Product_Dim!B:B,"Not Found")</f>
        <v>Women's Hair Dryer Brush</v>
      </c>
      <c r="Q1092" s="8" t="str">
        <f t="array" ref="Q1092">XLOOKUP(D1092,Product_Dim!A:A,Product_Dim!C:C,"Not Found")</f>
        <v>Beauty</v>
      </c>
      <c r="R1092" s="8" t="str">
        <f t="array" ref="R1092">XLOOKUP(E1092,Store_Dim!A:A,Store_Dim!B:B,"Not Found")</f>
        <v>North</v>
      </c>
      <c r="S1092" s="8" t="str">
        <f t="array" ref="S1092">XLOOKUP(E1092,Store_Dim!A:A,Store_Dim!D:D,"Not Found")</f>
        <v>Outlet</v>
      </c>
    </row>
    <row r="1093" ht="14.25" customHeight="1">
      <c r="A1093" s="8" t="s">
        <v>3046</v>
      </c>
      <c r="B1093" s="12">
        <v>46571.0</v>
      </c>
      <c r="C1093" s="8" t="s">
        <v>830</v>
      </c>
      <c r="D1093" s="8" t="s">
        <v>1760</v>
      </c>
      <c r="E1093" s="8" t="s">
        <v>1931</v>
      </c>
      <c r="F1093" s="8">
        <v>2.0</v>
      </c>
      <c r="G1093" s="8">
        <v>714.21</v>
      </c>
      <c r="H1093" s="8">
        <v>0.14</v>
      </c>
      <c r="I1093" s="8">
        <f t="shared" si="1"/>
        <v>1428.42</v>
      </c>
      <c r="J1093" s="8">
        <f t="shared" si="2"/>
        <v>-199.8388</v>
      </c>
      <c r="K1093" s="8" t="str">
        <f t="shared" si="3"/>
        <v>Jul</v>
      </c>
      <c r="L1093" s="8">
        <f t="shared" si="4"/>
        <v>2027</v>
      </c>
      <c r="N1093" s="8" t="str">
        <f t="array" ref="N1093">XLOOKUP(C1093,Customer_Dim!A:A,Customer_Dim!B:B,"Not Found")</f>
        <v>Damon Perez</v>
      </c>
      <c r="O1093" s="8" t="str">
        <f t="array" ref="O1093">XLOOKUP(C1093,Customer_Dim!A:A,Customer_Dim!E:E,"Not Found")</f>
        <v>Jasonton</v>
      </c>
      <c r="P1093" s="8" t="str">
        <f t="array" ref="P1093">XLOOKUP(D1093,Product_Dim!A:A,Product_Dim!B:B,"Not Found")</f>
        <v>Foam Roller</v>
      </c>
      <c r="Q1093" s="8" t="str">
        <f t="array" ref="Q1093">XLOOKUP(D1093,Product_Dim!A:A,Product_Dim!C:C,"Not Found")</f>
        <v>Sports</v>
      </c>
      <c r="R1093" s="8" t="str">
        <f t="array" ref="R1093">XLOOKUP(E1093,Store_Dim!A:A,Store_Dim!B:B,"Not Found")</f>
        <v>East</v>
      </c>
      <c r="S1093" s="8" t="str">
        <f t="array" ref="S1093">XLOOKUP(E1093,Store_Dim!A:A,Store_Dim!D:D,"Not Found")</f>
        <v>Flagship</v>
      </c>
    </row>
    <row r="1094" ht="14.25" customHeight="1">
      <c r="A1094" s="8" t="s">
        <v>3047</v>
      </c>
      <c r="B1094" s="12">
        <v>46572.0</v>
      </c>
      <c r="C1094" s="8" t="s">
        <v>878</v>
      </c>
      <c r="D1094" s="8" t="s">
        <v>1610</v>
      </c>
      <c r="E1094" s="8" t="s">
        <v>1933</v>
      </c>
      <c r="F1094" s="8">
        <v>4.0</v>
      </c>
      <c r="G1094" s="8">
        <v>632.24</v>
      </c>
      <c r="H1094" s="8">
        <v>0.25</v>
      </c>
      <c r="I1094" s="8">
        <f t="shared" si="1"/>
        <v>2528.96</v>
      </c>
      <c r="J1094" s="8">
        <f t="shared" si="2"/>
        <v>-631.99</v>
      </c>
      <c r="K1094" s="8" t="str">
        <f t="shared" si="3"/>
        <v>Jul</v>
      </c>
      <c r="L1094" s="8">
        <f t="shared" si="4"/>
        <v>2027</v>
      </c>
      <c r="N1094" s="8" t="str">
        <f t="array" ref="N1094">XLOOKUP(C1094,Customer_Dim!A:A,Customer_Dim!B:B,"Not Found")</f>
        <v>Daisy Johnson DDS</v>
      </c>
      <c r="O1094" s="8" t="str">
        <f t="array" ref="O1094">XLOOKUP(C1094,Customer_Dim!A:A,Customer_Dim!E:E,"Not Found")</f>
        <v>North Stephanie</v>
      </c>
      <c r="P1094" s="8" t="str">
        <f t="array" ref="P1094">XLOOKUP(D1094,Product_Dim!A:A,Product_Dim!B:B,"Not Found")</f>
        <v>HD Smart TV Stick</v>
      </c>
      <c r="Q1094" s="8" t="str">
        <f t="array" ref="Q1094">XLOOKUP(D1094,Product_Dim!A:A,Product_Dim!C:C,"Not Found")</f>
        <v>Electronics</v>
      </c>
      <c r="R1094" s="8" t="str">
        <f t="array" ref="R1094">XLOOKUP(E1094,Store_Dim!A:A,Store_Dim!B:B,"Not Found")</f>
        <v>North</v>
      </c>
      <c r="S1094" s="8" t="str">
        <f t="array" ref="S1094">XLOOKUP(E1094,Store_Dim!A:A,Store_Dim!D:D,"Not Found")</f>
        <v>Flagship</v>
      </c>
    </row>
    <row r="1095" ht="14.25" customHeight="1">
      <c r="A1095" s="8" t="s">
        <v>3048</v>
      </c>
      <c r="B1095" s="12">
        <v>46573.0</v>
      </c>
      <c r="C1095" s="8" t="s">
        <v>550</v>
      </c>
      <c r="D1095" s="8" t="s">
        <v>1824</v>
      </c>
      <c r="E1095" s="8" t="s">
        <v>1910</v>
      </c>
      <c r="F1095" s="8">
        <v>2.0</v>
      </c>
      <c r="G1095" s="8">
        <v>845.27</v>
      </c>
      <c r="H1095" s="8">
        <v>0.18</v>
      </c>
      <c r="I1095" s="8">
        <f t="shared" si="1"/>
        <v>1690.54</v>
      </c>
      <c r="J1095" s="8">
        <f t="shared" si="2"/>
        <v>-304.1172</v>
      </c>
      <c r="K1095" s="8" t="str">
        <f t="shared" si="3"/>
        <v>Jul</v>
      </c>
      <c r="L1095" s="8">
        <f t="shared" si="4"/>
        <v>2027</v>
      </c>
      <c r="N1095" s="8" t="str">
        <f t="array" ref="N1095">XLOOKUP(C1095,Customer_Dim!A:A,Customer_Dim!B:B,"Not Found")</f>
        <v>Cynthia Morris</v>
      </c>
      <c r="O1095" s="8" t="str">
        <f t="array" ref="O1095">XLOOKUP(C1095,Customer_Dim!A:A,Customer_Dim!E:E,"Not Found")</f>
        <v>Hessmouth</v>
      </c>
      <c r="P1095" s="8" t="str">
        <f t="array" ref="P1095">XLOOKUP(D1095,Product_Dim!A:A,Product_Dim!B:B,"Not Found")</f>
        <v>Essential Oil Diffuser</v>
      </c>
      <c r="Q1095" s="8" t="str">
        <f t="array" ref="Q1095">XLOOKUP(D1095,Product_Dim!A:A,Product_Dim!C:C,"Not Found")</f>
        <v>Home</v>
      </c>
      <c r="R1095" s="8" t="str">
        <f t="array" ref="R1095">XLOOKUP(E1095,Store_Dim!A:A,Store_Dim!B:B,"Not Found")</f>
        <v>North</v>
      </c>
      <c r="S1095" s="8" t="str">
        <f t="array" ref="S1095">XLOOKUP(E1095,Store_Dim!A:A,Store_Dim!D:D,"Not Found")</f>
        <v>Outlet</v>
      </c>
    </row>
    <row r="1096" ht="14.25" customHeight="1">
      <c r="A1096" s="8" t="s">
        <v>3049</v>
      </c>
      <c r="B1096" s="12">
        <v>46574.0</v>
      </c>
      <c r="C1096" s="8" t="s">
        <v>1543</v>
      </c>
      <c r="D1096" s="8" t="s">
        <v>1851</v>
      </c>
      <c r="E1096" s="8" t="s">
        <v>1931</v>
      </c>
      <c r="F1096" s="8">
        <v>1.0</v>
      </c>
      <c r="G1096" s="8">
        <v>575.94</v>
      </c>
      <c r="H1096" s="8">
        <v>0.17</v>
      </c>
      <c r="I1096" s="8">
        <f t="shared" si="1"/>
        <v>575.94</v>
      </c>
      <c r="J1096" s="8">
        <f t="shared" si="2"/>
        <v>-97.7398</v>
      </c>
      <c r="K1096" s="8" t="str">
        <f t="shared" si="3"/>
        <v>Jul</v>
      </c>
      <c r="L1096" s="8">
        <f t="shared" si="4"/>
        <v>2027</v>
      </c>
      <c r="N1096" s="8" t="str">
        <f t="array" ref="N1096">XLOOKUP(C1096,Customer_Dim!A:A,Customer_Dim!B:B,"Not Found")</f>
        <v>Sarah Marsh</v>
      </c>
      <c r="O1096" s="8" t="str">
        <f t="array" ref="O1096">XLOOKUP(C1096,Customer_Dim!A:A,Customer_Dim!E:E,"Not Found")</f>
        <v>Port William</v>
      </c>
      <c r="P1096" s="8" t="str">
        <f t="array" ref="P1096">XLOOKUP(D1096,Product_Dim!A:A,Product_Dim!B:B,"Not Found")</f>
        <v>LED Bedside Lamp</v>
      </c>
      <c r="Q1096" s="8" t="str">
        <f t="array" ref="Q1096">XLOOKUP(D1096,Product_Dim!A:A,Product_Dim!C:C,"Not Found")</f>
        <v>Home</v>
      </c>
      <c r="R1096" s="8" t="str">
        <f t="array" ref="R1096">XLOOKUP(E1096,Store_Dim!A:A,Store_Dim!B:B,"Not Found")</f>
        <v>East</v>
      </c>
      <c r="S1096" s="8" t="str">
        <f t="array" ref="S1096">XLOOKUP(E1096,Store_Dim!A:A,Store_Dim!D:D,"Not Found")</f>
        <v>Flagship</v>
      </c>
    </row>
    <row r="1097" ht="14.25" customHeight="1">
      <c r="A1097" s="8" t="s">
        <v>3050</v>
      </c>
      <c r="B1097" s="12">
        <v>46575.0</v>
      </c>
      <c r="C1097" s="8" t="s">
        <v>818</v>
      </c>
      <c r="D1097" s="8" t="s">
        <v>1842</v>
      </c>
      <c r="E1097" s="8" t="s">
        <v>1933</v>
      </c>
      <c r="F1097" s="8">
        <v>1.0</v>
      </c>
      <c r="G1097" s="8">
        <v>907.97</v>
      </c>
      <c r="H1097" s="8">
        <v>0.26</v>
      </c>
      <c r="I1097" s="8">
        <f t="shared" si="1"/>
        <v>907.97</v>
      </c>
      <c r="J1097" s="8">
        <f t="shared" si="2"/>
        <v>-235.8122</v>
      </c>
      <c r="K1097" s="8" t="str">
        <f t="shared" si="3"/>
        <v>Jul</v>
      </c>
      <c r="L1097" s="8">
        <f t="shared" si="4"/>
        <v>2027</v>
      </c>
      <c r="N1097" s="8" t="str">
        <f t="array" ref="N1097">XLOOKUP(C1097,Customer_Dim!A:A,Customer_Dim!B:B,"Not Found")</f>
        <v>Tyler Garner</v>
      </c>
      <c r="O1097" s="8" t="str">
        <f t="array" ref="O1097">XLOOKUP(C1097,Customer_Dim!A:A,Customer_Dim!E:E,"Not Found")</f>
        <v>Port Coreyfort</v>
      </c>
      <c r="P1097" s="8" t="str">
        <f t="array" ref="P1097">XLOOKUP(D1097,Product_Dim!A:A,Product_Dim!B:B,"Not Found")</f>
        <v>Wooden Bookshelf</v>
      </c>
      <c r="Q1097" s="8" t="str">
        <f t="array" ref="Q1097">XLOOKUP(D1097,Product_Dim!A:A,Product_Dim!C:C,"Not Found")</f>
        <v>Home</v>
      </c>
      <c r="R1097" s="8" t="str">
        <f t="array" ref="R1097">XLOOKUP(E1097,Store_Dim!A:A,Store_Dim!B:B,"Not Found")</f>
        <v>North</v>
      </c>
      <c r="S1097" s="8" t="str">
        <f t="array" ref="S1097">XLOOKUP(E1097,Store_Dim!A:A,Store_Dim!D:D,"Not Found")</f>
        <v>Flagship</v>
      </c>
    </row>
    <row r="1098" ht="14.25" customHeight="1">
      <c r="A1098" s="8" t="s">
        <v>3051</v>
      </c>
      <c r="B1098" s="12">
        <v>46576.0</v>
      </c>
      <c r="C1098" s="8" t="s">
        <v>864</v>
      </c>
      <c r="D1098" s="8" t="s">
        <v>1642</v>
      </c>
      <c r="E1098" s="8" t="s">
        <v>1929</v>
      </c>
      <c r="F1098" s="8">
        <v>1.0</v>
      </c>
      <c r="G1098" s="8">
        <v>99.35</v>
      </c>
      <c r="H1098" s="8">
        <v>0.08</v>
      </c>
      <c r="I1098" s="8">
        <f t="shared" si="1"/>
        <v>99.35</v>
      </c>
      <c r="J1098" s="8">
        <f t="shared" si="2"/>
        <v>-7.868</v>
      </c>
      <c r="K1098" s="8" t="str">
        <f t="shared" si="3"/>
        <v>Jul</v>
      </c>
      <c r="L1098" s="8">
        <f t="shared" si="4"/>
        <v>2027</v>
      </c>
      <c r="N1098" s="8" t="str">
        <f t="array" ref="N1098">XLOOKUP(C1098,Customer_Dim!A:A,Customer_Dim!B:B,"Not Found")</f>
        <v>Cynthia Payne</v>
      </c>
      <c r="O1098" s="8" t="str">
        <f t="array" ref="O1098">XLOOKUP(C1098,Customer_Dim!A:A,Customer_Dim!E:E,"Not Found")</f>
        <v>South Gina</v>
      </c>
      <c r="P1098" s="8" t="str">
        <f t="array" ref="P1098">XLOOKUP(D1098,Product_Dim!A:A,Product_Dim!B:B,"Not Found")</f>
        <v>Outdoor Sports Water Bottle</v>
      </c>
      <c r="Q1098" s="8" t="str">
        <f t="array" ref="Q1098">XLOOKUP(D1098,Product_Dim!A:A,Product_Dim!C:C,"Not Found")</f>
        <v>Sports</v>
      </c>
      <c r="R1098" s="8" t="str">
        <f t="array" ref="R1098">XLOOKUP(E1098,Store_Dim!A:A,Store_Dim!B:B,"Not Found")</f>
        <v>North</v>
      </c>
      <c r="S1098" s="8" t="str">
        <f t="array" ref="S1098">XLOOKUP(E1098,Store_Dim!A:A,Store_Dim!D:D,"Not Found")</f>
        <v>Online</v>
      </c>
    </row>
    <row r="1099" ht="14.25" customHeight="1">
      <c r="A1099" s="8" t="s">
        <v>3052</v>
      </c>
      <c r="B1099" s="12">
        <v>46577.0</v>
      </c>
      <c r="C1099" s="8" t="s">
        <v>271</v>
      </c>
      <c r="D1099" s="8" t="s">
        <v>1562</v>
      </c>
      <c r="E1099" s="8" t="s">
        <v>1910</v>
      </c>
      <c r="F1099" s="8">
        <v>2.0</v>
      </c>
      <c r="G1099" s="8">
        <v>374.42</v>
      </c>
      <c r="H1099" s="8">
        <v>0.21</v>
      </c>
      <c r="I1099" s="8">
        <f t="shared" si="1"/>
        <v>748.84</v>
      </c>
      <c r="J1099" s="8">
        <f t="shared" si="2"/>
        <v>-157.0464</v>
      </c>
      <c r="K1099" s="8" t="str">
        <f t="shared" si="3"/>
        <v>Jul</v>
      </c>
      <c r="L1099" s="8">
        <f t="shared" si="4"/>
        <v>2027</v>
      </c>
      <c r="N1099" s="8" t="str">
        <f t="array" ref="N1099">XLOOKUP(C1099,Customer_Dim!A:A,Customer_Dim!B:B,"Not Found")</f>
        <v>Andrea Perez</v>
      </c>
      <c r="O1099" s="8" t="str">
        <f t="array" ref="O1099">XLOOKUP(C1099,Customer_Dim!A:A,Customer_Dim!E:E,"Not Found")</f>
        <v>South Shaun</v>
      </c>
      <c r="P1099" s="8" t="str">
        <f t="array" ref="P1099">XLOOKUP(D1099,Product_Dim!A:A,Product_Dim!B:B,"Not Found")</f>
        <v>Brother Laser Printer</v>
      </c>
      <c r="Q1099" s="8" t="str">
        <f t="array" ref="Q1099">XLOOKUP(D1099,Product_Dim!A:A,Product_Dim!C:C,"Not Found")</f>
        <v>Electronics</v>
      </c>
      <c r="R1099" s="8" t="str">
        <f t="array" ref="R1099">XLOOKUP(E1099,Store_Dim!A:A,Store_Dim!B:B,"Not Found")</f>
        <v>North</v>
      </c>
      <c r="S1099" s="8" t="str">
        <f t="array" ref="S1099">XLOOKUP(E1099,Store_Dim!A:A,Store_Dim!D:D,"Not Found")</f>
        <v>Outlet</v>
      </c>
    </row>
    <row r="1100" ht="14.25" customHeight="1">
      <c r="A1100" s="8" t="s">
        <v>3053</v>
      </c>
      <c r="B1100" s="12">
        <v>46578.0</v>
      </c>
      <c r="C1100" s="8" t="s">
        <v>1497</v>
      </c>
      <c r="D1100" s="8" t="s">
        <v>1624</v>
      </c>
      <c r="E1100" s="8" t="s">
        <v>1933</v>
      </c>
      <c r="F1100" s="8">
        <v>3.0</v>
      </c>
      <c r="G1100" s="8">
        <v>248.43</v>
      </c>
      <c r="H1100" s="8">
        <v>0.24</v>
      </c>
      <c r="I1100" s="8">
        <f t="shared" si="1"/>
        <v>745.29</v>
      </c>
      <c r="J1100" s="8">
        <f t="shared" si="2"/>
        <v>-178.6296</v>
      </c>
      <c r="K1100" s="8" t="str">
        <f t="shared" si="3"/>
        <v>Jul</v>
      </c>
      <c r="L1100" s="8">
        <f t="shared" si="4"/>
        <v>2027</v>
      </c>
      <c r="N1100" s="8" t="str">
        <f t="array" ref="N1100">XLOOKUP(C1100,Customer_Dim!A:A,Customer_Dim!B:B,"Not Found")</f>
        <v>Bryan Tran</v>
      </c>
      <c r="O1100" s="8" t="str">
        <f t="array" ref="O1100">XLOOKUP(C1100,Customer_Dim!A:A,Customer_Dim!E:E,"Not Found")</f>
        <v>Kelseybury</v>
      </c>
      <c r="P1100" s="8" t="str">
        <f t="array" ref="P1100">XLOOKUP(D1100,Product_Dim!A:A,Product_Dim!B:B,"Not Found")</f>
        <v>4K Home Projector</v>
      </c>
      <c r="Q1100" s="8" t="str">
        <f t="array" ref="Q1100">XLOOKUP(D1100,Product_Dim!A:A,Product_Dim!C:C,"Not Found")</f>
        <v>Electronics</v>
      </c>
      <c r="R1100" s="8" t="str">
        <f t="array" ref="R1100">XLOOKUP(E1100,Store_Dim!A:A,Store_Dim!B:B,"Not Found")</f>
        <v>North</v>
      </c>
      <c r="S1100" s="8" t="str">
        <f t="array" ref="S1100">XLOOKUP(E1100,Store_Dim!A:A,Store_Dim!D:D,"Not Found")</f>
        <v>Flagship</v>
      </c>
    </row>
    <row r="1101" ht="14.25" customHeight="1">
      <c r="A1101" s="8" t="s">
        <v>3054</v>
      </c>
      <c r="B1101" s="12">
        <v>46579.0</v>
      </c>
      <c r="C1101" s="8" t="s">
        <v>1459</v>
      </c>
      <c r="D1101" s="8" t="s">
        <v>1845</v>
      </c>
      <c r="E1101" s="8" t="s">
        <v>1903</v>
      </c>
      <c r="F1101" s="8">
        <v>1.0</v>
      </c>
      <c r="G1101" s="8">
        <v>784.46</v>
      </c>
      <c r="H1101" s="8">
        <v>0.14</v>
      </c>
      <c r="I1101" s="8">
        <f t="shared" si="1"/>
        <v>784.46</v>
      </c>
      <c r="J1101" s="8">
        <f t="shared" si="2"/>
        <v>-109.6844</v>
      </c>
      <c r="K1101" s="8" t="str">
        <f t="shared" si="3"/>
        <v>Jul</v>
      </c>
      <c r="L1101" s="8">
        <f t="shared" si="4"/>
        <v>2027</v>
      </c>
      <c r="N1101" s="8" t="str">
        <f t="array" ref="N1101">XLOOKUP(C1101,Customer_Dim!A:A,Customer_Dim!B:B,"Not Found")</f>
        <v>Gregory Curtis</v>
      </c>
      <c r="O1101" s="8" t="str">
        <f t="array" ref="O1101">XLOOKUP(C1101,Customer_Dim!A:A,Customer_Dim!E:E,"Not Found")</f>
        <v>Bergermouth</v>
      </c>
      <c r="P1101" s="8" t="str">
        <f t="array" ref="P1101">XLOOKUP(D1101,Product_Dim!A:A,Product_Dim!B:B,"Not Found")</f>
        <v>Women's Beanie Hat</v>
      </c>
      <c r="Q1101" s="8" t="str">
        <f t="array" ref="Q1101">XLOOKUP(D1101,Product_Dim!A:A,Product_Dim!C:C,"Not Found")</f>
        <v>Clothing</v>
      </c>
      <c r="R1101" s="8" t="str">
        <f t="array" ref="R1101">XLOOKUP(E1101,Store_Dim!A:A,Store_Dim!B:B,"Not Found")</f>
        <v>North</v>
      </c>
      <c r="S1101" s="8" t="str">
        <f t="array" ref="S1101">XLOOKUP(E1101,Store_Dim!A:A,Store_Dim!D:D,"Not Found")</f>
        <v>Flagship</v>
      </c>
    </row>
    <row r="1102" ht="14.25" customHeight="1">
      <c r="A1102" s="8" t="s">
        <v>3055</v>
      </c>
      <c r="B1102" s="12">
        <v>46580.0</v>
      </c>
      <c r="C1102" s="8" t="s">
        <v>842</v>
      </c>
      <c r="D1102" s="8" t="s">
        <v>1745</v>
      </c>
      <c r="E1102" s="8" t="s">
        <v>1926</v>
      </c>
      <c r="F1102" s="8">
        <v>3.0</v>
      </c>
      <c r="G1102" s="8">
        <v>70.88</v>
      </c>
      <c r="H1102" s="8">
        <v>0.27</v>
      </c>
      <c r="I1102" s="8">
        <f t="shared" si="1"/>
        <v>212.64</v>
      </c>
      <c r="J1102" s="8">
        <f t="shared" si="2"/>
        <v>-57.1428</v>
      </c>
      <c r="K1102" s="8" t="str">
        <f t="shared" si="3"/>
        <v>Jul</v>
      </c>
      <c r="L1102" s="8">
        <f t="shared" si="4"/>
        <v>2027</v>
      </c>
      <c r="N1102" s="8" t="str">
        <f t="array" ref="N1102">XLOOKUP(C1102,Customer_Dim!A:A,Customer_Dim!B:B,"Not Found")</f>
        <v>Beth Allen</v>
      </c>
      <c r="O1102" s="8" t="str">
        <f t="array" ref="O1102">XLOOKUP(C1102,Customer_Dim!A:A,Customer_Dim!E:E,"Not Found")</f>
        <v>South Kathrynmouth</v>
      </c>
      <c r="P1102" s="8" t="str">
        <f t="array" ref="P1102">XLOOKUP(D1102,Product_Dim!A:A,Product_Dim!B:B,"Not Found")</f>
        <v>Rugby Ball</v>
      </c>
      <c r="Q1102" s="8" t="str">
        <f t="array" ref="Q1102">XLOOKUP(D1102,Product_Dim!A:A,Product_Dim!C:C,"Not Found")</f>
        <v>Sports</v>
      </c>
      <c r="R1102" s="8" t="str">
        <f t="array" ref="R1102">XLOOKUP(E1102,Store_Dim!A:A,Store_Dim!B:B,"Not Found")</f>
        <v>East</v>
      </c>
      <c r="S1102" s="8" t="str">
        <f t="array" ref="S1102">XLOOKUP(E1102,Store_Dim!A:A,Store_Dim!D:D,"Not Found")</f>
        <v>Online</v>
      </c>
    </row>
    <row r="1103" ht="14.25" customHeight="1">
      <c r="A1103" s="8" t="s">
        <v>3056</v>
      </c>
      <c r="B1103" s="12">
        <v>46581.0</v>
      </c>
      <c r="C1103" s="8" t="s">
        <v>397</v>
      </c>
      <c r="D1103" s="8" t="s">
        <v>1597</v>
      </c>
      <c r="E1103" s="8" t="s">
        <v>1903</v>
      </c>
      <c r="F1103" s="8">
        <v>3.0</v>
      </c>
      <c r="G1103" s="8">
        <v>324.29</v>
      </c>
      <c r="H1103" s="8">
        <v>0.16</v>
      </c>
      <c r="I1103" s="8">
        <f t="shared" si="1"/>
        <v>972.87</v>
      </c>
      <c r="J1103" s="8">
        <f t="shared" si="2"/>
        <v>-155.4992</v>
      </c>
      <c r="K1103" s="8" t="str">
        <f t="shared" si="3"/>
        <v>Jul</v>
      </c>
      <c r="L1103" s="8">
        <f t="shared" si="4"/>
        <v>2027</v>
      </c>
      <c r="N1103" s="8" t="str">
        <f t="array" ref="N1103">XLOOKUP(C1103,Customer_Dim!A:A,Customer_Dim!B:B,"Not Found")</f>
        <v>Ashley Griffin</v>
      </c>
      <c r="O1103" s="8" t="str">
        <f t="array" ref="O1103">XLOOKUP(C1103,Customer_Dim!A:A,Customer_Dim!E:E,"Not Found")</f>
        <v>New Dawnton</v>
      </c>
      <c r="P1103" s="8" t="str">
        <f t="array" ref="P1103">XLOOKUP(D1103,Product_Dim!A:A,Product_Dim!B:B,"Not Found")</f>
        <v>Wireless Bluetooth Earbuds</v>
      </c>
      <c r="Q1103" s="8" t="str">
        <f t="array" ref="Q1103">XLOOKUP(D1103,Product_Dim!A:A,Product_Dim!C:C,"Not Found")</f>
        <v>Electronics</v>
      </c>
      <c r="R1103" s="8" t="str">
        <f t="array" ref="R1103">XLOOKUP(E1103,Store_Dim!A:A,Store_Dim!B:B,"Not Found")</f>
        <v>North</v>
      </c>
      <c r="S1103" s="8" t="str">
        <f t="array" ref="S1103">XLOOKUP(E1103,Store_Dim!A:A,Store_Dim!D:D,"Not Found")</f>
        <v>Flagship</v>
      </c>
    </row>
    <row r="1104" ht="14.25" customHeight="1">
      <c r="A1104" s="8" t="s">
        <v>3057</v>
      </c>
      <c r="B1104" s="12">
        <v>46582.0</v>
      </c>
      <c r="C1104" s="8" t="s">
        <v>490</v>
      </c>
      <c r="D1104" s="8" t="s">
        <v>1624</v>
      </c>
      <c r="E1104" s="8" t="s">
        <v>1910</v>
      </c>
      <c r="F1104" s="8">
        <v>4.0</v>
      </c>
      <c r="G1104" s="8">
        <v>243.92</v>
      </c>
      <c r="H1104" s="8">
        <v>0.02</v>
      </c>
      <c r="I1104" s="8">
        <f t="shared" si="1"/>
        <v>975.68</v>
      </c>
      <c r="J1104" s="8">
        <f t="shared" si="2"/>
        <v>-19.4936</v>
      </c>
      <c r="K1104" s="8" t="str">
        <f t="shared" si="3"/>
        <v>Jul</v>
      </c>
      <c r="L1104" s="8">
        <f t="shared" si="4"/>
        <v>2027</v>
      </c>
      <c r="N1104" s="8" t="str">
        <f t="array" ref="N1104">XLOOKUP(C1104,Customer_Dim!A:A,Customer_Dim!B:B,"Not Found")</f>
        <v>Cristian Wright</v>
      </c>
      <c r="O1104" s="8" t="str">
        <f t="array" ref="O1104">XLOOKUP(C1104,Customer_Dim!A:A,Customer_Dim!E:E,"Not Found")</f>
        <v>Port Denise</v>
      </c>
      <c r="P1104" s="8" t="str">
        <f t="array" ref="P1104">XLOOKUP(D1104,Product_Dim!A:A,Product_Dim!B:B,"Not Found")</f>
        <v>4K Home Projector</v>
      </c>
      <c r="Q1104" s="8" t="str">
        <f t="array" ref="Q1104">XLOOKUP(D1104,Product_Dim!A:A,Product_Dim!C:C,"Not Found")</f>
        <v>Electronics</v>
      </c>
      <c r="R1104" s="8" t="str">
        <f t="array" ref="R1104">XLOOKUP(E1104,Store_Dim!A:A,Store_Dim!B:B,"Not Found")</f>
        <v>North</v>
      </c>
      <c r="S1104" s="8" t="str">
        <f t="array" ref="S1104">XLOOKUP(E1104,Store_Dim!A:A,Store_Dim!D:D,"Not Found")</f>
        <v>Outlet</v>
      </c>
    </row>
    <row r="1105" ht="14.25" customHeight="1">
      <c r="A1105" s="8" t="s">
        <v>3058</v>
      </c>
      <c r="B1105" s="12">
        <v>46583.0</v>
      </c>
      <c r="C1105" s="8" t="s">
        <v>1188</v>
      </c>
      <c r="D1105" s="8" t="s">
        <v>1668</v>
      </c>
      <c r="E1105" s="8" t="s">
        <v>1931</v>
      </c>
      <c r="F1105" s="8">
        <v>1.0</v>
      </c>
      <c r="G1105" s="8">
        <v>664.35</v>
      </c>
      <c r="H1105" s="8">
        <v>0.0</v>
      </c>
      <c r="I1105" s="8">
        <f t="shared" si="1"/>
        <v>664.35</v>
      </c>
      <c r="J1105" s="8">
        <f t="shared" si="2"/>
        <v>0</v>
      </c>
      <c r="K1105" s="8" t="str">
        <f t="shared" si="3"/>
        <v>Jul</v>
      </c>
      <c r="L1105" s="8">
        <f t="shared" si="4"/>
        <v>2027</v>
      </c>
      <c r="N1105" s="8" t="str">
        <f t="array" ref="N1105">XLOOKUP(C1105,Customer_Dim!A:A,Customer_Dim!B:B,"Not Found")</f>
        <v>Joshua Bell</v>
      </c>
      <c r="O1105" s="8" t="str">
        <f t="array" ref="O1105">XLOOKUP(C1105,Customer_Dim!A:A,Customer_Dim!E:E,"Not Found")</f>
        <v>Port Richardshire</v>
      </c>
      <c r="P1105" s="8" t="str">
        <f t="array" ref="P1105">XLOOKUP(D1105,Product_Dim!A:A,Product_Dim!B:B,"Not Found")</f>
        <v>Sports Stopwatch Timer</v>
      </c>
      <c r="Q1105" s="8" t="str">
        <f t="array" ref="Q1105">XLOOKUP(D1105,Product_Dim!A:A,Product_Dim!C:C,"Not Found")</f>
        <v>Sports</v>
      </c>
      <c r="R1105" s="8" t="str">
        <f t="array" ref="R1105">XLOOKUP(E1105,Store_Dim!A:A,Store_Dim!B:B,"Not Found")</f>
        <v>East</v>
      </c>
      <c r="S1105" s="8" t="str">
        <f t="array" ref="S1105">XLOOKUP(E1105,Store_Dim!A:A,Store_Dim!D:D,"Not Found")</f>
        <v>Flagship</v>
      </c>
    </row>
    <row r="1106" ht="14.25" customHeight="1">
      <c r="A1106" s="8" t="s">
        <v>3059</v>
      </c>
      <c r="B1106" s="12">
        <v>46584.0</v>
      </c>
      <c r="C1106" s="8" t="s">
        <v>1215</v>
      </c>
      <c r="D1106" s="8" t="s">
        <v>1645</v>
      </c>
      <c r="E1106" s="8" t="s">
        <v>1926</v>
      </c>
      <c r="F1106" s="8">
        <v>2.0</v>
      </c>
      <c r="G1106" s="8">
        <v>218.07</v>
      </c>
      <c r="H1106" s="8">
        <v>0.19</v>
      </c>
      <c r="I1106" s="8">
        <f t="shared" si="1"/>
        <v>436.14</v>
      </c>
      <c r="J1106" s="8">
        <f t="shared" si="2"/>
        <v>-82.6766</v>
      </c>
      <c r="K1106" s="8" t="str">
        <f t="shared" si="3"/>
        <v>Jul</v>
      </c>
      <c r="L1106" s="8">
        <f t="shared" si="4"/>
        <v>2027</v>
      </c>
      <c r="N1106" s="8" t="str">
        <f t="array" ref="N1106">XLOOKUP(C1106,Customer_Dim!A:A,Customer_Dim!B:B,"Not Found")</f>
        <v>Andrew Mason</v>
      </c>
      <c r="O1106" s="8" t="str">
        <f t="array" ref="O1106">XLOOKUP(C1106,Customer_Dim!A:A,Customer_Dim!E:E,"Not Found")</f>
        <v>North Michael</v>
      </c>
      <c r="P1106" s="8" t="str">
        <f t="array" ref="P1106">XLOOKUP(D1106,Product_Dim!A:A,Product_Dim!B:B,"Not Found")</f>
        <v>Multi-Purpose Storage Box</v>
      </c>
      <c r="Q1106" s="8" t="str">
        <f t="array" ref="Q1106">XLOOKUP(D1106,Product_Dim!A:A,Product_Dim!C:C,"Not Found")</f>
        <v>Home</v>
      </c>
      <c r="R1106" s="8" t="str">
        <f t="array" ref="R1106">XLOOKUP(E1106,Store_Dim!A:A,Store_Dim!B:B,"Not Found")</f>
        <v>East</v>
      </c>
      <c r="S1106" s="8" t="str">
        <f t="array" ref="S1106">XLOOKUP(E1106,Store_Dim!A:A,Store_Dim!D:D,"Not Found")</f>
        <v>Online</v>
      </c>
    </row>
    <row r="1107" ht="14.25" customHeight="1">
      <c r="A1107" s="8" t="s">
        <v>3060</v>
      </c>
      <c r="B1107" s="12">
        <v>46585.0</v>
      </c>
      <c r="C1107" s="8" t="s">
        <v>1212</v>
      </c>
      <c r="D1107" s="8" t="s">
        <v>1624</v>
      </c>
      <c r="E1107" s="8" t="s">
        <v>1910</v>
      </c>
      <c r="F1107" s="8">
        <v>4.0</v>
      </c>
      <c r="G1107" s="8">
        <v>921.83</v>
      </c>
      <c r="H1107" s="8">
        <v>0.27</v>
      </c>
      <c r="I1107" s="8">
        <f t="shared" si="1"/>
        <v>3687.32</v>
      </c>
      <c r="J1107" s="8">
        <f t="shared" si="2"/>
        <v>-995.3064</v>
      </c>
      <c r="K1107" s="8" t="str">
        <f t="shared" si="3"/>
        <v>Jul</v>
      </c>
      <c r="L1107" s="8">
        <f t="shared" si="4"/>
        <v>2027</v>
      </c>
      <c r="N1107" s="8" t="str">
        <f t="array" ref="N1107">XLOOKUP(C1107,Customer_Dim!A:A,Customer_Dim!B:B,"Not Found")</f>
        <v>Kristine Higgins</v>
      </c>
      <c r="O1107" s="8" t="str">
        <f t="array" ref="O1107">XLOOKUP(C1107,Customer_Dim!A:A,Customer_Dim!E:E,"Not Found")</f>
        <v>Jennifertown</v>
      </c>
      <c r="P1107" s="8" t="str">
        <f t="array" ref="P1107">XLOOKUP(D1107,Product_Dim!A:A,Product_Dim!B:B,"Not Found")</f>
        <v>4K Home Projector</v>
      </c>
      <c r="Q1107" s="8" t="str">
        <f t="array" ref="Q1107">XLOOKUP(D1107,Product_Dim!A:A,Product_Dim!C:C,"Not Found")</f>
        <v>Electronics</v>
      </c>
      <c r="R1107" s="8" t="str">
        <f t="array" ref="R1107">XLOOKUP(E1107,Store_Dim!A:A,Store_Dim!B:B,"Not Found")</f>
        <v>North</v>
      </c>
      <c r="S1107" s="8" t="str">
        <f t="array" ref="S1107">XLOOKUP(E1107,Store_Dim!A:A,Store_Dim!D:D,"Not Found")</f>
        <v>Outlet</v>
      </c>
    </row>
    <row r="1108" ht="14.25" customHeight="1">
      <c r="A1108" s="8" t="s">
        <v>3061</v>
      </c>
      <c r="B1108" s="12">
        <v>46586.0</v>
      </c>
      <c r="C1108" s="8" t="s">
        <v>571</v>
      </c>
      <c r="D1108" s="8" t="s">
        <v>1739</v>
      </c>
      <c r="E1108" s="8" t="s">
        <v>1903</v>
      </c>
      <c r="F1108" s="8">
        <v>3.0</v>
      </c>
      <c r="G1108" s="8">
        <v>326.2</v>
      </c>
      <c r="H1108" s="8">
        <v>0.22</v>
      </c>
      <c r="I1108" s="8">
        <f t="shared" si="1"/>
        <v>978.6</v>
      </c>
      <c r="J1108" s="8">
        <f t="shared" si="2"/>
        <v>-215.072</v>
      </c>
      <c r="K1108" s="8" t="str">
        <f t="shared" si="3"/>
        <v>Jul</v>
      </c>
      <c r="L1108" s="8">
        <f t="shared" si="4"/>
        <v>2027</v>
      </c>
      <c r="N1108" s="8" t="str">
        <f t="array" ref="N1108">XLOOKUP(C1108,Customer_Dim!A:A,Customer_Dim!B:B,"Not Found")</f>
        <v>Daniel Contreras</v>
      </c>
      <c r="O1108" s="8" t="str">
        <f t="array" ref="O1108">XLOOKUP(C1108,Customer_Dim!A:A,Customer_Dim!E:E,"Not Found")</f>
        <v>Robertview</v>
      </c>
      <c r="P1108" s="8" t="str">
        <f t="array" ref="P1108">XLOOKUP(D1108,Product_Dim!A:A,Product_Dim!B:B,"Not Found")</f>
        <v>Boxing Hand Wraps</v>
      </c>
      <c r="Q1108" s="8" t="str">
        <f t="array" ref="Q1108">XLOOKUP(D1108,Product_Dim!A:A,Product_Dim!C:C,"Not Found")</f>
        <v>Sports</v>
      </c>
      <c r="R1108" s="8" t="str">
        <f t="array" ref="R1108">XLOOKUP(E1108,Store_Dim!A:A,Store_Dim!B:B,"Not Found")</f>
        <v>North</v>
      </c>
      <c r="S1108" s="8" t="str">
        <f t="array" ref="S1108">XLOOKUP(E1108,Store_Dim!A:A,Store_Dim!D:D,"Not Found")</f>
        <v>Flagship</v>
      </c>
    </row>
    <row r="1109" ht="14.25" customHeight="1">
      <c r="A1109" s="8" t="s">
        <v>3062</v>
      </c>
      <c r="B1109" s="12">
        <v>46587.0</v>
      </c>
      <c r="C1109" s="8" t="s">
        <v>1430</v>
      </c>
      <c r="D1109" s="8" t="s">
        <v>1632</v>
      </c>
      <c r="E1109" s="8" t="s">
        <v>1941</v>
      </c>
      <c r="F1109" s="8">
        <v>1.0</v>
      </c>
      <c r="G1109" s="8">
        <v>244.25</v>
      </c>
      <c r="H1109" s="8">
        <v>0.09</v>
      </c>
      <c r="I1109" s="8">
        <f t="shared" si="1"/>
        <v>244.25</v>
      </c>
      <c r="J1109" s="8">
        <f t="shared" si="2"/>
        <v>-21.8925</v>
      </c>
      <c r="K1109" s="8" t="str">
        <f t="shared" si="3"/>
        <v>Jul</v>
      </c>
      <c r="L1109" s="8">
        <f t="shared" si="4"/>
        <v>2027</v>
      </c>
      <c r="N1109" s="8" t="str">
        <f t="array" ref="N1109">XLOOKUP(C1109,Customer_Dim!A:A,Customer_Dim!B:B,"Not Found")</f>
        <v>Kelly Garrett</v>
      </c>
      <c r="O1109" s="8" t="str">
        <f t="array" ref="O1109">XLOOKUP(C1109,Customer_Dim!A:A,Customer_Dim!E:E,"Not Found")</f>
        <v>Port Taylorberg</v>
      </c>
      <c r="P1109" s="8" t="str">
        <f t="array" ref="P1109">XLOOKUP(D1109,Product_Dim!A:A,Product_Dim!B:B,"Not Found")</f>
        <v>Soccer Training Cone Set</v>
      </c>
      <c r="Q1109" s="8" t="str">
        <f t="array" ref="Q1109">XLOOKUP(D1109,Product_Dim!A:A,Product_Dim!C:C,"Not Found")</f>
        <v>Sports</v>
      </c>
      <c r="R1109" s="8" t="str">
        <f t="array" ref="R1109">XLOOKUP(E1109,Store_Dim!A:A,Store_Dim!B:B,"Not Found")</f>
        <v>East</v>
      </c>
      <c r="S1109" s="8" t="str">
        <f t="array" ref="S1109">XLOOKUP(E1109,Store_Dim!A:A,Store_Dim!D:D,"Not Found")</f>
        <v>Online</v>
      </c>
    </row>
    <row r="1110" ht="14.25" customHeight="1">
      <c r="A1110" s="8" t="s">
        <v>3063</v>
      </c>
      <c r="B1110" s="12">
        <v>46588.0</v>
      </c>
      <c r="C1110" s="8" t="s">
        <v>1170</v>
      </c>
      <c r="D1110" s="8" t="s">
        <v>1772</v>
      </c>
      <c r="E1110" s="8" t="s">
        <v>1926</v>
      </c>
      <c r="F1110" s="8">
        <v>3.0</v>
      </c>
      <c r="G1110" s="8">
        <v>808.87</v>
      </c>
      <c r="H1110" s="8">
        <v>0.12</v>
      </c>
      <c r="I1110" s="8">
        <f t="shared" si="1"/>
        <v>2426.61</v>
      </c>
      <c r="J1110" s="8">
        <f t="shared" si="2"/>
        <v>-291.0732</v>
      </c>
      <c r="K1110" s="8" t="str">
        <f t="shared" si="3"/>
        <v>Jul</v>
      </c>
      <c r="L1110" s="8">
        <f t="shared" si="4"/>
        <v>2027</v>
      </c>
      <c r="N1110" s="8" t="str">
        <f t="array" ref="N1110">XLOOKUP(C1110,Customer_Dim!A:A,Customer_Dim!B:B,"Not Found")</f>
        <v>Gregory Allen</v>
      </c>
      <c r="O1110" s="8" t="str">
        <f t="array" ref="O1110">XLOOKUP(C1110,Customer_Dim!A:A,Customer_Dim!E:E,"Not Found")</f>
        <v>West Bruce</v>
      </c>
      <c r="P1110" s="8" t="str">
        <f t="array" ref="P1110">XLOOKUP(D1110,Product_Dim!A:A,Product_Dim!B:B,"Not Found")</f>
        <v>Tennis Ball 3-Pack</v>
      </c>
      <c r="Q1110" s="8" t="str">
        <f t="array" ref="Q1110">XLOOKUP(D1110,Product_Dim!A:A,Product_Dim!C:C,"Not Found")</f>
        <v>Sports</v>
      </c>
      <c r="R1110" s="8" t="str">
        <f t="array" ref="R1110">XLOOKUP(E1110,Store_Dim!A:A,Store_Dim!B:B,"Not Found")</f>
        <v>East</v>
      </c>
      <c r="S1110" s="8" t="str">
        <f t="array" ref="S1110">XLOOKUP(E1110,Store_Dim!A:A,Store_Dim!D:D,"Not Found")</f>
        <v>Online</v>
      </c>
    </row>
    <row r="1111" ht="14.25" customHeight="1">
      <c r="A1111" s="8" t="s">
        <v>3064</v>
      </c>
      <c r="B1111" s="12">
        <v>46589.0</v>
      </c>
      <c r="C1111" s="8" t="s">
        <v>1077</v>
      </c>
      <c r="D1111" s="8" t="s">
        <v>1677</v>
      </c>
      <c r="E1111" s="8" t="s">
        <v>1906</v>
      </c>
      <c r="F1111" s="8">
        <v>3.0</v>
      </c>
      <c r="G1111" s="8">
        <v>826.15</v>
      </c>
      <c r="H1111" s="8">
        <v>0.0</v>
      </c>
      <c r="I1111" s="8">
        <f t="shared" si="1"/>
        <v>2478.45</v>
      </c>
      <c r="J1111" s="8">
        <f t="shared" si="2"/>
        <v>0</v>
      </c>
      <c r="K1111" s="8" t="str">
        <f t="shared" si="3"/>
        <v>Jul</v>
      </c>
      <c r="L1111" s="8">
        <f t="shared" si="4"/>
        <v>2027</v>
      </c>
      <c r="N1111" s="8" t="str">
        <f t="array" ref="N1111">XLOOKUP(C1111,Customer_Dim!A:A,Customer_Dim!B:B,"Not Found")</f>
        <v>Jasmine Snyder</v>
      </c>
      <c r="O1111" s="8" t="str">
        <f t="array" ref="O1111">XLOOKUP(C1111,Customer_Dim!A:A,Customer_Dim!E:E,"Not Found")</f>
        <v>Hudsonfort</v>
      </c>
      <c r="P1111" s="8" t="str">
        <f t="array" ref="P1111">XLOOKUP(D1111,Product_Dim!A:A,Product_Dim!B:B,"Not Found")</f>
        <v>Basketball</v>
      </c>
      <c r="Q1111" s="8" t="str">
        <f t="array" ref="Q1111">XLOOKUP(D1111,Product_Dim!A:A,Product_Dim!C:C,"Not Found")</f>
        <v>Sports</v>
      </c>
      <c r="R1111" s="8" t="str">
        <f t="array" ref="R1111">XLOOKUP(E1111,Store_Dim!A:A,Store_Dim!B:B,"Not Found")</f>
        <v>South</v>
      </c>
      <c r="S1111" s="8" t="str">
        <f t="array" ref="S1111">XLOOKUP(E1111,Store_Dim!A:A,Store_Dim!D:D,"Not Found")</f>
        <v>Outlet</v>
      </c>
    </row>
    <row r="1112" ht="14.25" customHeight="1">
      <c r="A1112" s="8" t="s">
        <v>3065</v>
      </c>
      <c r="B1112" s="12">
        <v>46590.0</v>
      </c>
      <c r="C1112" s="8" t="s">
        <v>628</v>
      </c>
      <c r="D1112" s="8" t="s">
        <v>1655</v>
      </c>
      <c r="E1112" s="8" t="s">
        <v>1941</v>
      </c>
      <c r="F1112" s="8">
        <v>3.0</v>
      </c>
      <c r="G1112" s="8">
        <v>631.2</v>
      </c>
      <c r="H1112" s="8">
        <v>0.24</v>
      </c>
      <c r="I1112" s="8">
        <f t="shared" si="1"/>
        <v>1893.6</v>
      </c>
      <c r="J1112" s="8">
        <f t="shared" si="2"/>
        <v>-454.224</v>
      </c>
      <c r="K1112" s="8" t="str">
        <f t="shared" si="3"/>
        <v>Jul</v>
      </c>
      <c r="L1112" s="8">
        <f t="shared" si="4"/>
        <v>2027</v>
      </c>
      <c r="N1112" s="8" t="str">
        <f t="array" ref="N1112">XLOOKUP(C1112,Customer_Dim!A:A,Customer_Dim!B:B,"Not Found")</f>
        <v>Dr. Suzanne Bullock</v>
      </c>
      <c r="O1112" s="8" t="str">
        <f t="array" ref="O1112">XLOOKUP(C1112,Customer_Dim!A:A,Customer_Dim!E:E,"Not Found")</f>
        <v>Lake Blaketon</v>
      </c>
      <c r="P1112" s="8" t="str">
        <f t="array" ref="P1112">XLOOKUP(D1112,Product_Dim!A:A,Product_Dim!B:B,"Not Found")</f>
        <v>Foldable Camping Chair</v>
      </c>
      <c r="Q1112" s="8" t="str">
        <f t="array" ref="Q1112">XLOOKUP(D1112,Product_Dim!A:A,Product_Dim!C:C,"Not Found")</f>
        <v>Sports</v>
      </c>
      <c r="R1112" s="8" t="str">
        <f t="array" ref="R1112">XLOOKUP(E1112,Store_Dim!A:A,Store_Dim!B:B,"Not Found")</f>
        <v>East</v>
      </c>
      <c r="S1112" s="8" t="str">
        <f t="array" ref="S1112">XLOOKUP(E1112,Store_Dim!A:A,Store_Dim!D:D,"Not Found")</f>
        <v>Online</v>
      </c>
    </row>
    <row r="1113" ht="14.25" customHeight="1">
      <c r="A1113" s="8" t="s">
        <v>3066</v>
      </c>
      <c r="B1113" s="12">
        <v>46591.0</v>
      </c>
      <c r="C1113" s="8" t="s">
        <v>887</v>
      </c>
      <c r="D1113" s="8" t="s">
        <v>1763</v>
      </c>
      <c r="E1113" s="8" t="s">
        <v>1926</v>
      </c>
      <c r="F1113" s="8">
        <v>1.0</v>
      </c>
      <c r="G1113" s="8">
        <v>937.01</v>
      </c>
      <c r="H1113" s="8">
        <v>0.07</v>
      </c>
      <c r="I1113" s="8">
        <f t="shared" si="1"/>
        <v>937.01</v>
      </c>
      <c r="J1113" s="8">
        <f t="shared" si="2"/>
        <v>-65.5207</v>
      </c>
      <c r="K1113" s="8" t="str">
        <f t="shared" si="3"/>
        <v>Jul</v>
      </c>
      <c r="L1113" s="8">
        <f t="shared" si="4"/>
        <v>2027</v>
      </c>
      <c r="N1113" s="8" t="str">
        <f t="array" ref="N1113">XLOOKUP(C1113,Customer_Dim!A:A,Customer_Dim!B:B,"Not Found")</f>
        <v>Sarah Lane</v>
      </c>
      <c r="O1113" s="8" t="str">
        <f t="array" ref="O1113">XLOOKUP(C1113,Customer_Dim!A:A,Customer_Dim!E:E,"Not Found")</f>
        <v>Edwardborough</v>
      </c>
      <c r="P1113" s="8" t="str">
        <f t="array" ref="P1113">XLOOKUP(D1113,Product_Dim!A:A,Product_Dim!B:B,"Not Found")</f>
        <v>Womens Cotton Scarf</v>
      </c>
      <c r="Q1113" s="8" t="str">
        <f t="array" ref="Q1113">XLOOKUP(D1113,Product_Dim!A:A,Product_Dim!C:C,"Not Found")</f>
        <v>Clothing</v>
      </c>
      <c r="R1113" s="8" t="str">
        <f t="array" ref="R1113">XLOOKUP(E1113,Store_Dim!A:A,Store_Dim!B:B,"Not Found")</f>
        <v>East</v>
      </c>
      <c r="S1113" s="8" t="str">
        <f t="array" ref="S1113">XLOOKUP(E1113,Store_Dim!A:A,Store_Dim!D:D,"Not Found")</f>
        <v>Online</v>
      </c>
    </row>
    <row r="1114" ht="14.25" customHeight="1">
      <c r="A1114" s="8" t="s">
        <v>3067</v>
      </c>
      <c r="B1114" s="12">
        <v>46592.0</v>
      </c>
      <c r="C1114" s="8" t="s">
        <v>520</v>
      </c>
      <c r="D1114" s="8" t="s">
        <v>1809</v>
      </c>
      <c r="E1114" s="8" t="s">
        <v>1915</v>
      </c>
      <c r="F1114" s="8">
        <v>2.0</v>
      </c>
      <c r="G1114" s="8">
        <v>644.0</v>
      </c>
      <c r="H1114" s="8">
        <v>0.04</v>
      </c>
      <c r="I1114" s="8">
        <f t="shared" si="1"/>
        <v>1288</v>
      </c>
      <c r="J1114" s="8">
        <f t="shared" si="2"/>
        <v>-51.48</v>
      </c>
      <c r="K1114" s="8" t="str">
        <f t="shared" si="3"/>
        <v>Jul</v>
      </c>
      <c r="L1114" s="8">
        <f t="shared" si="4"/>
        <v>2027</v>
      </c>
      <c r="N1114" s="8" t="str">
        <f t="array" ref="N1114">XLOOKUP(C1114,Customer_Dim!A:A,Customer_Dim!B:B,"Not Found")</f>
        <v>Michael Davies</v>
      </c>
      <c r="O1114" s="8" t="str">
        <f t="array" ref="O1114">XLOOKUP(C1114,Customer_Dim!A:A,Customer_Dim!E:E,"Not Found")</f>
        <v>Lake Stevenfort</v>
      </c>
      <c r="P1114" s="8" t="str">
        <f t="array" ref="P1114">XLOOKUP(D1114,Product_Dim!A:A,Product_Dim!B:B,"Not Found")</f>
        <v>Shin Guards – Adult</v>
      </c>
      <c r="Q1114" s="8" t="str">
        <f t="array" ref="Q1114">XLOOKUP(D1114,Product_Dim!A:A,Product_Dim!C:C,"Not Found")</f>
        <v>Sports</v>
      </c>
      <c r="R1114" s="8" t="str">
        <f t="array" ref="R1114">XLOOKUP(E1114,Store_Dim!A:A,Store_Dim!B:B,"Not Found")</f>
        <v>North</v>
      </c>
      <c r="S1114" s="8" t="str">
        <f t="array" ref="S1114">XLOOKUP(E1114,Store_Dim!A:A,Store_Dim!D:D,"Not Found")</f>
        <v>Outlet</v>
      </c>
    </row>
    <row r="1115" ht="14.25" customHeight="1">
      <c r="A1115" s="8" t="s">
        <v>3068</v>
      </c>
      <c r="B1115" s="12">
        <v>46593.0</v>
      </c>
      <c r="C1115" s="8" t="s">
        <v>348</v>
      </c>
      <c r="D1115" s="8" t="s">
        <v>1863</v>
      </c>
      <c r="E1115" s="8" t="s">
        <v>1915</v>
      </c>
      <c r="F1115" s="8">
        <v>3.0</v>
      </c>
      <c r="G1115" s="8">
        <v>629.58</v>
      </c>
      <c r="H1115" s="8">
        <v>0.05</v>
      </c>
      <c r="I1115" s="8">
        <f t="shared" si="1"/>
        <v>1888.74</v>
      </c>
      <c r="J1115" s="8">
        <f t="shared" si="2"/>
        <v>-94.387</v>
      </c>
      <c r="K1115" s="8" t="str">
        <f t="shared" si="3"/>
        <v>Jul</v>
      </c>
      <c r="L1115" s="8">
        <f t="shared" si="4"/>
        <v>2027</v>
      </c>
      <c r="N1115" s="8" t="str">
        <f t="array" ref="N1115">XLOOKUP(C1115,Customer_Dim!A:A,Customer_Dim!B:B,"Not Found")</f>
        <v>David Patterson</v>
      </c>
      <c r="O1115" s="8" t="str">
        <f t="array" ref="O1115">XLOOKUP(C1115,Customer_Dim!A:A,Customer_Dim!E:E,"Not Found")</f>
        <v>New Amyport</v>
      </c>
      <c r="P1115" s="8" t="str">
        <f t="array" ref="P1115">XLOOKUP(D1115,Product_Dim!A:A,Product_Dim!B:B,"Not Found")</f>
        <v>Women's High Heels</v>
      </c>
      <c r="Q1115" s="8" t="str">
        <f t="array" ref="Q1115">XLOOKUP(D1115,Product_Dim!A:A,Product_Dim!C:C,"Not Found")</f>
        <v>Clothing</v>
      </c>
      <c r="R1115" s="8" t="str">
        <f t="array" ref="R1115">XLOOKUP(E1115,Store_Dim!A:A,Store_Dim!B:B,"Not Found")</f>
        <v>North</v>
      </c>
      <c r="S1115" s="8" t="str">
        <f t="array" ref="S1115">XLOOKUP(E1115,Store_Dim!A:A,Store_Dim!D:D,"Not Found")</f>
        <v>Outlet</v>
      </c>
    </row>
    <row r="1116" ht="14.25" customHeight="1">
      <c r="A1116" s="8" t="s">
        <v>3069</v>
      </c>
      <c r="B1116" s="12">
        <v>46594.0</v>
      </c>
      <c r="C1116" s="8" t="s">
        <v>1453</v>
      </c>
      <c r="D1116" s="8" t="s">
        <v>1851</v>
      </c>
      <c r="E1116" s="8" t="s">
        <v>1906</v>
      </c>
      <c r="F1116" s="8">
        <v>2.0</v>
      </c>
      <c r="G1116" s="8">
        <v>121.52</v>
      </c>
      <c r="H1116" s="8">
        <v>0.18</v>
      </c>
      <c r="I1116" s="8">
        <f t="shared" si="1"/>
        <v>243.04</v>
      </c>
      <c r="J1116" s="8">
        <f t="shared" si="2"/>
        <v>-43.5672</v>
      </c>
      <c r="K1116" s="8" t="str">
        <f t="shared" si="3"/>
        <v>Jul</v>
      </c>
      <c r="L1116" s="8">
        <f t="shared" si="4"/>
        <v>2027</v>
      </c>
      <c r="N1116" s="8" t="str">
        <f t="array" ref="N1116">XLOOKUP(C1116,Customer_Dim!A:A,Customer_Dim!B:B,"Not Found")</f>
        <v>Cynthia Parrish</v>
      </c>
      <c r="O1116" s="8" t="str">
        <f t="array" ref="O1116">XLOOKUP(C1116,Customer_Dim!A:A,Customer_Dim!E:E,"Not Found")</f>
        <v>Espinozaberg</v>
      </c>
      <c r="P1116" s="8" t="str">
        <f t="array" ref="P1116">XLOOKUP(D1116,Product_Dim!A:A,Product_Dim!B:B,"Not Found")</f>
        <v>LED Bedside Lamp</v>
      </c>
      <c r="Q1116" s="8" t="str">
        <f t="array" ref="Q1116">XLOOKUP(D1116,Product_Dim!A:A,Product_Dim!C:C,"Not Found")</f>
        <v>Home</v>
      </c>
      <c r="R1116" s="8" t="str">
        <f t="array" ref="R1116">XLOOKUP(E1116,Store_Dim!A:A,Store_Dim!B:B,"Not Found")</f>
        <v>South</v>
      </c>
      <c r="S1116" s="8" t="str">
        <f t="array" ref="S1116">XLOOKUP(E1116,Store_Dim!A:A,Store_Dim!D:D,"Not Found")</f>
        <v>Outlet</v>
      </c>
    </row>
    <row r="1117" ht="14.25" customHeight="1">
      <c r="A1117" s="8" t="s">
        <v>3070</v>
      </c>
      <c r="B1117" s="12">
        <v>46595.0</v>
      </c>
      <c r="C1117" s="8" t="s">
        <v>1265</v>
      </c>
      <c r="D1117" s="8" t="s">
        <v>1784</v>
      </c>
      <c r="E1117" s="8" t="s">
        <v>1941</v>
      </c>
      <c r="F1117" s="8">
        <v>2.0</v>
      </c>
      <c r="G1117" s="8">
        <v>549.83</v>
      </c>
      <c r="H1117" s="8">
        <v>0.07</v>
      </c>
      <c r="I1117" s="8">
        <f t="shared" si="1"/>
        <v>1099.66</v>
      </c>
      <c r="J1117" s="8">
        <f t="shared" si="2"/>
        <v>-76.9062</v>
      </c>
      <c r="K1117" s="8" t="str">
        <f t="shared" si="3"/>
        <v>Jul</v>
      </c>
      <c r="L1117" s="8">
        <f t="shared" si="4"/>
        <v>2027</v>
      </c>
      <c r="N1117" s="8" t="str">
        <f t="array" ref="N1117">XLOOKUP(C1117,Customer_Dim!A:A,Customer_Dim!B:B,"Not Found")</f>
        <v>Terry Moses</v>
      </c>
      <c r="O1117" s="8" t="str">
        <f t="array" ref="O1117">XLOOKUP(C1117,Customer_Dim!A:A,Customer_Dim!E:E,"Not Found")</f>
        <v>Leahmouth</v>
      </c>
      <c r="P1117" s="8" t="str">
        <f t="array" ref="P1117">XLOOKUP(D1117,Product_Dim!A:A,Product_Dim!B:B,"Not Found")</f>
        <v>Adjustable Dumbbells 20kg</v>
      </c>
      <c r="Q1117" s="8" t="str">
        <f t="array" ref="Q1117">XLOOKUP(D1117,Product_Dim!A:A,Product_Dim!C:C,"Not Found")</f>
        <v>Sports</v>
      </c>
      <c r="R1117" s="8" t="str">
        <f t="array" ref="R1117">XLOOKUP(E1117,Store_Dim!A:A,Store_Dim!B:B,"Not Found")</f>
        <v>East</v>
      </c>
      <c r="S1117" s="8" t="str">
        <f t="array" ref="S1117">XLOOKUP(E1117,Store_Dim!A:A,Store_Dim!D:D,"Not Found")</f>
        <v>Online</v>
      </c>
    </row>
    <row r="1118" ht="14.25" customHeight="1">
      <c r="A1118" s="8" t="s">
        <v>3071</v>
      </c>
      <c r="B1118" s="12">
        <v>46596.0</v>
      </c>
      <c r="C1118" s="8" t="s">
        <v>487</v>
      </c>
      <c r="D1118" s="8" t="s">
        <v>1617</v>
      </c>
      <c r="E1118" s="8" t="s">
        <v>1921</v>
      </c>
      <c r="F1118" s="8">
        <v>3.0</v>
      </c>
      <c r="G1118" s="8">
        <v>278.38</v>
      </c>
      <c r="H1118" s="8">
        <v>0.03</v>
      </c>
      <c r="I1118" s="8">
        <f t="shared" si="1"/>
        <v>835.14</v>
      </c>
      <c r="J1118" s="8">
        <f t="shared" si="2"/>
        <v>-25.0242</v>
      </c>
      <c r="K1118" s="8" t="str">
        <f t="shared" si="3"/>
        <v>Jul</v>
      </c>
      <c r="L1118" s="8">
        <f t="shared" si="4"/>
        <v>2027</v>
      </c>
      <c r="N1118" s="8" t="str">
        <f t="array" ref="N1118">XLOOKUP(C1118,Customer_Dim!A:A,Customer_Dim!B:B,"Not Found")</f>
        <v>Patty Francis</v>
      </c>
      <c r="O1118" s="8" t="str">
        <f t="array" ref="O1118">XLOOKUP(C1118,Customer_Dim!A:A,Customer_Dim!E:E,"Not Found")</f>
        <v>South Brooke</v>
      </c>
      <c r="P1118" s="8" t="str">
        <f t="array" ref="P1118">XLOOKUP(D1118,Product_Dim!A:A,Product_Dim!B:B,"Not Found")</f>
        <v>USB-C Fast Charger</v>
      </c>
      <c r="Q1118" s="8" t="str">
        <f t="array" ref="Q1118">XLOOKUP(D1118,Product_Dim!A:A,Product_Dim!C:C,"Not Found")</f>
        <v>Electronics</v>
      </c>
      <c r="R1118" s="8" t="str">
        <f t="array" ref="R1118">XLOOKUP(E1118,Store_Dim!A:A,Store_Dim!B:B,"Not Found")</f>
        <v>West</v>
      </c>
      <c r="S1118" s="8" t="str">
        <f t="array" ref="S1118">XLOOKUP(E1118,Store_Dim!A:A,Store_Dim!D:D,"Not Found")</f>
        <v>Online</v>
      </c>
    </row>
    <row r="1119" ht="14.25" customHeight="1">
      <c r="A1119" s="8" t="s">
        <v>3072</v>
      </c>
      <c r="B1119" s="12">
        <v>46597.0</v>
      </c>
      <c r="C1119" s="8" t="s">
        <v>1371</v>
      </c>
      <c r="D1119" s="8" t="s">
        <v>1878</v>
      </c>
      <c r="E1119" s="8" t="s">
        <v>1910</v>
      </c>
      <c r="F1119" s="8">
        <v>4.0</v>
      </c>
      <c r="G1119" s="8">
        <v>723.66</v>
      </c>
      <c r="H1119" s="8">
        <v>0.03</v>
      </c>
      <c r="I1119" s="8">
        <f t="shared" si="1"/>
        <v>2894.64</v>
      </c>
      <c r="J1119" s="8">
        <f t="shared" si="2"/>
        <v>-86.8092</v>
      </c>
      <c r="K1119" s="8" t="str">
        <f t="shared" si="3"/>
        <v>Jul</v>
      </c>
      <c r="L1119" s="8">
        <f t="shared" si="4"/>
        <v>2027</v>
      </c>
      <c r="N1119" s="8" t="str">
        <f t="array" ref="N1119">XLOOKUP(C1119,Customer_Dim!A:A,Customer_Dim!B:B,"Not Found")</f>
        <v>Melinda Rivera</v>
      </c>
      <c r="O1119" s="8" t="str">
        <f t="array" ref="O1119">XLOOKUP(C1119,Customer_Dim!A:A,Customer_Dim!E:E,"Not Found")</f>
        <v>East Davidmouth</v>
      </c>
      <c r="P1119" s="8" t="str">
        <f t="array" ref="P1119">XLOOKUP(D1119,Product_Dim!A:A,Product_Dim!B:B,"Not Found")</f>
        <v>Women's Formal Blazer</v>
      </c>
      <c r="Q1119" s="8" t="str">
        <f t="array" ref="Q1119">XLOOKUP(D1119,Product_Dim!A:A,Product_Dim!C:C,"Not Found")</f>
        <v>Clothing</v>
      </c>
      <c r="R1119" s="8" t="str">
        <f t="array" ref="R1119">XLOOKUP(E1119,Store_Dim!A:A,Store_Dim!B:B,"Not Found")</f>
        <v>North</v>
      </c>
      <c r="S1119" s="8" t="str">
        <f t="array" ref="S1119">XLOOKUP(E1119,Store_Dim!A:A,Store_Dim!D:D,"Not Found")</f>
        <v>Outlet</v>
      </c>
    </row>
    <row r="1120" ht="14.25" customHeight="1">
      <c r="A1120" s="8" t="s">
        <v>3073</v>
      </c>
      <c r="B1120" s="12">
        <v>46598.0</v>
      </c>
      <c r="C1120" s="8" t="s">
        <v>681</v>
      </c>
      <c r="D1120" s="8" t="s">
        <v>1806</v>
      </c>
      <c r="E1120" s="8" t="s">
        <v>1924</v>
      </c>
      <c r="F1120" s="8">
        <v>1.0</v>
      </c>
      <c r="G1120" s="8">
        <v>724.74</v>
      </c>
      <c r="H1120" s="8">
        <v>0.15</v>
      </c>
      <c r="I1120" s="8">
        <f t="shared" si="1"/>
        <v>724.74</v>
      </c>
      <c r="J1120" s="8">
        <f t="shared" si="2"/>
        <v>-108.561</v>
      </c>
      <c r="K1120" s="8" t="str">
        <f t="shared" si="3"/>
        <v>Jul</v>
      </c>
      <c r="L1120" s="8">
        <f t="shared" si="4"/>
        <v>2027</v>
      </c>
      <c r="N1120" s="8" t="str">
        <f t="array" ref="N1120">XLOOKUP(C1120,Customer_Dim!A:A,Customer_Dim!B:B,"Not Found")</f>
        <v>Michelle Carpenter</v>
      </c>
      <c r="O1120" s="8" t="str">
        <f t="array" ref="O1120">XLOOKUP(C1120,Customer_Dim!A:A,Customer_Dim!E:E,"Not Found")</f>
        <v>Lake Danielleton</v>
      </c>
      <c r="P1120" s="8" t="str">
        <f t="array" ref="P1120">XLOOKUP(D1120,Product_Dim!A:A,Product_Dim!B:B,"Not Found")</f>
        <v>Professional Jump Rope</v>
      </c>
      <c r="Q1120" s="8" t="str">
        <f t="array" ref="Q1120">XLOOKUP(D1120,Product_Dim!A:A,Product_Dim!C:C,"Not Found")</f>
        <v>Sports</v>
      </c>
      <c r="R1120" s="8" t="str">
        <f t="array" ref="R1120">XLOOKUP(E1120,Store_Dim!A:A,Store_Dim!B:B,"Not Found")</f>
        <v>South</v>
      </c>
      <c r="S1120" s="8" t="str">
        <f t="array" ref="S1120">XLOOKUP(E1120,Store_Dim!A:A,Store_Dim!D:D,"Not Found")</f>
        <v>Flagship</v>
      </c>
    </row>
    <row r="1121" ht="14.25" customHeight="1">
      <c r="A1121" s="8" t="s">
        <v>3074</v>
      </c>
      <c r="B1121" s="12">
        <v>46599.0</v>
      </c>
      <c r="C1121" s="8" t="s">
        <v>1421</v>
      </c>
      <c r="D1121" s="8" t="s">
        <v>1645</v>
      </c>
      <c r="E1121" s="8" t="s">
        <v>1912</v>
      </c>
      <c r="F1121" s="8">
        <v>2.0</v>
      </c>
      <c r="G1121" s="8">
        <v>961.84</v>
      </c>
      <c r="H1121" s="8">
        <v>0.25</v>
      </c>
      <c r="I1121" s="8">
        <f t="shared" si="1"/>
        <v>1923.68</v>
      </c>
      <c r="J1121" s="8">
        <f t="shared" si="2"/>
        <v>-480.67</v>
      </c>
      <c r="K1121" s="8" t="str">
        <f t="shared" si="3"/>
        <v>Jul</v>
      </c>
      <c r="L1121" s="8">
        <f t="shared" si="4"/>
        <v>2027</v>
      </c>
      <c r="N1121" s="8" t="str">
        <f t="array" ref="N1121">XLOOKUP(C1121,Customer_Dim!A:A,Customer_Dim!B:B,"Not Found")</f>
        <v>Tyler Weber</v>
      </c>
      <c r="O1121" s="8" t="str">
        <f t="array" ref="O1121">XLOOKUP(C1121,Customer_Dim!A:A,Customer_Dim!E:E,"Not Found")</f>
        <v>East Yvette</v>
      </c>
      <c r="P1121" s="8" t="str">
        <f t="array" ref="P1121">XLOOKUP(D1121,Product_Dim!A:A,Product_Dim!B:B,"Not Found")</f>
        <v>Multi-Purpose Storage Box</v>
      </c>
      <c r="Q1121" s="8" t="str">
        <f t="array" ref="Q1121">XLOOKUP(D1121,Product_Dim!A:A,Product_Dim!C:C,"Not Found")</f>
        <v>Home</v>
      </c>
      <c r="R1121" s="8" t="str">
        <f t="array" ref="R1121">XLOOKUP(E1121,Store_Dim!A:A,Store_Dim!B:B,"Not Found")</f>
        <v>South</v>
      </c>
      <c r="S1121" s="8" t="str">
        <f t="array" ref="S1121">XLOOKUP(E1121,Store_Dim!A:A,Store_Dim!D:D,"Not Found")</f>
        <v>Online</v>
      </c>
    </row>
    <row r="1122" ht="14.25" customHeight="1">
      <c r="A1122" s="8" t="s">
        <v>3075</v>
      </c>
      <c r="B1122" s="12">
        <v>46600.0</v>
      </c>
      <c r="C1122" s="8" t="s">
        <v>98</v>
      </c>
      <c r="D1122" s="8" t="s">
        <v>1696</v>
      </c>
      <c r="E1122" s="8" t="s">
        <v>1935</v>
      </c>
      <c r="F1122" s="8">
        <v>4.0</v>
      </c>
      <c r="G1122" s="8">
        <v>21.12</v>
      </c>
      <c r="H1122" s="8">
        <v>0.18</v>
      </c>
      <c r="I1122" s="8">
        <f t="shared" si="1"/>
        <v>84.48</v>
      </c>
      <c r="J1122" s="8">
        <f t="shared" si="2"/>
        <v>-15.0264</v>
      </c>
      <c r="K1122" s="8" t="str">
        <f t="shared" si="3"/>
        <v>Aug</v>
      </c>
      <c r="L1122" s="8">
        <f t="shared" si="4"/>
        <v>2027</v>
      </c>
      <c r="N1122" s="8" t="str">
        <f t="array" ref="N1122">XLOOKUP(C1122,Customer_Dim!A:A,Customer_Dim!B:B,"Not Found")</f>
        <v>Bridget Allen</v>
      </c>
      <c r="O1122" s="8" t="str">
        <f t="array" ref="O1122">XLOOKUP(C1122,Customer_Dim!A:A,Customer_Dim!E:E,"Not Found")</f>
        <v>Lake Shaneburgh</v>
      </c>
      <c r="P1122" s="8" t="str">
        <f t="array" ref="P1122">XLOOKUP(D1122,Product_Dim!A:A,Product_Dim!B:B,"Not Found")</f>
        <v>Men's Casual Sneakers</v>
      </c>
      <c r="Q1122" s="8" t="str">
        <f t="array" ref="Q1122">XLOOKUP(D1122,Product_Dim!A:A,Product_Dim!C:C,"Not Found")</f>
        <v>Clothing</v>
      </c>
      <c r="R1122" s="8" t="str">
        <f t="array" ref="R1122">XLOOKUP(E1122,Store_Dim!A:A,Store_Dim!B:B,"Not Found")</f>
        <v>West</v>
      </c>
      <c r="S1122" s="8" t="str">
        <f t="array" ref="S1122">XLOOKUP(E1122,Store_Dim!A:A,Store_Dim!D:D,"Not Found")</f>
        <v>Flagship</v>
      </c>
    </row>
    <row r="1123" ht="14.25" customHeight="1">
      <c r="A1123" s="8" t="s">
        <v>3076</v>
      </c>
      <c r="B1123" s="12">
        <v>46601.0</v>
      </c>
      <c r="C1123" s="8" t="s">
        <v>1020</v>
      </c>
      <c r="D1123" s="8" t="s">
        <v>1562</v>
      </c>
      <c r="E1123" s="8" t="s">
        <v>1912</v>
      </c>
      <c r="F1123" s="8">
        <v>3.0</v>
      </c>
      <c r="G1123" s="8">
        <v>819.93</v>
      </c>
      <c r="H1123" s="8">
        <v>0.08</v>
      </c>
      <c r="I1123" s="8">
        <f t="shared" si="1"/>
        <v>2459.79</v>
      </c>
      <c r="J1123" s="8">
        <f t="shared" si="2"/>
        <v>-196.7032</v>
      </c>
      <c r="K1123" s="8" t="str">
        <f t="shared" si="3"/>
        <v>Aug</v>
      </c>
      <c r="L1123" s="8">
        <f t="shared" si="4"/>
        <v>2027</v>
      </c>
      <c r="N1123" s="8" t="str">
        <f t="array" ref="N1123">XLOOKUP(C1123,Customer_Dim!A:A,Customer_Dim!B:B,"Not Found")</f>
        <v>Casey Simpson</v>
      </c>
      <c r="O1123" s="8" t="str">
        <f t="array" ref="O1123">XLOOKUP(C1123,Customer_Dim!A:A,Customer_Dim!E:E,"Not Found")</f>
        <v>West Mathewside</v>
      </c>
      <c r="P1123" s="8" t="str">
        <f t="array" ref="P1123">XLOOKUP(D1123,Product_Dim!A:A,Product_Dim!B:B,"Not Found")</f>
        <v>Brother Laser Printer</v>
      </c>
      <c r="Q1123" s="8" t="str">
        <f t="array" ref="Q1123">XLOOKUP(D1123,Product_Dim!A:A,Product_Dim!C:C,"Not Found")</f>
        <v>Electronics</v>
      </c>
      <c r="R1123" s="8" t="str">
        <f t="array" ref="R1123">XLOOKUP(E1123,Store_Dim!A:A,Store_Dim!B:B,"Not Found")</f>
        <v>South</v>
      </c>
      <c r="S1123" s="8" t="str">
        <f t="array" ref="S1123">XLOOKUP(E1123,Store_Dim!A:A,Store_Dim!D:D,"Not Found")</f>
        <v>Online</v>
      </c>
    </row>
    <row r="1124" ht="14.25" customHeight="1">
      <c r="A1124" s="8" t="s">
        <v>3077</v>
      </c>
      <c r="B1124" s="12">
        <v>46602.0</v>
      </c>
      <c r="C1124" s="8" t="s">
        <v>947</v>
      </c>
      <c r="D1124" s="8" t="s">
        <v>1713</v>
      </c>
      <c r="E1124" s="8" t="s">
        <v>1899</v>
      </c>
      <c r="F1124" s="8">
        <v>2.0</v>
      </c>
      <c r="G1124" s="8">
        <v>700.95</v>
      </c>
      <c r="H1124" s="8">
        <v>0.18</v>
      </c>
      <c r="I1124" s="8">
        <f t="shared" si="1"/>
        <v>1401.9</v>
      </c>
      <c r="J1124" s="8">
        <f t="shared" si="2"/>
        <v>-252.162</v>
      </c>
      <c r="K1124" s="8" t="str">
        <f t="shared" si="3"/>
        <v>Aug</v>
      </c>
      <c r="L1124" s="8">
        <f t="shared" si="4"/>
        <v>2027</v>
      </c>
      <c r="N1124" s="8" t="str">
        <f t="array" ref="N1124">XLOOKUP(C1124,Customer_Dim!A:A,Customer_Dim!B:B,"Not Found")</f>
        <v>Lisa Chandler</v>
      </c>
      <c r="O1124" s="8" t="str">
        <f t="array" ref="O1124">XLOOKUP(C1124,Customer_Dim!A:A,Customer_Dim!E:E,"Not Found")</f>
        <v>Port Richard</v>
      </c>
      <c r="P1124" s="8" t="str">
        <f t="array" ref="P1124">XLOOKUP(D1124,Product_Dim!A:A,Product_Dim!B:B,"Not Found")</f>
        <v>Smart Home WiFi Camera</v>
      </c>
      <c r="Q1124" s="8" t="str">
        <f t="array" ref="Q1124">XLOOKUP(D1124,Product_Dim!A:A,Product_Dim!C:C,"Not Found")</f>
        <v>Electronics</v>
      </c>
      <c r="R1124" s="8" t="str">
        <f t="array" ref="R1124">XLOOKUP(E1124,Store_Dim!A:A,Store_Dim!B:B,"Not Found")</f>
        <v>East</v>
      </c>
      <c r="S1124" s="8" t="str">
        <f t="array" ref="S1124">XLOOKUP(E1124,Store_Dim!A:A,Store_Dim!D:D,"Not Found")</f>
        <v>Flagship</v>
      </c>
    </row>
    <row r="1125" ht="14.25" customHeight="1">
      <c r="A1125" s="8" t="s">
        <v>3078</v>
      </c>
      <c r="B1125" s="12">
        <v>46603.0</v>
      </c>
      <c r="C1125" s="8" t="s">
        <v>490</v>
      </c>
      <c r="D1125" s="8" t="s">
        <v>1632</v>
      </c>
      <c r="E1125" s="8" t="s">
        <v>1932</v>
      </c>
      <c r="F1125" s="8">
        <v>2.0</v>
      </c>
      <c r="G1125" s="8">
        <v>456.38</v>
      </c>
      <c r="H1125" s="8">
        <v>0.12</v>
      </c>
      <c r="I1125" s="8">
        <f t="shared" si="1"/>
        <v>912.76</v>
      </c>
      <c r="J1125" s="8">
        <f t="shared" si="2"/>
        <v>-109.4112</v>
      </c>
      <c r="K1125" s="8" t="str">
        <f t="shared" si="3"/>
        <v>Aug</v>
      </c>
      <c r="L1125" s="8">
        <f t="shared" si="4"/>
        <v>2027</v>
      </c>
      <c r="N1125" s="8" t="str">
        <f t="array" ref="N1125">XLOOKUP(C1125,Customer_Dim!A:A,Customer_Dim!B:B,"Not Found")</f>
        <v>Cristian Wright</v>
      </c>
      <c r="O1125" s="8" t="str">
        <f t="array" ref="O1125">XLOOKUP(C1125,Customer_Dim!A:A,Customer_Dim!E:E,"Not Found")</f>
        <v>Port Denise</v>
      </c>
      <c r="P1125" s="8" t="str">
        <f t="array" ref="P1125">XLOOKUP(D1125,Product_Dim!A:A,Product_Dim!B:B,"Not Found")</f>
        <v>Soccer Training Cone Set</v>
      </c>
      <c r="Q1125" s="8" t="str">
        <f t="array" ref="Q1125">XLOOKUP(D1125,Product_Dim!A:A,Product_Dim!C:C,"Not Found")</f>
        <v>Sports</v>
      </c>
      <c r="R1125" s="8" t="str">
        <f t="array" ref="R1125">XLOOKUP(E1125,Store_Dim!A:A,Store_Dim!B:B,"Not Found")</f>
        <v>South</v>
      </c>
      <c r="S1125" s="8" t="str">
        <f t="array" ref="S1125">XLOOKUP(E1125,Store_Dim!A:A,Store_Dim!D:D,"Not Found")</f>
        <v>Outlet</v>
      </c>
    </row>
    <row r="1126" ht="14.25" customHeight="1">
      <c r="A1126" s="8" t="s">
        <v>3079</v>
      </c>
      <c r="B1126" s="12">
        <v>46604.0</v>
      </c>
      <c r="C1126" s="8" t="s">
        <v>1146</v>
      </c>
      <c r="D1126" s="8" t="s">
        <v>1818</v>
      </c>
      <c r="E1126" s="8" t="s">
        <v>1932</v>
      </c>
      <c r="F1126" s="8">
        <v>3.0</v>
      </c>
      <c r="G1126" s="8">
        <v>291.05</v>
      </c>
      <c r="H1126" s="8">
        <v>0.3</v>
      </c>
      <c r="I1126" s="8">
        <f t="shared" si="1"/>
        <v>873.15</v>
      </c>
      <c r="J1126" s="8">
        <f t="shared" si="2"/>
        <v>-261.645</v>
      </c>
      <c r="K1126" s="8" t="str">
        <f t="shared" si="3"/>
        <v>Aug</v>
      </c>
      <c r="L1126" s="8">
        <f t="shared" si="4"/>
        <v>2027</v>
      </c>
      <c r="N1126" s="8" t="str">
        <f t="array" ref="N1126">XLOOKUP(C1126,Customer_Dim!A:A,Customer_Dim!B:B,"Not Found")</f>
        <v>Natalie Johnson</v>
      </c>
      <c r="O1126" s="8" t="str">
        <f t="array" ref="O1126">XLOOKUP(C1126,Customer_Dim!A:A,Customer_Dim!E:E,"Not Found")</f>
        <v>New Jessechester</v>
      </c>
      <c r="P1126" s="8" t="str">
        <f t="array" ref="P1126">XLOOKUP(D1126,Product_Dim!A:A,Product_Dim!B:B,"Not Found")</f>
        <v>Wireless Mouse</v>
      </c>
      <c r="Q1126" s="8" t="str">
        <f t="array" ref="Q1126">XLOOKUP(D1126,Product_Dim!A:A,Product_Dim!C:C,"Not Found")</f>
        <v>Electronics</v>
      </c>
      <c r="R1126" s="8" t="str">
        <f t="array" ref="R1126">XLOOKUP(E1126,Store_Dim!A:A,Store_Dim!B:B,"Not Found")</f>
        <v>South</v>
      </c>
      <c r="S1126" s="8" t="str">
        <f t="array" ref="S1126">XLOOKUP(E1126,Store_Dim!A:A,Store_Dim!D:D,"Not Found")</f>
        <v>Outlet</v>
      </c>
    </row>
    <row r="1127" ht="14.25" customHeight="1">
      <c r="A1127" s="8" t="s">
        <v>3080</v>
      </c>
      <c r="B1127" s="12">
        <v>46605.0</v>
      </c>
      <c r="C1127" s="8" t="s">
        <v>764</v>
      </c>
      <c r="D1127" s="8" t="s">
        <v>1875</v>
      </c>
      <c r="E1127" s="8" t="s">
        <v>1933</v>
      </c>
      <c r="F1127" s="8">
        <v>2.0</v>
      </c>
      <c r="G1127" s="8">
        <v>463.52</v>
      </c>
      <c r="H1127" s="8">
        <v>0.27</v>
      </c>
      <c r="I1127" s="8">
        <f t="shared" si="1"/>
        <v>927.04</v>
      </c>
      <c r="J1127" s="8">
        <f t="shared" si="2"/>
        <v>-250.0308</v>
      </c>
      <c r="K1127" s="8" t="str">
        <f t="shared" si="3"/>
        <v>Aug</v>
      </c>
      <c r="L1127" s="8">
        <f t="shared" si="4"/>
        <v>2027</v>
      </c>
      <c r="N1127" s="8" t="str">
        <f t="array" ref="N1127">XLOOKUP(C1127,Customer_Dim!A:A,Customer_Dim!B:B,"Not Found")</f>
        <v>Michelle Gonzalez</v>
      </c>
      <c r="O1127" s="8" t="str">
        <f t="array" ref="O1127">XLOOKUP(C1127,Customer_Dim!A:A,Customer_Dim!E:E,"Not Found")</f>
        <v>Clarkport</v>
      </c>
      <c r="P1127" s="8" t="str">
        <f t="array" ref="P1127">XLOOKUP(D1127,Product_Dim!A:A,Product_Dim!B:B,"Not Found")</f>
        <v>Sports Stopwatch Basic</v>
      </c>
      <c r="Q1127" s="8" t="str">
        <f t="array" ref="Q1127">XLOOKUP(D1127,Product_Dim!A:A,Product_Dim!C:C,"Not Found")</f>
        <v>Sports</v>
      </c>
      <c r="R1127" s="8" t="str">
        <f t="array" ref="R1127">XLOOKUP(E1127,Store_Dim!A:A,Store_Dim!B:B,"Not Found")</f>
        <v>North</v>
      </c>
      <c r="S1127" s="8" t="str">
        <f t="array" ref="S1127">XLOOKUP(E1127,Store_Dim!A:A,Store_Dim!D:D,"Not Found")</f>
        <v>Flagship</v>
      </c>
    </row>
    <row r="1128" ht="14.25" customHeight="1">
      <c r="A1128" s="8" t="s">
        <v>3081</v>
      </c>
      <c r="B1128" s="12">
        <v>46606.0</v>
      </c>
      <c r="C1128" s="8" t="s">
        <v>1200</v>
      </c>
      <c r="D1128" s="8" t="s">
        <v>1562</v>
      </c>
      <c r="E1128" s="8" t="s">
        <v>1937</v>
      </c>
      <c r="F1128" s="8">
        <v>3.0</v>
      </c>
      <c r="G1128" s="8">
        <v>241.64</v>
      </c>
      <c r="H1128" s="8">
        <v>0.29</v>
      </c>
      <c r="I1128" s="8">
        <f t="shared" si="1"/>
        <v>724.92</v>
      </c>
      <c r="J1128" s="8">
        <f t="shared" si="2"/>
        <v>-209.9368</v>
      </c>
      <c r="K1128" s="8" t="str">
        <f t="shared" si="3"/>
        <v>Aug</v>
      </c>
      <c r="L1128" s="8">
        <f t="shared" si="4"/>
        <v>2027</v>
      </c>
      <c r="N1128" s="8" t="str">
        <f t="array" ref="N1128">XLOOKUP(C1128,Customer_Dim!A:A,Customer_Dim!B:B,"Not Found")</f>
        <v>Tanya Lopez</v>
      </c>
      <c r="O1128" s="8" t="str">
        <f t="array" ref="O1128">XLOOKUP(C1128,Customer_Dim!A:A,Customer_Dim!E:E,"Not Found")</f>
        <v>West Jeffreyburgh</v>
      </c>
      <c r="P1128" s="8" t="str">
        <f t="array" ref="P1128">XLOOKUP(D1128,Product_Dim!A:A,Product_Dim!B:B,"Not Found")</f>
        <v>Brother Laser Printer</v>
      </c>
      <c r="Q1128" s="8" t="str">
        <f t="array" ref="Q1128">XLOOKUP(D1128,Product_Dim!A:A,Product_Dim!C:C,"Not Found")</f>
        <v>Electronics</v>
      </c>
      <c r="R1128" s="8" t="str">
        <f t="array" ref="R1128">XLOOKUP(E1128,Store_Dim!A:A,Store_Dim!B:B,"Not Found")</f>
        <v>North</v>
      </c>
      <c r="S1128" s="8" t="str">
        <f t="array" ref="S1128">XLOOKUP(E1128,Store_Dim!A:A,Store_Dim!D:D,"Not Found")</f>
        <v>Flagship</v>
      </c>
    </row>
    <row r="1129" ht="14.25" customHeight="1">
      <c r="A1129" s="8" t="s">
        <v>3082</v>
      </c>
      <c r="B1129" s="12">
        <v>46607.0</v>
      </c>
      <c r="C1129" s="8" t="s">
        <v>1503</v>
      </c>
      <c r="D1129" s="8" t="s">
        <v>1674</v>
      </c>
      <c r="E1129" s="8" t="s">
        <v>1926</v>
      </c>
      <c r="F1129" s="8">
        <v>2.0</v>
      </c>
      <c r="G1129" s="8">
        <v>47.86</v>
      </c>
      <c r="H1129" s="8">
        <v>0.03</v>
      </c>
      <c r="I1129" s="8">
        <f t="shared" si="1"/>
        <v>95.72</v>
      </c>
      <c r="J1129" s="8">
        <f t="shared" si="2"/>
        <v>-2.8416</v>
      </c>
      <c r="K1129" s="8" t="str">
        <f t="shared" si="3"/>
        <v>Aug</v>
      </c>
      <c r="L1129" s="8">
        <f t="shared" si="4"/>
        <v>2027</v>
      </c>
      <c r="N1129" s="8" t="str">
        <f t="array" ref="N1129">XLOOKUP(C1129,Customer_Dim!A:A,Customer_Dim!B:B,"Not Found")</f>
        <v>Sarah Smith</v>
      </c>
      <c r="O1129" s="8" t="str">
        <f t="array" ref="O1129">XLOOKUP(C1129,Customer_Dim!A:A,Customer_Dim!E:E,"Not Found")</f>
        <v>East Rodney</v>
      </c>
      <c r="P1129" s="8" t="str">
        <f t="array" ref="P1129">XLOOKUP(D1129,Product_Dim!A:A,Product_Dim!B:B,"Not Found")</f>
        <v>Stainless Steel Cutlery Set</v>
      </c>
      <c r="Q1129" s="8" t="str">
        <f t="array" ref="Q1129">XLOOKUP(D1129,Product_Dim!A:A,Product_Dim!C:C,"Not Found")</f>
        <v>Home</v>
      </c>
      <c r="R1129" s="8" t="str">
        <f t="array" ref="R1129">XLOOKUP(E1129,Store_Dim!A:A,Store_Dim!B:B,"Not Found")</f>
        <v>East</v>
      </c>
      <c r="S1129" s="8" t="str">
        <f t="array" ref="S1129">XLOOKUP(E1129,Store_Dim!A:A,Store_Dim!D:D,"Not Found")</f>
        <v>Online</v>
      </c>
    </row>
    <row r="1130" ht="14.25" customHeight="1">
      <c r="A1130" s="8" t="s">
        <v>3083</v>
      </c>
      <c r="B1130" s="12">
        <v>46608.0</v>
      </c>
      <c r="C1130" s="8" t="s">
        <v>1095</v>
      </c>
      <c r="D1130" s="8" t="s">
        <v>1866</v>
      </c>
      <c r="E1130" s="8" t="s">
        <v>1910</v>
      </c>
      <c r="F1130" s="8">
        <v>1.0</v>
      </c>
      <c r="G1130" s="8">
        <v>805.07</v>
      </c>
      <c r="H1130" s="8">
        <v>0.06</v>
      </c>
      <c r="I1130" s="8">
        <f t="shared" si="1"/>
        <v>805.07</v>
      </c>
      <c r="J1130" s="8">
        <f t="shared" si="2"/>
        <v>-48.2442</v>
      </c>
      <c r="K1130" s="8" t="str">
        <f t="shared" si="3"/>
        <v>Aug</v>
      </c>
      <c r="L1130" s="8">
        <f t="shared" si="4"/>
        <v>2027</v>
      </c>
      <c r="N1130" s="8" t="str">
        <f t="array" ref="N1130">XLOOKUP(C1130,Customer_Dim!A:A,Customer_Dim!B:B,"Not Found")</f>
        <v>Evelyn Brown</v>
      </c>
      <c r="O1130" s="8" t="str">
        <f t="array" ref="O1130">XLOOKUP(C1130,Customer_Dim!A:A,Customer_Dim!E:E,"Not Found")</f>
        <v>West Victoriaborough</v>
      </c>
      <c r="P1130" s="8" t="str">
        <f t="array" ref="P1130">XLOOKUP(D1130,Product_Dim!A:A,Product_Dim!B:B,"Not Found")</f>
        <v>Microwave Oven</v>
      </c>
      <c r="Q1130" s="8" t="str">
        <f t="array" ref="Q1130">XLOOKUP(D1130,Product_Dim!A:A,Product_Dim!C:C,"Not Found")</f>
        <v>Home</v>
      </c>
      <c r="R1130" s="8" t="str">
        <f t="array" ref="R1130">XLOOKUP(E1130,Store_Dim!A:A,Store_Dim!B:B,"Not Found")</f>
        <v>North</v>
      </c>
      <c r="S1130" s="8" t="str">
        <f t="array" ref="S1130">XLOOKUP(E1130,Store_Dim!A:A,Store_Dim!D:D,"Not Found")</f>
        <v>Outlet</v>
      </c>
    </row>
    <row r="1131" ht="14.25" customHeight="1">
      <c r="A1131" s="8" t="s">
        <v>3084</v>
      </c>
      <c r="B1131" s="12">
        <v>46609.0</v>
      </c>
      <c r="C1131" s="8" t="s">
        <v>1182</v>
      </c>
      <c r="D1131" s="8" t="s">
        <v>1687</v>
      </c>
      <c r="E1131" s="8" t="s">
        <v>1903</v>
      </c>
      <c r="F1131" s="8">
        <v>3.0</v>
      </c>
      <c r="G1131" s="8">
        <v>848.48</v>
      </c>
      <c r="H1131" s="8">
        <v>0.0</v>
      </c>
      <c r="I1131" s="8">
        <f t="shared" si="1"/>
        <v>2545.44</v>
      </c>
      <c r="J1131" s="8">
        <f t="shared" si="2"/>
        <v>0</v>
      </c>
      <c r="K1131" s="8" t="str">
        <f t="shared" si="3"/>
        <v>Aug</v>
      </c>
      <c r="L1131" s="8">
        <f t="shared" si="4"/>
        <v>2027</v>
      </c>
      <c r="N1131" s="8" t="str">
        <f t="array" ref="N1131">XLOOKUP(C1131,Customer_Dim!A:A,Customer_Dim!B:B,"Not Found")</f>
        <v>James Orozco</v>
      </c>
      <c r="O1131" s="8" t="str">
        <f t="array" ref="O1131">XLOOKUP(C1131,Customer_Dim!A:A,Customer_Dim!E:E,"Not Found")</f>
        <v>Simpsonfort</v>
      </c>
      <c r="P1131" s="8" t="str">
        <f t="array" ref="P1131">XLOOKUP(D1131,Product_Dim!A:A,Product_Dim!B:B,"Not Found")</f>
        <v>Gaming Mechanical Keyboard</v>
      </c>
      <c r="Q1131" s="8" t="str">
        <f t="array" ref="Q1131">XLOOKUP(D1131,Product_Dim!A:A,Product_Dim!C:C,"Not Found")</f>
        <v>Electronics</v>
      </c>
      <c r="R1131" s="8" t="str">
        <f t="array" ref="R1131">XLOOKUP(E1131,Store_Dim!A:A,Store_Dim!B:B,"Not Found")</f>
        <v>North</v>
      </c>
      <c r="S1131" s="8" t="str">
        <f t="array" ref="S1131">XLOOKUP(E1131,Store_Dim!A:A,Store_Dim!D:D,"Not Found")</f>
        <v>Flagship</v>
      </c>
    </row>
    <row r="1132" ht="14.25" customHeight="1">
      <c r="A1132" s="8" t="s">
        <v>3085</v>
      </c>
      <c r="B1132" s="12">
        <v>46610.0</v>
      </c>
      <c r="C1132" s="8" t="s">
        <v>797</v>
      </c>
      <c r="D1132" s="8" t="s">
        <v>1748</v>
      </c>
      <c r="E1132" s="8" t="s">
        <v>1921</v>
      </c>
      <c r="F1132" s="8">
        <v>2.0</v>
      </c>
      <c r="G1132" s="8">
        <v>568.95</v>
      </c>
      <c r="H1132" s="8">
        <v>0.22</v>
      </c>
      <c r="I1132" s="8">
        <f t="shared" si="1"/>
        <v>1137.9</v>
      </c>
      <c r="J1132" s="8">
        <f t="shared" si="2"/>
        <v>-250.118</v>
      </c>
      <c r="K1132" s="8" t="str">
        <f t="shared" si="3"/>
        <v>Aug</v>
      </c>
      <c r="L1132" s="8">
        <f t="shared" si="4"/>
        <v>2027</v>
      </c>
      <c r="N1132" s="8" t="str">
        <f t="array" ref="N1132">XLOOKUP(C1132,Customer_Dim!A:A,Customer_Dim!B:B,"Not Found")</f>
        <v>Nancy Page</v>
      </c>
      <c r="O1132" s="8" t="str">
        <f t="array" ref="O1132">XLOOKUP(C1132,Customer_Dim!A:A,Customer_Dim!E:E,"Not Found")</f>
        <v>West Julia</v>
      </c>
      <c r="P1132" s="8" t="str">
        <f t="array" ref="P1132">XLOOKUP(D1132,Product_Dim!A:A,Product_Dim!B:B,"Not Found")</f>
        <v>Men's Track Pants</v>
      </c>
      <c r="Q1132" s="8" t="str">
        <f t="array" ref="Q1132">XLOOKUP(D1132,Product_Dim!A:A,Product_Dim!C:C,"Not Found")</f>
        <v>Clothing</v>
      </c>
      <c r="R1132" s="8" t="str">
        <f t="array" ref="R1132">XLOOKUP(E1132,Store_Dim!A:A,Store_Dim!B:B,"Not Found")</f>
        <v>West</v>
      </c>
      <c r="S1132" s="8" t="str">
        <f t="array" ref="S1132">XLOOKUP(E1132,Store_Dim!A:A,Store_Dim!D:D,"Not Found")</f>
        <v>Online</v>
      </c>
    </row>
    <row r="1133" ht="14.25" customHeight="1">
      <c r="A1133" s="8" t="s">
        <v>3086</v>
      </c>
      <c r="B1133" s="12">
        <v>46611.0</v>
      </c>
      <c r="C1133" s="8" t="s">
        <v>553</v>
      </c>
      <c r="D1133" s="8" t="s">
        <v>1748</v>
      </c>
      <c r="E1133" s="8" t="s">
        <v>1928</v>
      </c>
      <c r="F1133" s="8">
        <v>3.0</v>
      </c>
      <c r="G1133" s="8">
        <v>269.84</v>
      </c>
      <c r="H1133" s="8">
        <v>0.05</v>
      </c>
      <c r="I1133" s="8">
        <f t="shared" si="1"/>
        <v>809.52</v>
      </c>
      <c r="J1133" s="8">
        <f t="shared" si="2"/>
        <v>-40.426</v>
      </c>
      <c r="K1133" s="8" t="str">
        <f t="shared" si="3"/>
        <v>Aug</v>
      </c>
      <c r="L1133" s="8">
        <f t="shared" si="4"/>
        <v>2027</v>
      </c>
      <c r="N1133" s="8" t="str">
        <f t="array" ref="N1133">XLOOKUP(C1133,Customer_Dim!A:A,Customer_Dim!B:B,"Not Found")</f>
        <v>Mariah Brown</v>
      </c>
      <c r="O1133" s="8" t="str">
        <f t="array" ref="O1133">XLOOKUP(C1133,Customer_Dim!A:A,Customer_Dim!E:E,"Not Found")</f>
        <v>Palmerbury</v>
      </c>
      <c r="P1133" s="8" t="str">
        <f t="array" ref="P1133">XLOOKUP(D1133,Product_Dim!A:A,Product_Dim!B:B,"Not Found")</f>
        <v>Men's Track Pants</v>
      </c>
      <c r="Q1133" s="8" t="str">
        <f t="array" ref="Q1133">XLOOKUP(D1133,Product_Dim!A:A,Product_Dim!C:C,"Not Found")</f>
        <v>Clothing</v>
      </c>
      <c r="R1133" s="8" t="str">
        <f t="array" ref="R1133">XLOOKUP(E1133,Store_Dim!A:A,Store_Dim!B:B,"Not Found")</f>
        <v>South</v>
      </c>
      <c r="S1133" s="8" t="str">
        <f t="array" ref="S1133">XLOOKUP(E1133,Store_Dim!A:A,Store_Dim!D:D,"Not Found")</f>
        <v>Online</v>
      </c>
    </row>
    <row r="1134" ht="14.25" customHeight="1">
      <c r="A1134" s="8" t="s">
        <v>3087</v>
      </c>
      <c r="B1134" s="12">
        <v>46612.0</v>
      </c>
      <c r="C1134" s="8" t="s">
        <v>990</v>
      </c>
      <c r="D1134" s="8" t="s">
        <v>1775</v>
      </c>
      <c r="E1134" s="8" t="s">
        <v>1931</v>
      </c>
      <c r="F1134" s="8">
        <v>4.0</v>
      </c>
      <c r="G1134" s="8">
        <v>267.36</v>
      </c>
      <c r="H1134" s="8">
        <v>0.27</v>
      </c>
      <c r="I1134" s="8">
        <f t="shared" si="1"/>
        <v>1069.44</v>
      </c>
      <c r="J1134" s="8">
        <f t="shared" si="2"/>
        <v>-288.4788</v>
      </c>
      <c r="K1134" s="8" t="str">
        <f t="shared" si="3"/>
        <v>Aug</v>
      </c>
      <c r="L1134" s="8">
        <f t="shared" si="4"/>
        <v>2027</v>
      </c>
      <c r="N1134" s="8" t="str">
        <f t="array" ref="N1134">XLOOKUP(C1134,Customer_Dim!A:A,Customer_Dim!B:B,"Not Found")</f>
        <v>Stacy Collins</v>
      </c>
      <c r="O1134" s="8" t="str">
        <f t="array" ref="O1134">XLOOKUP(C1134,Customer_Dim!A:A,Customer_Dim!E:E,"Not Found")</f>
        <v>Randychester</v>
      </c>
      <c r="P1134" s="8" t="str">
        <f t="array" ref="P1134">XLOOKUP(D1134,Product_Dim!A:A,Product_Dim!B:B,"Not Found")</f>
        <v>Laptop Cooling Pad</v>
      </c>
      <c r="Q1134" s="8" t="str">
        <f t="array" ref="Q1134">XLOOKUP(D1134,Product_Dim!A:A,Product_Dim!C:C,"Not Found")</f>
        <v>Electronics</v>
      </c>
      <c r="R1134" s="8" t="str">
        <f t="array" ref="R1134">XLOOKUP(E1134,Store_Dim!A:A,Store_Dim!B:B,"Not Found")</f>
        <v>East</v>
      </c>
      <c r="S1134" s="8" t="str">
        <f t="array" ref="S1134">XLOOKUP(E1134,Store_Dim!A:A,Store_Dim!D:D,"Not Found")</f>
        <v>Flagship</v>
      </c>
    </row>
    <row r="1135" ht="14.25" customHeight="1">
      <c r="A1135" s="8" t="s">
        <v>3088</v>
      </c>
      <c r="B1135" s="12">
        <v>46613.0</v>
      </c>
      <c r="C1135" s="8" t="s">
        <v>409</v>
      </c>
      <c r="D1135" s="8" t="s">
        <v>1696</v>
      </c>
      <c r="E1135" s="8" t="s">
        <v>1903</v>
      </c>
      <c r="F1135" s="8">
        <v>1.0</v>
      </c>
      <c r="G1135" s="8">
        <v>438.41</v>
      </c>
      <c r="H1135" s="8">
        <v>0.09</v>
      </c>
      <c r="I1135" s="8">
        <f t="shared" si="1"/>
        <v>438.41</v>
      </c>
      <c r="J1135" s="8">
        <f t="shared" si="2"/>
        <v>-39.3669</v>
      </c>
      <c r="K1135" s="8" t="str">
        <f t="shared" si="3"/>
        <v>Aug</v>
      </c>
      <c r="L1135" s="8">
        <f t="shared" si="4"/>
        <v>2027</v>
      </c>
      <c r="N1135" s="8" t="str">
        <f t="array" ref="N1135">XLOOKUP(C1135,Customer_Dim!A:A,Customer_Dim!B:B,"Not Found")</f>
        <v>Ryan Hernandez</v>
      </c>
      <c r="O1135" s="8" t="str">
        <f t="array" ref="O1135">XLOOKUP(C1135,Customer_Dim!A:A,Customer_Dim!E:E,"Not Found")</f>
        <v>East Donna</v>
      </c>
      <c r="P1135" s="8" t="str">
        <f t="array" ref="P1135">XLOOKUP(D1135,Product_Dim!A:A,Product_Dim!B:B,"Not Found")</f>
        <v>Men's Casual Sneakers</v>
      </c>
      <c r="Q1135" s="8" t="str">
        <f t="array" ref="Q1135">XLOOKUP(D1135,Product_Dim!A:A,Product_Dim!C:C,"Not Found")</f>
        <v>Clothing</v>
      </c>
      <c r="R1135" s="8" t="str">
        <f t="array" ref="R1135">XLOOKUP(E1135,Store_Dim!A:A,Store_Dim!B:B,"Not Found")</f>
        <v>North</v>
      </c>
      <c r="S1135" s="8" t="str">
        <f t="array" ref="S1135">XLOOKUP(E1135,Store_Dim!A:A,Store_Dim!D:D,"Not Found")</f>
        <v>Flagship</v>
      </c>
    </row>
    <row r="1136" ht="14.25" customHeight="1">
      <c r="A1136" s="8" t="s">
        <v>3089</v>
      </c>
      <c r="B1136" s="12">
        <v>46614.0</v>
      </c>
      <c r="C1136" s="8" t="s">
        <v>559</v>
      </c>
      <c r="D1136" s="8" t="s">
        <v>1742</v>
      </c>
      <c r="E1136" s="8" t="s">
        <v>1939</v>
      </c>
      <c r="F1136" s="8">
        <v>2.0</v>
      </c>
      <c r="G1136" s="8">
        <v>86.72</v>
      </c>
      <c r="H1136" s="8">
        <v>0.28</v>
      </c>
      <c r="I1136" s="8">
        <f t="shared" si="1"/>
        <v>173.44</v>
      </c>
      <c r="J1136" s="8">
        <f t="shared" si="2"/>
        <v>-48.2832</v>
      </c>
      <c r="K1136" s="8" t="str">
        <f t="shared" si="3"/>
        <v>Aug</v>
      </c>
      <c r="L1136" s="8">
        <f t="shared" si="4"/>
        <v>2027</v>
      </c>
      <c r="N1136" s="8" t="str">
        <f t="array" ref="N1136">XLOOKUP(C1136,Customer_Dim!A:A,Customer_Dim!B:B,"Not Found")</f>
        <v>Daniel Rivas</v>
      </c>
      <c r="O1136" s="8" t="str">
        <f t="array" ref="O1136">XLOOKUP(C1136,Customer_Dim!A:A,Customer_Dim!E:E,"Not Found")</f>
        <v>Dominiquefort</v>
      </c>
      <c r="P1136" s="8" t="str">
        <f t="array" ref="P1136">XLOOKUP(D1136,Product_Dim!A:A,Product_Dim!B:B,"Not Found")</f>
        <v>HDMI Cable – 2m</v>
      </c>
      <c r="Q1136" s="8" t="str">
        <f t="array" ref="Q1136">XLOOKUP(D1136,Product_Dim!A:A,Product_Dim!C:C,"Not Found")</f>
        <v>Electronics</v>
      </c>
      <c r="R1136" s="8" t="str">
        <f t="array" ref="R1136">XLOOKUP(E1136,Store_Dim!A:A,Store_Dim!B:B,"Not Found")</f>
        <v>East</v>
      </c>
      <c r="S1136" s="8" t="str">
        <f t="array" ref="S1136">XLOOKUP(E1136,Store_Dim!A:A,Store_Dim!D:D,"Not Found")</f>
        <v>Flagship</v>
      </c>
    </row>
    <row r="1137" ht="14.25" customHeight="1">
      <c r="A1137" s="8" t="s">
        <v>3090</v>
      </c>
      <c r="B1137" s="12">
        <v>46615.0</v>
      </c>
      <c r="C1137" s="8" t="s">
        <v>1335</v>
      </c>
      <c r="D1137" s="8" t="s">
        <v>1857</v>
      </c>
      <c r="E1137" s="8" t="s">
        <v>1917</v>
      </c>
      <c r="F1137" s="8">
        <v>4.0</v>
      </c>
      <c r="G1137" s="8">
        <v>630.21</v>
      </c>
      <c r="H1137" s="8">
        <v>0.14</v>
      </c>
      <c r="I1137" s="8">
        <f t="shared" si="1"/>
        <v>2520.84</v>
      </c>
      <c r="J1137" s="8">
        <f t="shared" si="2"/>
        <v>-352.7776</v>
      </c>
      <c r="K1137" s="8" t="str">
        <f t="shared" si="3"/>
        <v>Aug</v>
      </c>
      <c r="L1137" s="8">
        <f t="shared" si="4"/>
        <v>2027</v>
      </c>
      <c r="N1137" s="8" t="str">
        <f t="array" ref="N1137">XLOOKUP(C1137,Customer_Dim!A:A,Customer_Dim!B:B,"Not Found")</f>
        <v>Bryce Hawkins</v>
      </c>
      <c r="O1137" s="8" t="str">
        <f t="array" ref="O1137">XLOOKUP(C1137,Customer_Dim!A:A,Customer_Dim!E:E,"Not Found")</f>
        <v>Lake Monique</v>
      </c>
      <c r="P1137" s="8" t="str">
        <f t="array" ref="P1137">XLOOKUP(D1137,Product_Dim!A:A,Product_Dim!B:B,"Not Found")</f>
        <v>Face Foundation Kit</v>
      </c>
      <c r="Q1137" s="8" t="str">
        <f t="array" ref="Q1137">XLOOKUP(D1137,Product_Dim!A:A,Product_Dim!C:C,"Not Found")</f>
        <v>Beauty</v>
      </c>
      <c r="R1137" s="8" t="str">
        <f t="array" ref="R1137">XLOOKUP(E1137,Store_Dim!A:A,Store_Dim!B:B,"Not Found")</f>
        <v>East</v>
      </c>
      <c r="S1137" s="8" t="str">
        <f t="array" ref="S1137">XLOOKUP(E1137,Store_Dim!A:A,Store_Dim!D:D,"Not Found")</f>
        <v>Online</v>
      </c>
    </row>
    <row r="1138" ht="14.25" customHeight="1">
      <c r="A1138" s="8" t="s">
        <v>3091</v>
      </c>
      <c r="B1138" s="12">
        <v>46616.0</v>
      </c>
      <c r="C1138" s="8" t="s">
        <v>1140</v>
      </c>
      <c r="D1138" s="8" t="s">
        <v>1766</v>
      </c>
      <c r="E1138" s="8" t="s">
        <v>1917</v>
      </c>
      <c r="F1138" s="8">
        <v>3.0</v>
      </c>
      <c r="G1138" s="8">
        <v>180.84</v>
      </c>
      <c r="H1138" s="8">
        <v>0.03</v>
      </c>
      <c r="I1138" s="8">
        <f t="shared" si="1"/>
        <v>542.52</v>
      </c>
      <c r="J1138" s="8">
        <f t="shared" si="2"/>
        <v>-16.2456</v>
      </c>
      <c r="K1138" s="8" t="str">
        <f t="shared" si="3"/>
        <v>Aug</v>
      </c>
      <c r="L1138" s="8">
        <f t="shared" si="4"/>
        <v>2027</v>
      </c>
      <c r="N1138" s="8" t="str">
        <f t="array" ref="N1138">XLOOKUP(C1138,Customer_Dim!A:A,Customer_Dim!B:B,"Not Found")</f>
        <v>Melanie Lam</v>
      </c>
      <c r="O1138" s="8" t="str">
        <f t="array" ref="O1138">XLOOKUP(C1138,Customer_Dim!A:A,Customer_Dim!E:E,"Not Found")</f>
        <v>East Michaelton</v>
      </c>
      <c r="P1138" s="8" t="str">
        <f t="array" ref="P1138">XLOOKUP(D1138,Product_Dim!A:A,Product_Dim!B:B,"Not Found")</f>
        <v>Men's Hair Styling Gel</v>
      </c>
      <c r="Q1138" s="8" t="str">
        <f t="array" ref="Q1138">XLOOKUP(D1138,Product_Dim!A:A,Product_Dim!C:C,"Not Found")</f>
        <v>Beauty</v>
      </c>
      <c r="R1138" s="8" t="str">
        <f t="array" ref="R1138">XLOOKUP(E1138,Store_Dim!A:A,Store_Dim!B:B,"Not Found")</f>
        <v>East</v>
      </c>
      <c r="S1138" s="8" t="str">
        <f t="array" ref="S1138">XLOOKUP(E1138,Store_Dim!A:A,Store_Dim!D:D,"Not Found")</f>
        <v>Online</v>
      </c>
    </row>
    <row r="1139" ht="14.25" customHeight="1">
      <c r="A1139" s="8" t="s">
        <v>3092</v>
      </c>
      <c r="B1139" s="12">
        <v>46617.0</v>
      </c>
      <c r="C1139" s="8" t="s">
        <v>35</v>
      </c>
      <c r="D1139" s="8" t="s">
        <v>1781</v>
      </c>
      <c r="E1139" s="8" t="s">
        <v>1935</v>
      </c>
      <c r="F1139" s="8">
        <v>1.0</v>
      </c>
      <c r="G1139" s="8">
        <v>453.41</v>
      </c>
      <c r="H1139" s="8">
        <v>0.04</v>
      </c>
      <c r="I1139" s="8">
        <f t="shared" si="1"/>
        <v>453.41</v>
      </c>
      <c r="J1139" s="8">
        <f t="shared" si="2"/>
        <v>-18.0964</v>
      </c>
      <c r="K1139" s="8" t="str">
        <f t="shared" si="3"/>
        <v>Aug</v>
      </c>
      <c r="L1139" s="8">
        <f t="shared" si="4"/>
        <v>2027</v>
      </c>
      <c r="N1139" s="8" t="str">
        <f t="array" ref="N1139">XLOOKUP(C1139,Customer_Dim!A:A,Customer_Dim!B:B,"Not Found")</f>
        <v>Caroline Collins</v>
      </c>
      <c r="O1139" s="8" t="str">
        <f t="array" ref="O1139">XLOOKUP(C1139,Customer_Dim!A:A,Customer_Dim!E:E,"Not Found")</f>
        <v>Nicholasshire</v>
      </c>
      <c r="P1139" s="8" t="str">
        <f t="array" ref="P1139">XLOOKUP(D1139,Product_Dim!A:A,Product_Dim!B:B,"Not Found")</f>
        <v>Matte Lipstick Set</v>
      </c>
      <c r="Q1139" s="8" t="str">
        <f t="array" ref="Q1139">XLOOKUP(D1139,Product_Dim!A:A,Product_Dim!C:C,"Not Found")</f>
        <v>Beauty</v>
      </c>
      <c r="R1139" s="8" t="str">
        <f t="array" ref="R1139">XLOOKUP(E1139,Store_Dim!A:A,Store_Dim!B:B,"Not Found")</f>
        <v>West</v>
      </c>
      <c r="S1139" s="8" t="str">
        <f t="array" ref="S1139">XLOOKUP(E1139,Store_Dim!A:A,Store_Dim!D:D,"Not Found")</f>
        <v>Flagship</v>
      </c>
    </row>
    <row r="1140" ht="14.25" customHeight="1">
      <c r="A1140" s="8" t="s">
        <v>3093</v>
      </c>
      <c r="B1140" s="12">
        <v>46618.0</v>
      </c>
      <c r="C1140" s="8" t="s">
        <v>113</v>
      </c>
      <c r="D1140" s="8" t="s">
        <v>1742</v>
      </c>
      <c r="E1140" s="8" t="s">
        <v>1917</v>
      </c>
      <c r="F1140" s="8">
        <v>1.0</v>
      </c>
      <c r="G1140" s="8">
        <v>629.09</v>
      </c>
      <c r="H1140" s="8">
        <v>0.02</v>
      </c>
      <c r="I1140" s="8">
        <f t="shared" si="1"/>
        <v>629.09</v>
      </c>
      <c r="J1140" s="8">
        <f t="shared" si="2"/>
        <v>-12.5618</v>
      </c>
      <c r="K1140" s="8" t="str">
        <f t="shared" si="3"/>
        <v>Aug</v>
      </c>
      <c r="L1140" s="8">
        <f t="shared" si="4"/>
        <v>2027</v>
      </c>
      <c r="N1140" s="8" t="str">
        <f t="array" ref="N1140">XLOOKUP(C1140,Customer_Dim!A:A,Customer_Dim!B:B,"Not Found")</f>
        <v>Heather Collins</v>
      </c>
      <c r="O1140" s="8" t="str">
        <f t="array" ref="O1140">XLOOKUP(C1140,Customer_Dim!A:A,Customer_Dim!E:E,"Not Found")</f>
        <v>Rogerschester</v>
      </c>
      <c r="P1140" s="8" t="str">
        <f t="array" ref="P1140">XLOOKUP(D1140,Product_Dim!A:A,Product_Dim!B:B,"Not Found")</f>
        <v>HDMI Cable – 2m</v>
      </c>
      <c r="Q1140" s="8" t="str">
        <f t="array" ref="Q1140">XLOOKUP(D1140,Product_Dim!A:A,Product_Dim!C:C,"Not Found")</f>
        <v>Electronics</v>
      </c>
      <c r="R1140" s="8" t="str">
        <f t="array" ref="R1140">XLOOKUP(E1140,Store_Dim!A:A,Store_Dim!B:B,"Not Found")</f>
        <v>East</v>
      </c>
      <c r="S1140" s="8" t="str">
        <f t="array" ref="S1140">XLOOKUP(E1140,Store_Dim!A:A,Store_Dim!D:D,"Not Found")</f>
        <v>Online</v>
      </c>
    </row>
    <row r="1141" ht="14.25" customHeight="1">
      <c r="A1141" s="8" t="s">
        <v>3094</v>
      </c>
      <c r="B1141" s="12">
        <v>46619.0</v>
      </c>
      <c r="C1141" s="8" t="s">
        <v>106</v>
      </c>
      <c r="D1141" s="8" t="s">
        <v>1821</v>
      </c>
      <c r="E1141" s="8" t="s">
        <v>1906</v>
      </c>
      <c r="F1141" s="8">
        <v>2.0</v>
      </c>
      <c r="G1141" s="8">
        <v>257.45</v>
      </c>
      <c r="H1141" s="8">
        <v>0.0</v>
      </c>
      <c r="I1141" s="8">
        <f t="shared" si="1"/>
        <v>514.9</v>
      </c>
      <c r="J1141" s="8">
        <f t="shared" si="2"/>
        <v>0</v>
      </c>
      <c r="K1141" s="8" t="str">
        <f t="shared" si="3"/>
        <v>Aug</v>
      </c>
      <c r="L1141" s="8">
        <f t="shared" si="4"/>
        <v>2027</v>
      </c>
      <c r="N1141" s="8" t="str">
        <f t="array" ref="N1141">XLOOKUP(C1141,Customer_Dim!A:A,Customer_Dim!B:B,"Not Found")</f>
        <v>   paul fox</v>
      </c>
      <c r="O1141" s="8" t="str">
        <f t="array" ref="O1141">XLOOKUP(C1141,Customer_Dim!A:A,Customer_Dim!E:E,"Not Found")</f>
        <v>Michaelton</v>
      </c>
      <c r="P1141" s="8" t="str">
        <f t="array" ref="P1141">XLOOKUP(D1141,Product_Dim!A:A,Product_Dim!B:B,"Not Found")</f>
        <v>WiFi Mesh Router</v>
      </c>
      <c r="Q1141" s="8" t="str">
        <f t="array" ref="Q1141">XLOOKUP(D1141,Product_Dim!A:A,Product_Dim!C:C,"Not Found")</f>
        <v>Electronics</v>
      </c>
      <c r="R1141" s="8" t="str">
        <f t="array" ref="R1141">XLOOKUP(E1141,Store_Dim!A:A,Store_Dim!B:B,"Not Found")</f>
        <v>South</v>
      </c>
      <c r="S1141" s="8" t="str">
        <f t="array" ref="S1141">XLOOKUP(E1141,Store_Dim!A:A,Store_Dim!D:D,"Not Found")</f>
        <v>Outlet</v>
      </c>
    </row>
    <row r="1142" ht="14.25" customHeight="1">
      <c r="A1142" s="8" t="s">
        <v>3095</v>
      </c>
      <c r="B1142" s="12">
        <v>46620.0</v>
      </c>
      <c r="C1142" s="8" t="s">
        <v>604</v>
      </c>
      <c r="D1142" s="8" t="s">
        <v>1687</v>
      </c>
      <c r="E1142" s="8" t="s">
        <v>1933</v>
      </c>
      <c r="F1142" s="8">
        <v>2.0</v>
      </c>
      <c r="G1142" s="8">
        <v>696.61</v>
      </c>
      <c r="H1142" s="8">
        <v>0.17</v>
      </c>
      <c r="I1142" s="8">
        <f t="shared" si="1"/>
        <v>1393.22</v>
      </c>
      <c r="J1142" s="8">
        <f t="shared" si="2"/>
        <v>-236.6774</v>
      </c>
      <c r="K1142" s="8" t="str">
        <f t="shared" si="3"/>
        <v>Aug</v>
      </c>
      <c r="L1142" s="8">
        <f t="shared" si="4"/>
        <v>2027</v>
      </c>
      <c r="N1142" s="8" t="str">
        <f t="array" ref="N1142">XLOOKUP(C1142,Customer_Dim!A:A,Customer_Dim!B:B,"Not Found")</f>
        <v>Nicholas Bradshaw</v>
      </c>
      <c r="O1142" s="8" t="str">
        <f t="array" ref="O1142">XLOOKUP(C1142,Customer_Dim!A:A,Customer_Dim!E:E,"Not Found")</f>
        <v>Murphyfurt</v>
      </c>
      <c r="P1142" s="8" t="str">
        <f t="array" ref="P1142">XLOOKUP(D1142,Product_Dim!A:A,Product_Dim!B:B,"Not Found")</f>
        <v>Gaming Mechanical Keyboard</v>
      </c>
      <c r="Q1142" s="8" t="str">
        <f t="array" ref="Q1142">XLOOKUP(D1142,Product_Dim!A:A,Product_Dim!C:C,"Not Found")</f>
        <v>Electronics</v>
      </c>
      <c r="R1142" s="8" t="str">
        <f t="array" ref="R1142">XLOOKUP(E1142,Store_Dim!A:A,Store_Dim!B:B,"Not Found")</f>
        <v>North</v>
      </c>
      <c r="S1142" s="8" t="str">
        <f t="array" ref="S1142">XLOOKUP(E1142,Store_Dim!A:A,Store_Dim!D:D,"Not Found")</f>
        <v>Flagship</v>
      </c>
    </row>
    <row r="1143" ht="14.25" customHeight="1">
      <c r="A1143" s="8" t="s">
        <v>3096</v>
      </c>
      <c r="B1143" s="12">
        <v>46621.0</v>
      </c>
      <c r="C1143" s="8" t="s">
        <v>1182</v>
      </c>
      <c r="D1143" s="8" t="s">
        <v>1725</v>
      </c>
      <c r="E1143" s="8" t="s">
        <v>1919</v>
      </c>
      <c r="F1143" s="8">
        <v>2.0</v>
      </c>
      <c r="G1143" s="8">
        <v>143.79</v>
      </c>
      <c r="H1143" s="8">
        <v>0.1</v>
      </c>
      <c r="I1143" s="8">
        <f t="shared" si="1"/>
        <v>287.58</v>
      </c>
      <c r="J1143" s="8">
        <f t="shared" si="2"/>
        <v>-28.658</v>
      </c>
      <c r="K1143" s="8" t="str">
        <f t="shared" si="3"/>
        <v>Aug</v>
      </c>
      <c r="L1143" s="8">
        <f t="shared" si="4"/>
        <v>2027</v>
      </c>
      <c r="N1143" s="8" t="str">
        <f t="array" ref="N1143">XLOOKUP(C1143,Customer_Dim!A:A,Customer_Dim!B:B,"Not Found")</f>
        <v>James Orozco</v>
      </c>
      <c r="O1143" s="8" t="str">
        <f t="array" ref="O1143">XLOOKUP(C1143,Customer_Dim!A:A,Customer_Dim!E:E,"Not Found")</f>
        <v>Simpsonfort</v>
      </c>
      <c r="P1143" s="8" t="str">
        <f t="array" ref="P1143">XLOOKUP(D1143,Product_Dim!A:A,Product_Dim!B:B,"Not Found")</f>
        <v>Men's Winter Jacket</v>
      </c>
      <c r="Q1143" s="8" t="str">
        <f t="array" ref="Q1143">XLOOKUP(D1143,Product_Dim!A:A,Product_Dim!C:C,"Not Found")</f>
        <v>Clothing</v>
      </c>
      <c r="R1143" s="8" t="str">
        <f t="array" ref="R1143">XLOOKUP(E1143,Store_Dim!A:A,Store_Dim!B:B,"Not Found")</f>
        <v>South</v>
      </c>
      <c r="S1143" s="8" t="str">
        <f t="array" ref="S1143">XLOOKUP(E1143,Store_Dim!A:A,Store_Dim!D:D,"Not Found")</f>
        <v>Online</v>
      </c>
    </row>
    <row r="1144" ht="14.25" customHeight="1">
      <c r="A1144" s="8" t="s">
        <v>3097</v>
      </c>
      <c r="B1144" s="12">
        <v>46622.0</v>
      </c>
      <c r="C1144" s="8" t="s">
        <v>952</v>
      </c>
      <c r="D1144" s="8" t="s">
        <v>1839</v>
      </c>
      <c r="E1144" s="8" t="s">
        <v>1903</v>
      </c>
      <c r="F1144" s="8">
        <v>3.0</v>
      </c>
      <c r="G1144" s="8">
        <v>460.93</v>
      </c>
      <c r="H1144" s="8">
        <v>0.19</v>
      </c>
      <c r="I1144" s="8">
        <f t="shared" si="1"/>
        <v>1382.79</v>
      </c>
      <c r="J1144" s="8">
        <f t="shared" si="2"/>
        <v>-262.5401</v>
      </c>
      <c r="K1144" s="8" t="str">
        <f t="shared" si="3"/>
        <v>Aug</v>
      </c>
      <c r="L1144" s="8">
        <f t="shared" si="4"/>
        <v>2027</v>
      </c>
      <c r="N1144" s="8" t="str">
        <f t="array" ref="N1144">XLOOKUP(C1144,Customer_Dim!A:A,Customer_Dim!B:B,"Not Found")</f>
        <v>Jared Moran</v>
      </c>
      <c r="O1144" s="8" t="str">
        <f t="array" ref="O1144">XLOOKUP(C1144,Customer_Dim!A:A,Customer_Dim!E:E,"Not Found")</f>
        <v>South David</v>
      </c>
      <c r="P1144" s="8" t="str">
        <f t="array" ref="P1144">XLOOKUP(D1144,Product_Dim!A:A,Product_Dim!B:B,"Not Found")</f>
        <v>Hydrating Face Cleanser</v>
      </c>
      <c r="Q1144" s="8" t="str">
        <f t="array" ref="Q1144">XLOOKUP(D1144,Product_Dim!A:A,Product_Dim!C:C,"Not Found")</f>
        <v>Beauty</v>
      </c>
      <c r="R1144" s="8" t="str">
        <f t="array" ref="R1144">XLOOKUP(E1144,Store_Dim!A:A,Store_Dim!B:B,"Not Found")</f>
        <v>North</v>
      </c>
      <c r="S1144" s="8" t="str">
        <f t="array" ref="S1144">XLOOKUP(E1144,Store_Dim!A:A,Store_Dim!D:D,"Not Found")</f>
        <v>Flagship</v>
      </c>
    </row>
    <row r="1145" ht="14.25" customHeight="1">
      <c r="A1145" s="8" t="s">
        <v>3098</v>
      </c>
      <c r="B1145" s="12">
        <v>46623.0</v>
      </c>
      <c r="C1145" s="8" t="s">
        <v>1549</v>
      </c>
      <c r="D1145" s="8" t="s">
        <v>1668</v>
      </c>
      <c r="E1145" s="8" t="s">
        <v>1924</v>
      </c>
      <c r="F1145" s="8">
        <v>2.0</v>
      </c>
      <c r="G1145" s="8">
        <v>67.55</v>
      </c>
      <c r="H1145" s="8">
        <v>0.03</v>
      </c>
      <c r="I1145" s="8">
        <f t="shared" si="1"/>
        <v>135.1</v>
      </c>
      <c r="J1145" s="8">
        <f t="shared" si="2"/>
        <v>-4.023</v>
      </c>
      <c r="K1145" s="8" t="str">
        <f t="shared" si="3"/>
        <v>Aug</v>
      </c>
      <c r="L1145" s="8">
        <f t="shared" si="4"/>
        <v>2027</v>
      </c>
      <c r="N1145" s="8" t="str">
        <f t="array" ref="N1145">XLOOKUP(C1145,Customer_Dim!A:A,Customer_Dim!B:B,"Not Found")</f>
        <v>Philip Pennington</v>
      </c>
      <c r="O1145" s="8" t="str">
        <f t="array" ref="O1145">XLOOKUP(C1145,Customer_Dim!A:A,Customer_Dim!E:E,"Not Found")</f>
        <v>East Valerieview</v>
      </c>
      <c r="P1145" s="8" t="str">
        <f t="array" ref="P1145">XLOOKUP(D1145,Product_Dim!A:A,Product_Dim!B:B,"Not Found")</f>
        <v>Sports Stopwatch Timer</v>
      </c>
      <c r="Q1145" s="8" t="str">
        <f t="array" ref="Q1145">XLOOKUP(D1145,Product_Dim!A:A,Product_Dim!C:C,"Not Found")</f>
        <v>Sports</v>
      </c>
      <c r="R1145" s="8" t="str">
        <f t="array" ref="R1145">XLOOKUP(E1145,Store_Dim!A:A,Store_Dim!B:B,"Not Found")</f>
        <v>South</v>
      </c>
      <c r="S1145" s="8" t="str">
        <f t="array" ref="S1145">XLOOKUP(E1145,Store_Dim!A:A,Store_Dim!D:D,"Not Found")</f>
        <v>Flagship</v>
      </c>
    </row>
    <row r="1146" ht="14.25" customHeight="1">
      <c r="A1146" s="8" t="s">
        <v>3099</v>
      </c>
      <c r="B1146" s="12">
        <v>46624.0</v>
      </c>
      <c r="C1146" s="8" t="s">
        <v>696</v>
      </c>
      <c r="D1146" s="8" t="s">
        <v>1735</v>
      </c>
      <c r="E1146" s="8" t="s">
        <v>1903</v>
      </c>
      <c r="F1146" s="8">
        <v>3.0</v>
      </c>
      <c r="G1146" s="8">
        <v>803.31</v>
      </c>
      <c r="H1146" s="8">
        <v>0.1</v>
      </c>
      <c r="I1146" s="8">
        <f t="shared" si="1"/>
        <v>2409.93</v>
      </c>
      <c r="J1146" s="8">
        <f t="shared" si="2"/>
        <v>-240.893</v>
      </c>
      <c r="K1146" s="8" t="str">
        <f t="shared" si="3"/>
        <v>Aug</v>
      </c>
      <c r="L1146" s="8">
        <f t="shared" si="4"/>
        <v>2027</v>
      </c>
      <c r="N1146" s="8" t="str">
        <f t="array" ref="N1146">XLOOKUP(C1146,Customer_Dim!A:A,Customer_Dim!B:B,"Not Found")</f>
        <v>Antonio Jones</v>
      </c>
      <c r="O1146" s="8" t="str">
        <f t="array" ref="O1146">XLOOKUP(C1146,Customer_Dim!A:A,Customer_Dim!E:E,"Not Found")</f>
        <v>Matthewborough</v>
      </c>
      <c r="P1146" s="8" t="str">
        <f t="array" ref="P1146">XLOOKUP(D1146,Product_Dim!A:A,Product_Dim!B:B,"Not Found")</f>
        <v>Men's Roll-On Perfume</v>
      </c>
      <c r="Q1146" s="8" t="str">
        <f t="array" ref="Q1146">XLOOKUP(D1146,Product_Dim!A:A,Product_Dim!C:C,"Not Found")</f>
        <v>Beauty</v>
      </c>
      <c r="R1146" s="8" t="str">
        <f t="array" ref="R1146">XLOOKUP(E1146,Store_Dim!A:A,Store_Dim!B:B,"Not Found")</f>
        <v>North</v>
      </c>
      <c r="S1146" s="8" t="str">
        <f t="array" ref="S1146">XLOOKUP(E1146,Store_Dim!A:A,Store_Dim!D:D,"Not Found")</f>
        <v>Flagship</v>
      </c>
    </row>
    <row r="1147" ht="14.25" customHeight="1">
      <c r="A1147" s="8" t="s">
        <v>3100</v>
      </c>
      <c r="B1147" s="12">
        <v>46625.0</v>
      </c>
      <c r="C1147" s="8" t="s">
        <v>1356</v>
      </c>
      <c r="D1147" s="8" t="s">
        <v>1989</v>
      </c>
      <c r="E1147" s="8" t="s">
        <v>1931</v>
      </c>
      <c r="F1147" s="8">
        <v>4.0</v>
      </c>
      <c r="G1147" s="8">
        <v>254.71</v>
      </c>
      <c r="H1147" s="8">
        <v>0.2</v>
      </c>
      <c r="I1147" s="8">
        <f t="shared" si="1"/>
        <v>1018.84</v>
      </c>
      <c r="J1147" s="8">
        <f t="shared" si="2"/>
        <v>-203.568</v>
      </c>
      <c r="K1147" s="8" t="str">
        <f t="shared" si="3"/>
        <v>Aug</v>
      </c>
      <c r="L1147" s="8">
        <f t="shared" si="4"/>
        <v>2027</v>
      </c>
      <c r="N1147" s="8" t="str">
        <f t="array" ref="N1147">XLOOKUP(C1147,Customer_Dim!A:A,Customer_Dim!B:B,"Not Found")</f>
        <v>Summer Weiss</v>
      </c>
      <c r="O1147" s="8" t="str">
        <f t="array" ref="O1147">XLOOKUP(C1147,Customer_Dim!A:A,Customer_Dim!E:E,"Not Found")</f>
        <v>Phyllisport</v>
      </c>
      <c r="P1147" s="8" t="str">
        <f t="array" ref="P1147">XLOOKUP(D1147,Product_Dim!A:A,Product_Dim!B:B,"Not Found")</f>
        <v>Not Found</v>
      </c>
      <c r="Q1147" s="8" t="str">
        <f t="array" ref="Q1147">XLOOKUP(D1147,Product_Dim!A:A,Product_Dim!C:C,"Not Found")</f>
        <v>Not Found</v>
      </c>
      <c r="R1147" s="8" t="str">
        <f t="array" ref="R1147">XLOOKUP(E1147,Store_Dim!A:A,Store_Dim!B:B,"Not Found")</f>
        <v>East</v>
      </c>
      <c r="S1147" s="8" t="str">
        <f t="array" ref="S1147">XLOOKUP(E1147,Store_Dim!A:A,Store_Dim!D:D,"Not Found")</f>
        <v>Flagship</v>
      </c>
    </row>
    <row r="1148" ht="14.25" customHeight="1">
      <c r="A1148" s="8" t="s">
        <v>3101</v>
      </c>
      <c r="B1148" s="12">
        <v>46626.0</v>
      </c>
      <c r="C1148" s="8" t="s">
        <v>205</v>
      </c>
      <c r="D1148" s="8" t="s">
        <v>1739</v>
      </c>
      <c r="E1148" s="8" t="s">
        <v>1912</v>
      </c>
      <c r="F1148" s="8">
        <v>4.0</v>
      </c>
      <c r="G1148" s="8">
        <v>594.89</v>
      </c>
      <c r="H1148" s="8">
        <v>0.3</v>
      </c>
      <c r="I1148" s="8">
        <f t="shared" si="1"/>
        <v>2379.56</v>
      </c>
      <c r="J1148" s="8">
        <f t="shared" si="2"/>
        <v>-713.568</v>
      </c>
      <c r="K1148" s="8" t="str">
        <f t="shared" si="3"/>
        <v>Aug</v>
      </c>
      <c r="L1148" s="8">
        <f t="shared" si="4"/>
        <v>2027</v>
      </c>
      <c r="N1148" s="8" t="str">
        <f t="array" ref="N1148">XLOOKUP(C1148,Customer_Dim!A:A,Customer_Dim!B:B,"Not Found")</f>
        <v>Sarah Rodgers</v>
      </c>
      <c r="O1148" s="8" t="str">
        <f t="array" ref="O1148">XLOOKUP(C1148,Customer_Dim!A:A,Customer_Dim!E:E,"Not Found")</f>
        <v>New Julia</v>
      </c>
      <c r="P1148" s="8" t="str">
        <f t="array" ref="P1148">XLOOKUP(D1148,Product_Dim!A:A,Product_Dim!B:B,"Not Found")</f>
        <v>Boxing Hand Wraps</v>
      </c>
      <c r="Q1148" s="8" t="str">
        <f t="array" ref="Q1148">XLOOKUP(D1148,Product_Dim!A:A,Product_Dim!C:C,"Not Found")</f>
        <v>Sports</v>
      </c>
      <c r="R1148" s="8" t="str">
        <f t="array" ref="R1148">XLOOKUP(E1148,Store_Dim!A:A,Store_Dim!B:B,"Not Found")</f>
        <v>South</v>
      </c>
      <c r="S1148" s="8" t="str">
        <f t="array" ref="S1148">XLOOKUP(E1148,Store_Dim!A:A,Store_Dim!D:D,"Not Found")</f>
        <v>Online</v>
      </c>
    </row>
    <row r="1149" ht="14.25" customHeight="1">
      <c r="A1149" s="8" t="s">
        <v>3102</v>
      </c>
      <c r="B1149" s="12">
        <v>46627.0</v>
      </c>
      <c r="C1149" s="8" t="s">
        <v>723</v>
      </c>
      <c r="D1149" s="8" t="s">
        <v>1863</v>
      </c>
      <c r="E1149" s="8" t="s">
        <v>1899</v>
      </c>
      <c r="F1149" s="8">
        <v>2.0</v>
      </c>
      <c r="G1149" s="8">
        <v>844.31</v>
      </c>
      <c r="H1149" s="8">
        <v>0.07</v>
      </c>
      <c r="I1149" s="8">
        <f t="shared" si="1"/>
        <v>1688.62</v>
      </c>
      <c r="J1149" s="8">
        <f t="shared" si="2"/>
        <v>-118.1334</v>
      </c>
      <c r="K1149" s="8" t="str">
        <f t="shared" si="3"/>
        <v>Aug</v>
      </c>
      <c r="L1149" s="8">
        <f t="shared" si="4"/>
        <v>2027</v>
      </c>
      <c r="N1149" s="8" t="str">
        <f t="array" ref="N1149">XLOOKUP(C1149,Customer_Dim!A:A,Customer_Dim!B:B,"Not Found")</f>
        <v>Jordan Wells</v>
      </c>
      <c r="O1149" s="8" t="str">
        <f t="array" ref="O1149">XLOOKUP(C1149,Customer_Dim!A:A,Customer_Dim!E:E,"Not Found")</f>
        <v>Phillipschester   </v>
      </c>
      <c r="P1149" s="8" t="str">
        <f t="array" ref="P1149">XLOOKUP(D1149,Product_Dim!A:A,Product_Dim!B:B,"Not Found")</f>
        <v>Women's High Heels</v>
      </c>
      <c r="Q1149" s="8" t="str">
        <f t="array" ref="Q1149">XLOOKUP(D1149,Product_Dim!A:A,Product_Dim!C:C,"Not Found")</f>
        <v>Clothing</v>
      </c>
      <c r="R1149" s="8" t="str">
        <f t="array" ref="R1149">XLOOKUP(E1149,Store_Dim!A:A,Store_Dim!B:B,"Not Found")</f>
        <v>East</v>
      </c>
      <c r="S1149" s="8" t="str">
        <f t="array" ref="S1149">XLOOKUP(E1149,Store_Dim!A:A,Store_Dim!D:D,"Not Found")</f>
        <v>Flagship</v>
      </c>
    </row>
    <row r="1150" ht="14.25" customHeight="1">
      <c r="A1150" s="8" t="s">
        <v>3103</v>
      </c>
      <c r="B1150" s="12">
        <v>46628.0</v>
      </c>
      <c r="C1150" s="8" t="s">
        <v>470</v>
      </c>
      <c r="D1150" s="8" t="s">
        <v>1624</v>
      </c>
      <c r="E1150" s="8" t="s">
        <v>1917</v>
      </c>
      <c r="F1150" s="8">
        <v>4.0</v>
      </c>
      <c r="G1150" s="8">
        <v>101.33</v>
      </c>
      <c r="H1150" s="8">
        <v>0.0</v>
      </c>
      <c r="I1150" s="8">
        <f t="shared" si="1"/>
        <v>405.32</v>
      </c>
      <c r="J1150" s="8">
        <f t="shared" si="2"/>
        <v>0</v>
      </c>
      <c r="K1150" s="8" t="str">
        <f t="shared" si="3"/>
        <v>Aug</v>
      </c>
      <c r="L1150" s="8">
        <f t="shared" si="4"/>
        <v>2027</v>
      </c>
      <c r="N1150" s="8" t="str">
        <f t="array" ref="N1150">XLOOKUP(C1150,Customer_Dim!A:A,Customer_Dim!B:B,"Not Found")</f>
        <v>Morgan Bowen</v>
      </c>
      <c r="O1150" s="8" t="str">
        <f t="array" ref="O1150">XLOOKUP(C1150,Customer_Dim!A:A,Customer_Dim!E:E,"Not Found")</f>
        <v>Parksfort</v>
      </c>
      <c r="P1150" s="8" t="str">
        <f t="array" ref="P1150">XLOOKUP(D1150,Product_Dim!A:A,Product_Dim!B:B,"Not Found")</f>
        <v>4K Home Projector</v>
      </c>
      <c r="Q1150" s="8" t="str">
        <f t="array" ref="Q1150">XLOOKUP(D1150,Product_Dim!A:A,Product_Dim!C:C,"Not Found")</f>
        <v>Electronics</v>
      </c>
      <c r="R1150" s="8" t="str">
        <f t="array" ref="R1150">XLOOKUP(E1150,Store_Dim!A:A,Store_Dim!B:B,"Not Found")</f>
        <v>East</v>
      </c>
      <c r="S1150" s="8" t="str">
        <f t="array" ref="S1150">XLOOKUP(E1150,Store_Dim!A:A,Store_Dim!D:D,"Not Found")</f>
        <v>Online</v>
      </c>
    </row>
    <row r="1151" ht="14.25" customHeight="1">
      <c r="A1151" s="8" t="s">
        <v>3104</v>
      </c>
      <c r="B1151" s="12">
        <v>46629.0</v>
      </c>
      <c r="C1151" s="8" t="s">
        <v>461</v>
      </c>
      <c r="D1151" s="8" t="s">
        <v>1662</v>
      </c>
      <c r="E1151" s="8" t="s">
        <v>1921</v>
      </c>
      <c r="F1151" s="8">
        <v>3.0</v>
      </c>
      <c r="G1151" s="8">
        <v>922.56</v>
      </c>
      <c r="H1151" s="8">
        <v>0.18</v>
      </c>
      <c r="I1151" s="8">
        <f t="shared" si="1"/>
        <v>2767.68</v>
      </c>
      <c r="J1151" s="8">
        <f t="shared" si="2"/>
        <v>-498.0024</v>
      </c>
      <c r="K1151" s="8" t="str">
        <f t="shared" si="3"/>
        <v>Aug</v>
      </c>
      <c r="L1151" s="8">
        <f t="shared" si="4"/>
        <v>2027</v>
      </c>
      <c r="N1151" s="8" t="str">
        <f t="array" ref="N1151">XLOOKUP(C1151,Customer_Dim!A:A,Customer_Dim!B:B,"Not Found")</f>
        <v>Joseph Richards</v>
      </c>
      <c r="O1151" s="8" t="str">
        <f t="array" ref="O1151">XLOOKUP(C1151,Customer_Dim!A:A,Customer_Dim!E:E,"Not Found")</f>
        <v>Wigginsville</v>
      </c>
      <c r="P1151" s="8" t="str">
        <f t="array" ref="P1151">XLOOKUP(D1151,Product_Dim!A:A,Product_Dim!B:B,"Not Found")</f>
        <v>Wireless Bluetooth Speaker</v>
      </c>
      <c r="Q1151" s="8" t="str">
        <f t="array" ref="Q1151">XLOOKUP(D1151,Product_Dim!A:A,Product_Dim!C:C,"Not Found")</f>
        <v>Electronics</v>
      </c>
      <c r="R1151" s="8" t="str">
        <f t="array" ref="R1151">XLOOKUP(E1151,Store_Dim!A:A,Store_Dim!B:B,"Not Found")</f>
        <v>West</v>
      </c>
      <c r="S1151" s="8" t="str">
        <f t="array" ref="S1151">XLOOKUP(E1151,Store_Dim!A:A,Store_Dim!D:D,"Not Found")</f>
        <v>Online</v>
      </c>
    </row>
    <row r="1152" ht="14.25" customHeight="1">
      <c r="A1152" s="8" t="s">
        <v>3105</v>
      </c>
      <c r="B1152" s="12">
        <v>46630.0</v>
      </c>
      <c r="C1152" s="8" t="s">
        <v>1356</v>
      </c>
      <c r="D1152" s="8" t="s">
        <v>1700</v>
      </c>
      <c r="E1152" s="8" t="s">
        <v>1932</v>
      </c>
      <c r="F1152" s="8">
        <v>4.0</v>
      </c>
      <c r="G1152" s="8">
        <v>867.19</v>
      </c>
      <c r="H1152" s="8">
        <v>0.07</v>
      </c>
      <c r="I1152" s="8">
        <f t="shared" si="1"/>
        <v>3468.76</v>
      </c>
      <c r="J1152" s="8">
        <f t="shared" si="2"/>
        <v>-242.7432</v>
      </c>
      <c r="K1152" s="8" t="str">
        <f t="shared" si="3"/>
        <v>Aug</v>
      </c>
      <c r="L1152" s="8">
        <f t="shared" si="4"/>
        <v>2027</v>
      </c>
      <c r="N1152" s="8" t="str">
        <f t="array" ref="N1152">XLOOKUP(C1152,Customer_Dim!A:A,Customer_Dim!B:B,"Not Found")</f>
        <v>Summer Weiss</v>
      </c>
      <c r="O1152" s="8" t="str">
        <f t="array" ref="O1152">XLOOKUP(C1152,Customer_Dim!A:A,Customer_Dim!E:E,"Not Found")</f>
        <v>Phyllisport</v>
      </c>
      <c r="P1152" s="8" t="str">
        <f t="array" ref="P1152">XLOOKUP(D1152,Product_Dim!A:A,Product_Dim!B:B,"Not Found")</f>
        <v>Sports Water Hydration Pack</v>
      </c>
      <c r="Q1152" s="8" t="str">
        <f t="array" ref="Q1152">XLOOKUP(D1152,Product_Dim!A:A,Product_Dim!C:C,"Not Found")</f>
        <v>Sports</v>
      </c>
      <c r="R1152" s="8" t="str">
        <f t="array" ref="R1152">XLOOKUP(E1152,Store_Dim!A:A,Store_Dim!B:B,"Not Found")</f>
        <v>South</v>
      </c>
      <c r="S1152" s="8" t="str">
        <f t="array" ref="S1152">XLOOKUP(E1152,Store_Dim!A:A,Store_Dim!D:D,"Not Found")</f>
        <v>Outlet</v>
      </c>
    </row>
    <row r="1153" ht="14.25" customHeight="1">
      <c r="A1153" s="8" t="s">
        <v>3106</v>
      </c>
      <c r="B1153" s="12">
        <v>46631.0</v>
      </c>
      <c r="C1153" s="8" t="s">
        <v>44</v>
      </c>
      <c r="D1153" s="8" t="s">
        <v>1839</v>
      </c>
      <c r="E1153" s="8" t="s">
        <v>1937</v>
      </c>
      <c r="F1153" s="8">
        <v>3.0</v>
      </c>
      <c r="G1153" s="8">
        <v>816.87</v>
      </c>
      <c r="H1153" s="8">
        <v>0.14</v>
      </c>
      <c r="I1153" s="8">
        <f t="shared" si="1"/>
        <v>2450.61</v>
      </c>
      <c r="J1153" s="8">
        <f t="shared" si="2"/>
        <v>-342.9454</v>
      </c>
      <c r="K1153" s="8" t="str">
        <f t="shared" si="3"/>
        <v>Sep</v>
      </c>
      <c r="L1153" s="8">
        <f t="shared" si="4"/>
        <v>2027</v>
      </c>
      <c r="N1153" s="8" t="str">
        <f t="array" ref="N1153">XLOOKUP(C1153,Customer_Dim!A:A,Customer_Dim!B:B,"Not Found")</f>
        <v>Amber Jackson</v>
      </c>
      <c r="O1153" s="8" t="str">
        <f t="array" ref="O1153">XLOOKUP(C1153,Customer_Dim!A:A,Customer_Dim!E:E,"Not Found")</f>
        <v>Deborahborough</v>
      </c>
      <c r="P1153" s="8" t="str">
        <f t="array" ref="P1153">XLOOKUP(D1153,Product_Dim!A:A,Product_Dim!B:B,"Not Found")</f>
        <v>Hydrating Face Cleanser</v>
      </c>
      <c r="Q1153" s="8" t="str">
        <f t="array" ref="Q1153">XLOOKUP(D1153,Product_Dim!A:A,Product_Dim!C:C,"Not Found")</f>
        <v>Beauty</v>
      </c>
      <c r="R1153" s="8" t="str">
        <f t="array" ref="R1153">XLOOKUP(E1153,Store_Dim!A:A,Store_Dim!B:B,"Not Found")</f>
        <v>North</v>
      </c>
      <c r="S1153" s="8" t="str">
        <f t="array" ref="S1153">XLOOKUP(E1153,Store_Dim!A:A,Store_Dim!D:D,"Not Found")</f>
        <v>Flagship</v>
      </c>
    </row>
    <row r="1154" ht="14.25" customHeight="1">
      <c r="A1154" s="8" t="s">
        <v>3107</v>
      </c>
      <c r="B1154" s="12">
        <v>46632.0</v>
      </c>
      <c r="C1154" s="8" t="s">
        <v>1494</v>
      </c>
      <c r="D1154" s="8" t="s">
        <v>1784</v>
      </c>
      <c r="E1154" s="8" t="s">
        <v>1910</v>
      </c>
      <c r="F1154" s="8">
        <v>3.0</v>
      </c>
      <c r="G1154" s="8">
        <v>258.06</v>
      </c>
      <c r="H1154" s="8">
        <v>0.0</v>
      </c>
      <c r="I1154" s="8">
        <f t="shared" si="1"/>
        <v>774.18</v>
      </c>
      <c r="J1154" s="8">
        <f t="shared" si="2"/>
        <v>0</v>
      </c>
      <c r="K1154" s="8" t="str">
        <f t="shared" si="3"/>
        <v>Sep</v>
      </c>
      <c r="L1154" s="8">
        <f t="shared" si="4"/>
        <v>2027</v>
      </c>
      <c r="N1154" s="8" t="str">
        <f t="array" ref="N1154">XLOOKUP(C1154,Customer_Dim!A:A,Customer_Dim!B:B,"Not Found")</f>
        <v>Jordan Medina</v>
      </c>
      <c r="O1154" s="8" t="str">
        <f t="array" ref="O1154">XLOOKUP(C1154,Customer_Dim!A:A,Customer_Dim!E:E,"Not Found")</f>
        <v>Robinchester</v>
      </c>
      <c r="P1154" s="8" t="str">
        <f t="array" ref="P1154">XLOOKUP(D1154,Product_Dim!A:A,Product_Dim!B:B,"Not Found")</f>
        <v>Adjustable Dumbbells 20kg</v>
      </c>
      <c r="Q1154" s="8" t="str">
        <f t="array" ref="Q1154">XLOOKUP(D1154,Product_Dim!A:A,Product_Dim!C:C,"Not Found")</f>
        <v>Sports</v>
      </c>
      <c r="R1154" s="8" t="str">
        <f t="array" ref="R1154">XLOOKUP(E1154,Store_Dim!A:A,Store_Dim!B:B,"Not Found")</f>
        <v>North</v>
      </c>
      <c r="S1154" s="8" t="str">
        <f t="array" ref="S1154">XLOOKUP(E1154,Store_Dim!A:A,Store_Dim!D:D,"Not Found")</f>
        <v>Outlet</v>
      </c>
    </row>
    <row r="1155" ht="14.25" customHeight="1">
      <c r="A1155" s="8" t="s">
        <v>3108</v>
      </c>
      <c r="B1155" s="12">
        <v>46633.0</v>
      </c>
      <c r="C1155" s="8" t="s">
        <v>999</v>
      </c>
      <c r="D1155" s="8" t="s">
        <v>1700</v>
      </c>
      <c r="E1155" s="8" t="s">
        <v>1932</v>
      </c>
      <c r="F1155" s="8">
        <v>2.0</v>
      </c>
      <c r="G1155" s="8">
        <v>574.58</v>
      </c>
      <c r="H1155" s="8">
        <v>0.06</v>
      </c>
      <c r="I1155" s="8">
        <f t="shared" si="1"/>
        <v>1149.16</v>
      </c>
      <c r="J1155" s="8">
        <f t="shared" si="2"/>
        <v>-68.8896</v>
      </c>
      <c r="K1155" s="8" t="str">
        <f t="shared" si="3"/>
        <v>Sep</v>
      </c>
      <c r="L1155" s="8">
        <f t="shared" si="4"/>
        <v>2027</v>
      </c>
      <c r="N1155" s="8" t="str">
        <f t="array" ref="N1155">XLOOKUP(C1155,Customer_Dim!A:A,Customer_Dim!B:B,"Not Found")</f>
        <v>Jason Mullins</v>
      </c>
      <c r="O1155" s="8" t="str">
        <f t="array" ref="O1155">XLOOKUP(C1155,Customer_Dim!A:A,Customer_Dim!E:E,"Not Found")</f>
        <v>Brianchester</v>
      </c>
      <c r="P1155" s="8" t="str">
        <f t="array" ref="P1155">XLOOKUP(D1155,Product_Dim!A:A,Product_Dim!B:B,"Not Found")</f>
        <v>Sports Water Hydration Pack</v>
      </c>
      <c r="Q1155" s="8" t="str">
        <f t="array" ref="Q1155">XLOOKUP(D1155,Product_Dim!A:A,Product_Dim!C:C,"Not Found")</f>
        <v>Sports</v>
      </c>
      <c r="R1155" s="8" t="str">
        <f t="array" ref="R1155">XLOOKUP(E1155,Store_Dim!A:A,Store_Dim!B:B,"Not Found")</f>
        <v>South</v>
      </c>
      <c r="S1155" s="8" t="str">
        <f t="array" ref="S1155">XLOOKUP(E1155,Store_Dim!A:A,Store_Dim!D:D,"Not Found")</f>
        <v>Outlet</v>
      </c>
    </row>
    <row r="1156" ht="14.25" customHeight="1">
      <c r="A1156" s="8" t="s">
        <v>3109</v>
      </c>
      <c r="B1156" s="12">
        <v>46634.0</v>
      </c>
      <c r="C1156" s="8" t="s">
        <v>106</v>
      </c>
      <c r="D1156" s="8" t="s">
        <v>1839</v>
      </c>
      <c r="E1156" s="8" t="s">
        <v>1917</v>
      </c>
      <c r="F1156" s="8">
        <v>2.0</v>
      </c>
      <c r="G1156" s="8">
        <v>472.18</v>
      </c>
      <c r="H1156" s="8">
        <v>0.27</v>
      </c>
      <c r="I1156" s="8">
        <f t="shared" si="1"/>
        <v>944.36</v>
      </c>
      <c r="J1156" s="8">
        <f t="shared" si="2"/>
        <v>-254.7072</v>
      </c>
      <c r="K1156" s="8" t="str">
        <f t="shared" si="3"/>
        <v>Sep</v>
      </c>
      <c r="L1156" s="8">
        <f t="shared" si="4"/>
        <v>2027</v>
      </c>
      <c r="N1156" s="8" t="str">
        <f t="array" ref="N1156">XLOOKUP(C1156,Customer_Dim!A:A,Customer_Dim!B:B,"Not Found")</f>
        <v>   paul fox</v>
      </c>
      <c r="O1156" s="8" t="str">
        <f t="array" ref="O1156">XLOOKUP(C1156,Customer_Dim!A:A,Customer_Dim!E:E,"Not Found")</f>
        <v>Michaelton</v>
      </c>
      <c r="P1156" s="8" t="str">
        <f t="array" ref="P1156">XLOOKUP(D1156,Product_Dim!A:A,Product_Dim!B:B,"Not Found")</f>
        <v>Hydrating Face Cleanser</v>
      </c>
      <c r="Q1156" s="8" t="str">
        <f t="array" ref="Q1156">XLOOKUP(D1156,Product_Dim!A:A,Product_Dim!C:C,"Not Found")</f>
        <v>Beauty</v>
      </c>
      <c r="R1156" s="8" t="str">
        <f t="array" ref="R1156">XLOOKUP(E1156,Store_Dim!A:A,Store_Dim!B:B,"Not Found")</f>
        <v>East</v>
      </c>
      <c r="S1156" s="8" t="str">
        <f t="array" ref="S1156">XLOOKUP(E1156,Store_Dim!A:A,Store_Dim!D:D,"Not Found")</f>
        <v>Online</v>
      </c>
    </row>
    <row r="1157" ht="14.25" customHeight="1">
      <c r="A1157" s="8" t="s">
        <v>3110</v>
      </c>
      <c r="B1157" s="12">
        <v>46635.0</v>
      </c>
      <c r="C1157" s="8" t="s">
        <v>1083</v>
      </c>
      <c r="D1157" s="8" t="s">
        <v>1710</v>
      </c>
      <c r="E1157" s="8" t="s">
        <v>1915</v>
      </c>
      <c r="F1157" s="8">
        <v>2.0</v>
      </c>
      <c r="G1157" s="8">
        <v>20.47</v>
      </c>
      <c r="H1157" s="8">
        <v>0.12</v>
      </c>
      <c r="I1157" s="8">
        <f t="shared" si="1"/>
        <v>40.94</v>
      </c>
      <c r="J1157" s="8">
        <f t="shared" si="2"/>
        <v>-4.7928</v>
      </c>
      <c r="K1157" s="8" t="str">
        <f t="shared" si="3"/>
        <v>Sep</v>
      </c>
      <c r="L1157" s="8">
        <f t="shared" si="4"/>
        <v>2027</v>
      </c>
      <c r="N1157" s="8" t="str">
        <f t="array" ref="N1157">XLOOKUP(C1157,Customer_Dim!A:A,Customer_Dim!B:B,"Not Found")</f>
        <v>Eric Davis</v>
      </c>
      <c r="O1157" s="8" t="str">
        <f t="array" ref="O1157">XLOOKUP(C1157,Customer_Dim!A:A,Customer_Dim!E:E,"Not Found")</f>
        <v>Johntown</v>
      </c>
      <c r="P1157" s="8" t="str">
        <f t="array" ref="P1157">XLOOKUP(D1157,Product_Dim!A:A,Product_Dim!B:B,"Not Found")</f>
        <v>Yoga Exercise Mat</v>
      </c>
      <c r="Q1157" s="8" t="str">
        <f t="array" ref="Q1157">XLOOKUP(D1157,Product_Dim!A:A,Product_Dim!C:C,"Not Found")</f>
        <v>Sports</v>
      </c>
      <c r="R1157" s="8" t="str">
        <f t="array" ref="R1157">XLOOKUP(E1157,Store_Dim!A:A,Store_Dim!B:B,"Not Found")</f>
        <v>North</v>
      </c>
      <c r="S1157" s="8" t="str">
        <f t="array" ref="S1157">XLOOKUP(E1157,Store_Dim!A:A,Store_Dim!D:D,"Not Found")</f>
        <v>Outlet</v>
      </c>
    </row>
    <row r="1158" ht="14.25" customHeight="1">
      <c r="A1158" s="8" t="s">
        <v>3111</v>
      </c>
      <c r="B1158" s="12">
        <v>46636.0</v>
      </c>
      <c r="C1158" s="8" t="s">
        <v>110</v>
      </c>
      <c r="D1158" s="8" t="s">
        <v>1649</v>
      </c>
      <c r="E1158" s="8" t="s">
        <v>1919</v>
      </c>
      <c r="F1158" s="8">
        <v>3.0</v>
      </c>
      <c r="G1158" s="8">
        <v>235.41</v>
      </c>
      <c r="H1158" s="8">
        <v>0.15</v>
      </c>
      <c r="I1158" s="8">
        <f t="shared" si="1"/>
        <v>706.23</v>
      </c>
      <c r="J1158" s="8">
        <f t="shared" si="2"/>
        <v>-105.7845</v>
      </c>
      <c r="K1158" s="8" t="str">
        <f t="shared" si="3"/>
        <v>Sep</v>
      </c>
      <c r="L1158" s="8">
        <f t="shared" si="4"/>
        <v>2027</v>
      </c>
      <c r="N1158" s="8" t="str">
        <f t="array" ref="N1158">XLOOKUP(C1158,Customer_Dim!A:A,Customer_Dim!B:B,"Not Found")</f>
        <v>Jonathan Steele</v>
      </c>
      <c r="O1158" s="8" t="str">
        <f t="array" ref="O1158">XLOOKUP(C1158,Customer_Dim!A:A,Customer_Dim!E:E,"Not Found")</f>
        <v>Molinabury</v>
      </c>
      <c r="P1158" s="8" t="str">
        <f t="array" ref="P1158">XLOOKUP(D1158,Product_Dim!A:A,Product_Dim!B:B,"Not Found")</f>
        <v>Carbon Fiber Tennis Racket</v>
      </c>
      <c r="Q1158" s="8" t="str">
        <f t="array" ref="Q1158">XLOOKUP(D1158,Product_Dim!A:A,Product_Dim!C:C,"Not Found")</f>
        <v>Sports</v>
      </c>
      <c r="R1158" s="8" t="str">
        <f t="array" ref="R1158">XLOOKUP(E1158,Store_Dim!A:A,Store_Dim!B:B,"Not Found")</f>
        <v>South</v>
      </c>
      <c r="S1158" s="8" t="str">
        <f t="array" ref="S1158">XLOOKUP(E1158,Store_Dim!A:A,Store_Dim!D:D,"Not Found")</f>
        <v>Online</v>
      </c>
    </row>
    <row r="1159" ht="14.25" customHeight="1">
      <c r="A1159" s="8" t="s">
        <v>3112</v>
      </c>
      <c r="B1159" s="12">
        <v>46637.0</v>
      </c>
      <c r="C1159" s="8" t="s">
        <v>755</v>
      </c>
      <c r="D1159" s="8" t="s">
        <v>1824</v>
      </c>
      <c r="E1159" s="8" t="s">
        <v>1919</v>
      </c>
      <c r="F1159" s="8">
        <v>3.0</v>
      </c>
      <c r="G1159" s="8">
        <v>744.9</v>
      </c>
      <c r="H1159" s="8">
        <v>0.27</v>
      </c>
      <c r="I1159" s="8">
        <f t="shared" si="1"/>
        <v>2234.7</v>
      </c>
      <c r="J1159" s="8">
        <f t="shared" si="2"/>
        <v>-603.099</v>
      </c>
      <c r="K1159" s="8" t="str">
        <f t="shared" si="3"/>
        <v>Sep</v>
      </c>
      <c r="L1159" s="8">
        <f t="shared" si="4"/>
        <v>2027</v>
      </c>
      <c r="N1159" s="8" t="str">
        <f t="array" ref="N1159">XLOOKUP(C1159,Customer_Dim!A:A,Customer_Dim!B:B,"Not Found")</f>
        <v>Timothy Sanders</v>
      </c>
      <c r="O1159" s="8" t="str">
        <f t="array" ref="O1159">XLOOKUP(C1159,Customer_Dim!A:A,Customer_Dim!E:E,"Not Found")</f>
        <v>Aaronmouth</v>
      </c>
      <c r="P1159" s="8" t="str">
        <f t="array" ref="P1159">XLOOKUP(D1159,Product_Dim!A:A,Product_Dim!B:B,"Not Found")</f>
        <v>Essential Oil Diffuser</v>
      </c>
      <c r="Q1159" s="8" t="str">
        <f t="array" ref="Q1159">XLOOKUP(D1159,Product_Dim!A:A,Product_Dim!C:C,"Not Found")</f>
        <v>Home</v>
      </c>
      <c r="R1159" s="8" t="str">
        <f t="array" ref="R1159">XLOOKUP(E1159,Store_Dim!A:A,Store_Dim!B:B,"Not Found")</f>
        <v>South</v>
      </c>
      <c r="S1159" s="8" t="str">
        <f t="array" ref="S1159">XLOOKUP(E1159,Store_Dim!A:A,Store_Dim!D:D,"Not Found")</f>
        <v>Online</v>
      </c>
    </row>
    <row r="1160" ht="14.25" customHeight="1">
      <c r="A1160" s="8" t="s">
        <v>3113</v>
      </c>
      <c r="B1160" s="12">
        <v>46638.0</v>
      </c>
      <c r="C1160" s="8" t="s">
        <v>191</v>
      </c>
      <c r="D1160" s="8" t="s">
        <v>1635</v>
      </c>
      <c r="E1160" s="8" t="s">
        <v>1910</v>
      </c>
      <c r="F1160" s="8">
        <v>2.0</v>
      </c>
      <c r="G1160" s="8">
        <v>382.2</v>
      </c>
      <c r="H1160" s="8">
        <v>0.15</v>
      </c>
      <c r="I1160" s="8">
        <f t="shared" si="1"/>
        <v>764.4</v>
      </c>
      <c r="J1160" s="8">
        <f t="shared" si="2"/>
        <v>-114.51</v>
      </c>
      <c r="K1160" s="8" t="str">
        <f t="shared" si="3"/>
        <v>Sep</v>
      </c>
      <c r="L1160" s="8">
        <f t="shared" si="4"/>
        <v>2027</v>
      </c>
      <c r="N1160" s="8" t="str">
        <f t="array" ref="N1160">XLOOKUP(C1160,Customer_Dim!A:A,Customer_Dim!B:B,"Not Found")</f>
        <v>Gina Knight</v>
      </c>
      <c r="O1160" s="8" t="str">
        <f t="array" ref="O1160">XLOOKUP(C1160,Customer_Dim!A:A,Customer_Dim!E:E,"Not Found")</f>
        <v>Lake Roberthaven</v>
      </c>
      <c r="P1160" s="8" t="str">
        <f t="array" ref="P1160">XLOOKUP(D1160,Product_Dim!A:A,Product_Dim!B:B,"Not Found")</f>
        <v>Women's Denim Jeans</v>
      </c>
      <c r="Q1160" s="8" t="str">
        <f t="array" ref="Q1160">XLOOKUP(D1160,Product_Dim!A:A,Product_Dim!C:C,"Not Found")</f>
        <v>Clothing</v>
      </c>
      <c r="R1160" s="8" t="str">
        <f t="array" ref="R1160">XLOOKUP(E1160,Store_Dim!A:A,Store_Dim!B:B,"Not Found")</f>
        <v>North</v>
      </c>
      <c r="S1160" s="8" t="str">
        <f t="array" ref="S1160">XLOOKUP(E1160,Store_Dim!A:A,Store_Dim!D:D,"Not Found")</f>
        <v>Outlet</v>
      </c>
    </row>
    <row r="1161" ht="14.25" customHeight="1">
      <c r="A1161" s="8" t="s">
        <v>3114</v>
      </c>
      <c r="B1161" s="12">
        <v>46639.0</v>
      </c>
      <c r="C1161" s="8" t="s">
        <v>1101</v>
      </c>
      <c r="D1161" s="8" t="s">
        <v>1860</v>
      </c>
      <c r="E1161" s="8" t="s">
        <v>1935</v>
      </c>
      <c r="F1161" s="8">
        <v>1.0</v>
      </c>
      <c r="G1161" s="8">
        <v>269.25</v>
      </c>
      <c r="H1161" s="8">
        <v>0.14</v>
      </c>
      <c r="I1161" s="8">
        <f t="shared" si="1"/>
        <v>269.25</v>
      </c>
      <c r="J1161" s="8">
        <f t="shared" si="2"/>
        <v>-37.555</v>
      </c>
      <c r="K1161" s="8" t="str">
        <f t="shared" si="3"/>
        <v>Sep</v>
      </c>
      <c r="L1161" s="8">
        <f t="shared" si="4"/>
        <v>2027</v>
      </c>
      <c r="N1161" s="8" t="str">
        <f t="array" ref="N1161">XLOOKUP(C1161,Customer_Dim!A:A,Customer_Dim!B:B,"Not Found")</f>
        <v>John Jordan</v>
      </c>
      <c r="O1161" s="8" t="str">
        <f t="array" ref="O1161">XLOOKUP(C1161,Customer_Dim!A:A,Customer_Dim!E:E,"Not Found")</f>
        <v>Port Crystalberg</v>
      </c>
      <c r="P1161" s="8" t="str">
        <f t="array" ref="P1161">XLOOKUP(D1161,Product_Dim!A:A,Product_Dim!B:B,"Not Found")</f>
        <v>Gaming Mouse Pad XL</v>
      </c>
      <c r="Q1161" s="8" t="str">
        <f t="array" ref="Q1161">XLOOKUP(D1161,Product_Dim!A:A,Product_Dim!C:C,"Not Found")</f>
        <v>Electronics</v>
      </c>
      <c r="R1161" s="8" t="str">
        <f t="array" ref="R1161">XLOOKUP(E1161,Store_Dim!A:A,Store_Dim!B:B,"Not Found")</f>
        <v>West</v>
      </c>
      <c r="S1161" s="8" t="str">
        <f t="array" ref="S1161">XLOOKUP(E1161,Store_Dim!A:A,Store_Dim!D:D,"Not Found")</f>
        <v>Flagship</v>
      </c>
    </row>
    <row r="1162" ht="14.25" customHeight="1">
      <c r="A1162" s="8" t="s">
        <v>3115</v>
      </c>
      <c r="B1162" s="12">
        <v>46640.0</v>
      </c>
      <c r="C1162" s="8" t="s">
        <v>1158</v>
      </c>
      <c r="D1162" s="8" t="s">
        <v>1674</v>
      </c>
      <c r="E1162" s="8" t="s">
        <v>1928</v>
      </c>
      <c r="F1162" s="8">
        <v>2.0</v>
      </c>
      <c r="G1162" s="8">
        <v>723.75</v>
      </c>
      <c r="H1162" s="8">
        <v>0.03</v>
      </c>
      <c r="I1162" s="8">
        <f t="shared" si="1"/>
        <v>1447.5</v>
      </c>
      <c r="J1162" s="8">
        <f t="shared" si="2"/>
        <v>-43.395</v>
      </c>
      <c r="K1162" s="8" t="str">
        <f t="shared" si="3"/>
        <v>Sep</v>
      </c>
      <c r="L1162" s="8">
        <f t="shared" si="4"/>
        <v>2027</v>
      </c>
      <c r="N1162" s="8" t="str">
        <f t="array" ref="N1162">XLOOKUP(C1162,Customer_Dim!A:A,Customer_Dim!B:B,"Not Found")</f>
        <v>Brandon Mcbride</v>
      </c>
      <c r="O1162" s="8" t="str">
        <f t="array" ref="O1162">XLOOKUP(C1162,Customer_Dim!A:A,Customer_Dim!E:E,"Not Found")</f>
        <v>Kellyside</v>
      </c>
      <c r="P1162" s="8" t="str">
        <f t="array" ref="P1162">XLOOKUP(D1162,Product_Dim!A:A,Product_Dim!B:B,"Not Found")</f>
        <v>Stainless Steel Cutlery Set</v>
      </c>
      <c r="Q1162" s="8" t="str">
        <f t="array" ref="Q1162">XLOOKUP(D1162,Product_Dim!A:A,Product_Dim!C:C,"Not Found")</f>
        <v>Home</v>
      </c>
      <c r="R1162" s="8" t="str">
        <f t="array" ref="R1162">XLOOKUP(E1162,Store_Dim!A:A,Store_Dim!B:B,"Not Found")</f>
        <v>South</v>
      </c>
      <c r="S1162" s="8" t="str">
        <f t="array" ref="S1162">XLOOKUP(E1162,Store_Dim!A:A,Store_Dim!D:D,"Not Found")</f>
        <v>Online</v>
      </c>
    </row>
    <row r="1163" ht="14.25" customHeight="1">
      <c r="A1163" s="8" t="s">
        <v>3116</v>
      </c>
      <c r="B1163" s="12">
        <v>46641.0</v>
      </c>
      <c r="C1163" s="8" t="s">
        <v>908</v>
      </c>
      <c r="D1163" s="8" t="s">
        <v>1638</v>
      </c>
      <c r="E1163" s="8" t="s">
        <v>1941</v>
      </c>
      <c r="F1163" s="8">
        <v>4.0</v>
      </c>
      <c r="G1163" s="8">
        <v>58.92</v>
      </c>
      <c r="H1163" s="8">
        <v>0.18</v>
      </c>
      <c r="I1163" s="8">
        <f t="shared" si="1"/>
        <v>235.68</v>
      </c>
      <c r="J1163" s="8">
        <f t="shared" si="2"/>
        <v>-42.2424</v>
      </c>
      <c r="K1163" s="8" t="str">
        <f t="shared" si="3"/>
        <v>Sep</v>
      </c>
      <c r="L1163" s="8">
        <f t="shared" si="4"/>
        <v>2027</v>
      </c>
      <c r="N1163" s="8" t="str">
        <f t="array" ref="N1163">XLOOKUP(C1163,Customer_Dim!A:A,Customer_Dim!B:B,"Not Found")</f>
        <v>Brittany Watson</v>
      </c>
      <c r="O1163" s="8" t="str">
        <f t="array" ref="O1163">XLOOKUP(C1163,Customer_Dim!A:A,Customer_Dim!E:E,"Not Found")</f>
        <v>North Joshualand</v>
      </c>
      <c r="P1163" s="8" t="str">
        <f t="array" ref="P1163">XLOOKUP(D1163,Product_Dim!A:A,Product_Dim!B:B,"Not Found")</f>
        <v>Knee Support Brace</v>
      </c>
      <c r="Q1163" s="8" t="str">
        <f t="array" ref="Q1163">XLOOKUP(D1163,Product_Dim!A:A,Product_Dim!C:C,"Not Found")</f>
        <v>Sports</v>
      </c>
      <c r="R1163" s="8" t="str">
        <f t="array" ref="R1163">XLOOKUP(E1163,Store_Dim!A:A,Store_Dim!B:B,"Not Found")</f>
        <v>East</v>
      </c>
      <c r="S1163" s="8" t="str">
        <f t="array" ref="S1163">XLOOKUP(E1163,Store_Dim!A:A,Store_Dim!D:D,"Not Found")</f>
        <v>Online</v>
      </c>
    </row>
    <row r="1164" ht="14.25" customHeight="1">
      <c r="A1164" s="8" t="s">
        <v>3117</v>
      </c>
      <c r="B1164" s="12">
        <v>46642.0</v>
      </c>
      <c r="C1164" s="8" t="s">
        <v>631</v>
      </c>
      <c r="D1164" s="8" t="s">
        <v>1803</v>
      </c>
      <c r="E1164" s="8" t="s">
        <v>1926</v>
      </c>
      <c r="F1164" s="8">
        <v>2.0</v>
      </c>
      <c r="G1164" s="8">
        <v>913.08</v>
      </c>
      <c r="H1164" s="8">
        <v>0.26</v>
      </c>
      <c r="I1164" s="8">
        <f t="shared" si="1"/>
        <v>1826.16</v>
      </c>
      <c r="J1164" s="8">
        <f t="shared" si="2"/>
        <v>-474.5416</v>
      </c>
      <c r="K1164" s="8" t="str">
        <f t="shared" si="3"/>
        <v>Sep</v>
      </c>
      <c r="L1164" s="8">
        <f t="shared" si="4"/>
        <v>2027</v>
      </c>
      <c r="N1164" s="8" t="str">
        <f t="array" ref="N1164">XLOOKUP(C1164,Customer_Dim!A:A,Customer_Dim!B:B,"Not Found")</f>
        <v>Kimberly Brooks</v>
      </c>
      <c r="O1164" s="8" t="str">
        <f t="array" ref="O1164">XLOOKUP(C1164,Customer_Dim!A:A,Customer_Dim!E:E,"Not Found")</f>
        <v>Kingfort</v>
      </c>
      <c r="P1164" s="8" t="str">
        <f t="array" ref="P1164">XLOOKUP(D1164,Product_Dim!A:A,Product_Dim!B:B,"Not Found")</f>
        <v>Hair Repair Oil Treatment</v>
      </c>
      <c r="Q1164" s="8" t="str">
        <f t="array" ref="Q1164">XLOOKUP(D1164,Product_Dim!A:A,Product_Dim!C:C,"Not Found")</f>
        <v>Beauty</v>
      </c>
      <c r="R1164" s="8" t="str">
        <f t="array" ref="R1164">XLOOKUP(E1164,Store_Dim!A:A,Store_Dim!B:B,"Not Found")</f>
        <v>East</v>
      </c>
      <c r="S1164" s="8" t="str">
        <f t="array" ref="S1164">XLOOKUP(E1164,Store_Dim!A:A,Store_Dim!D:D,"Not Found")</f>
        <v>Online</v>
      </c>
    </row>
    <row r="1165" ht="14.25" customHeight="1">
      <c r="A1165" s="8" t="s">
        <v>3118</v>
      </c>
      <c r="B1165" s="12">
        <v>46643.0</v>
      </c>
      <c r="C1165" s="8" t="s">
        <v>791</v>
      </c>
      <c r="D1165" s="8" t="s">
        <v>1833</v>
      </c>
      <c r="E1165" s="8" t="s">
        <v>1903</v>
      </c>
      <c r="F1165" s="8">
        <v>1.0</v>
      </c>
      <c r="G1165" s="8">
        <v>791.83</v>
      </c>
      <c r="H1165" s="8">
        <v>0.28</v>
      </c>
      <c r="I1165" s="8">
        <f t="shared" si="1"/>
        <v>791.83</v>
      </c>
      <c r="J1165" s="8">
        <f t="shared" si="2"/>
        <v>-221.4324</v>
      </c>
      <c r="K1165" s="8" t="str">
        <f t="shared" si="3"/>
        <v>Sep</v>
      </c>
      <c r="L1165" s="8">
        <f t="shared" si="4"/>
        <v>2027</v>
      </c>
      <c r="N1165" s="8" t="str">
        <f t="array" ref="N1165">XLOOKUP(C1165,Customer_Dim!A:A,Customer_Dim!B:B,"Not Found")</f>
        <v>William Jackson</v>
      </c>
      <c r="O1165" s="8" t="str">
        <f t="array" ref="O1165">XLOOKUP(C1165,Customer_Dim!A:A,Customer_Dim!E:E,"Not Found")</f>
        <v>New Tina</v>
      </c>
      <c r="P1165" s="8" t="str">
        <f t="array" ref="P1165">XLOOKUP(D1165,Product_Dim!A:A,Product_Dim!B:B,"Not Found")</f>
        <v>Badminton Racket Set</v>
      </c>
      <c r="Q1165" s="8" t="str">
        <f t="array" ref="Q1165">XLOOKUP(D1165,Product_Dim!A:A,Product_Dim!C:C,"Not Found")</f>
        <v>Sports</v>
      </c>
      <c r="R1165" s="8" t="str">
        <f t="array" ref="R1165">XLOOKUP(E1165,Store_Dim!A:A,Store_Dim!B:B,"Not Found")</f>
        <v>North</v>
      </c>
      <c r="S1165" s="8" t="str">
        <f t="array" ref="S1165">XLOOKUP(E1165,Store_Dim!A:A,Store_Dim!D:D,"Not Found")</f>
        <v>Flagship</v>
      </c>
    </row>
    <row r="1166" ht="14.25" customHeight="1">
      <c r="A1166" s="8" t="s">
        <v>3119</v>
      </c>
      <c r="B1166" s="12">
        <v>46644.0</v>
      </c>
      <c r="C1166" s="8" t="s">
        <v>1468</v>
      </c>
      <c r="D1166" s="8" t="s">
        <v>2052</v>
      </c>
      <c r="E1166" s="8" t="s">
        <v>1933</v>
      </c>
      <c r="F1166" s="8">
        <v>1.0</v>
      </c>
      <c r="G1166" s="8">
        <v>74.29</v>
      </c>
      <c r="H1166" s="8">
        <v>0.3</v>
      </c>
      <c r="I1166" s="8">
        <f t="shared" si="1"/>
        <v>74.29</v>
      </c>
      <c r="J1166" s="8">
        <f t="shared" si="2"/>
        <v>-21.987</v>
      </c>
      <c r="K1166" s="8" t="str">
        <f t="shared" si="3"/>
        <v>Sep</v>
      </c>
      <c r="L1166" s="8">
        <f t="shared" si="4"/>
        <v>2027</v>
      </c>
      <c r="N1166" s="8" t="str">
        <f t="array" ref="N1166">XLOOKUP(C1166,Customer_Dim!A:A,Customer_Dim!B:B,"Not Found")</f>
        <v>Debra Mccullough</v>
      </c>
      <c r="O1166" s="8" t="str">
        <f t="array" ref="O1166">XLOOKUP(C1166,Customer_Dim!A:A,Customer_Dim!E:E,"Not Found")</f>
        <v>Mcdanielfurt</v>
      </c>
      <c r="P1166" s="8" t="str">
        <f t="array" ref="P1166">XLOOKUP(D1166,Product_Dim!A:A,Product_Dim!B:B,"Not Found")</f>
        <v>Not Found</v>
      </c>
      <c r="Q1166" s="8" t="str">
        <f t="array" ref="Q1166">XLOOKUP(D1166,Product_Dim!A:A,Product_Dim!C:C,"Not Found")</f>
        <v>Not Found</v>
      </c>
      <c r="R1166" s="8" t="str">
        <f t="array" ref="R1166">XLOOKUP(E1166,Store_Dim!A:A,Store_Dim!B:B,"Not Found")</f>
        <v>North</v>
      </c>
      <c r="S1166" s="8" t="str">
        <f t="array" ref="S1166">XLOOKUP(E1166,Store_Dim!A:A,Store_Dim!D:D,"Not Found")</f>
        <v>Flagship</v>
      </c>
    </row>
    <row r="1167" ht="14.25" customHeight="1">
      <c r="A1167" s="8" t="s">
        <v>3120</v>
      </c>
      <c r="B1167" s="12">
        <v>46645.0</v>
      </c>
      <c r="C1167" s="8" t="s">
        <v>794</v>
      </c>
      <c r="D1167" s="8" t="s">
        <v>1690</v>
      </c>
      <c r="E1167" s="8" t="s">
        <v>1899</v>
      </c>
      <c r="F1167" s="8">
        <v>2.0</v>
      </c>
      <c r="G1167" s="8">
        <v>961.68</v>
      </c>
      <c r="H1167" s="8">
        <v>0.27</v>
      </c>
      <c r="I1167" s="8">
        <f t="shared" si="1"/>
        <v>1923.36</v>
      </c>
      <c r="J1167" s="8">
        <f t="shared" si="2"/>
        <v>-519.0372</v>
      </c>
      <c r="K1167" s="8" t="str">
        <f t="shared" si="3"/>
        <v>Sep</v>
      </c>
      <c r="L1167" s="8">
        <f t="shared" si="4"/>
        <v>2027</v>
      </c>
      <c r="N1167" s="8" t="str">
        <f t="array" ref="N1167">XLOOKUP(C1167,Customer_Dim!A:A,Customer_Dim!B:B,"Not Found")</f>
        <v>Brian Hammond</v>
      </c>
      <c r="O1167" s="8" t="str">
        <f t="array" ref="O1167">XLOOKUP(C1167,Customer_Dim!A:A,Customer_Dim!E:E,"Not Found")</f>
        <v>North Nicholas</v>
      </c>
      <c r="P1167" s="8" t="str">
        <f t="array" ref="P1167">XLOOKUP(D1167,Product_Dim!A:A,Product_Dim!B:B,"Not Found")</f>
        <v>Bedroom Table Lamp</v>
      </c>
      <c r="Q1167" s="8" t="str">
        <f t="array" ref="Q1167">XLOOKUP(D1167,Product_Dim!A:A,Product_Dim!C:C,"Not Found")</f>
        <v>Home</v>
      </c>
      <c r="R1167" s="8" t="str">
        <f t="array" ref="R1167">XLOOKUP(E1167,Store_Dim!A:A,Store_Dim!B:B,"Not Found")</f>
        <v>East</v>
      </c>
      <c r="S1167" s="8" t="str">
        <f t="array" ref="S1167">XLOOKUP(E1167,Store_Dim!A:A,Store_Dim!D:D,"Not Found")</f>
        <v>Flagship</v>
      </c>
    </row>
    <row r="1168" ht="14.25" customHeight="1">
      <c r="A1168" s="8" t="s">
        <v>3121</v>
      </c>
      <c r="B1168" s="12">
        <v>46646.0</v>
      </c>
      <c r="C1168" s="8" t="s">
        <v>1534</v>
      </c>
      <c r="D1168" s="8" t="s">
        <v>1638</v>
      </c>
      <c r="E1168" s="8" t="s">
        <v>1932</v>
      </c>
      <c r="F1168" s="8">
        <v>1.0</v>
      </c>
      <c r="G1168" s="8">
        <v>90.72</v>
      </c>
      <c r="H1168" s="8">
        <v>0.1</v>
      </c>
      <c r="I1168" s="8">
        <f t="shared" si="1"/>
        <v>90.72</v>
      </c>
      <c r="J1168" s="8">
        <f t="shared" si="2"/>
        <v>-8.972</v>
      </c>
      <c r="K1168" s="8" t="str">
        <f t="shared" si="3"/>
        <v>Sep</v>
      </c>
      <c r="L1168" s="8">
        <f t="shared" si="4"/>
        <v>2027</v>
      </c>
      <c r="N1168" s="8" t="str">
        <f t="array" ref="N1168">XLOOKUP(C1168,Customer_Dim!A:A,Customer_Dim!B:B,"Not Found")</f>
        <v>Justin Lopez</v>
      </c>
      <c r="O1168" s="8" t="str">
        <f t="array" ref="O1168">XLOOKUP(C1168,Customer_Dim!A:A,Customer_Dim!E:E,"Not Found")</f>
        <v>Port Cheryl</v>
      </c>
      <c r="P1168" s="8" t="str">
        <f t="array" ref="P1168">XLOOKUP(D1168,Product_Dim!A:A,Product_Dim!B:B,"Not Found")</f>
        <v>Knee Support Brace</v>
      </c>
      <c r="Q1168" s="8" t="str">
        <f t="array" ref="Q1168">XLOOKUP(D1168,Product_Dim!A:A,Product_Dim!C:C,"Not Found")</f>
        <v>Sports</v>
      </c>
      <c r="R1168" s="8" t="str">
        <f t="array" ref="R1168">XLOOKUP(E1168,Store_Dim!A:A,Store_Dim!B:B,"Not Found")</f>
        <v>South</v>
      </c>
      <c r="S1168" s="8" t="str">
        <f t="array" ref="S1168">XLOOKUP(E1168,Store_Dim!A:A,Store_Dim!D:D,"Not Found")</f>
        <v>Outlet</v>
      </c>
    </row>
    <row r="1169" ht="14.25" customHeight="1">
      <c r="A1169" s="8" t="s">
        <v>3122</v>
      </c>
      <c r="B1169" s="12">
        <v>46647.0</v>
      </c>
      <c r="C1169" s="8" t="s">
        <v>234</v>
      </c>
      <c r="D1169" s="8" t="s">
        <v>1763</v>
      </c>
      <c r="E1169" s="8" t="s">
        <v>1919</v>
      </c>
      <c r="F1169" s="8">
        <v>1.0</v>
      </c>
      <c r="G1169" s="8">
        <v>458.69</v>
      </c>
      <c r="H1169" s="8">
        <v>0.16</v>
      </c>
      <c r="I1169" s="8">
        <f t="shared" si="1"/>
        <v>458.69</v>
      </c>
      <c r="J1169" s="8">
        <f t="shared" si="2"/>
        <v>-73.2304</v>
      </c>
      <c r="K1169" s="8" t="str">
        <f t="shared" si="3"/>
        <v>Sep</v>
      </c>
      <c r="L1169" s="8">
        <f t="shared" si="4"/>
        <v>2027</v>
      </c>
      <c r="N1169" s="8" t="str">
        <f t="array" ref="N1169">XLOOKUP(C1169,Customer_Dim!A:A,Customer_Dim!B:B,"Not Found")</f>
        <v>Dr. David Smith</v>
      </c>
      <c r="O1169" s="8" t="str">
        <f t="array" ref="O1169">XLOOKUP(C1169,Customer_Dim!A:A,Customer_Dim!E:E,"Not Found")</f>
        <v>Schmidtchester</v>
      </c>
      <c r="P1169" s="8" t="str">
        <f t="array" ref="P1169">XLOOKUP(D1169,Product_Dim!A:A,Product_Dim!B:B,"Not Found")</f>
        <v>Womens Cotton Scarf</v>
      </c>
      <c r="Q1169" s="8" t="str">
        <f t="array" ref="Q1169">XLOOKUP(D1169,Product_Dim!A:A,Product_Dim!C:C,"Not Found")</f>
        <v>Clothing</v>
      </c>
      <c r="R1169" s="8" t="str">
        <f t="array" ref="R1169">XLOOKUP(E1169,Store_Dim!A:A,Store_Dim!B:B,"Not Found")</f>
        <v>South</v>
      </c>
      <c r="S1169" s="8" t="str">
        <f t="array" ref="S1169">XLOOKUP(E1169,Store_Dim!A:A,Store_Dim!D:D,"Not Found")</f>
        <v>Online</v>
      </c>
    </row>
    <row r="1170" ht="14.25" customHeight="1">
      <c r="A1170" s="8" t="s">
        <v>3123</v>
      </c>
      <c r="B1170" s="12">
        <v>46648.0</v>
      </c>
      <c r="C1170" s="8" t="s">
        <v>758</v>
      </c>
      <c r="D1170" s="8" t="s">
        <v>1687</v>
      </c>
      <c r="E1170" s="8" t="s">
        <v>1919</v>
      </c>
      <c r="F1170" s="8">
        <v>1.0</v>
      </c>
      <c r="G1170" s="8">
        <v>168.29</v>
      </c>
      <c r="H1170" s="8">
        <v>0.05</v>
      </c>
      <c r="I1170" s="8">
        <f t="shared" si="1"/>
        <v>168.29</v>
      </c>
      <c r="J1170" s="8">
        <f t="shared" si="2"/>
        <v>-8.3645</v>
      </c>
      <c r="K1170" s="8" t="str">
        <f t="shared" si="3"/>
        <v>Sep</v>
      </c>
      <c r="L1170" s="8">
        <f t="shared" si="4"/>
        <v>2027</v>
      </c>
      <c r="N1170" s="8" t="str">
        <f t="array" ref="N1170">XLOOKUP(C1170,Customer_Dim!A:A,Customer_Dim!B:B,"Not Found")</f>
        <v>Timothy Juarez</v>
      </c>
      <c r="O1170" s="8" t="str">
        <f t="array" ref="O1170">XLOOKUP(C1170,Customer_Dim!A:A,Customer_Dim!E:E,"Not Found")</f>
        <v>Grahamstad</v>
      </c>
      <c r="P1170" s="8" t="str">
        <f t="array" ref="P1170">XLOOKUP(D1170,Product_Dim!A:A,Product_Dim!B:B,"Not Found")</f>
        <v>Gaming Mechanical Keyboard</v>
      </c>
      <c r="Q1170" s="8" t="str">
        <f t="array" ref="Q1170">XLOOKUP(D1170,Product_Dim!A:A,Product_Dim!C:C,"Not Found")</f>
        <v>Electronics</v>
      </c>
      <c r="R1170" s="8" t="str">
        <f t="array" ref="R1170">XLOOKUP(E1170,Store_Dim!A:A,Store_Dim!B:B,"Not Found")</f>
        <v>South</v>
      </c>
      <c r="S1170" s="8" t="str">
        <f t="array" ref="S1170">XLOOKUP(E1170,Store_Dim!A:A,Store_Dim!D:D,"Not Found")</f>
        <v>Online</v>
      </c>
    </row>
    <row r="1171" ht="14.25" customHeight="1">
      <c r="A1171" s="8" t="s">
        <v>3124</v>
      </c>
      <c r="B1171" s="12">
        <v>46649.0</v>
      </c>
      <c r="C1171" s="8" t="s">
        <v>699</v>
      </c>
      <c r="D1171" s="8" t="s">
        <v>1632</v>
      </c>
      <c r="E1171" s="8" t="s">
        <v>1937</v>
      </c>
      <c r="F1171" s="8">
        <v>1.0</v>
      </c>
      <c r="G1171" s="8">
        <v>391.77</v>
      </c>
      <c r="H1171" s="8">
        <v>0.1</v>
      </c>
      <c r="I1171" s="8">
        <f t="shared" si="1"/>
        <v>391.77</v>
      </c>
      <c r="J1171" s="8">
        <f t="shared" si="2"/>
        <v>-39.077</v>
      </c>
      <c r="K1171" s="8" t="str">
        <f t="shared" si="3"/>
        <v>Sep</v>
      </c>
      <c r="L1171" s="8">
        <f t="shared" si="4"/>
        <v>2027</v>
      </c>
      <c r="N1171" s="8" t="str">
        <f t="array" ref="N1171">XLOOKUP(C1171,Customer_Dim!A:A,Customer_Dim!B:B,"Not Found")</f>
        <v>Rodney Huffman</v>
      </c>
      <c r="O1171" s="8" t="str">
        <f t="array" ref="O1171">XLOOKUP(C1171,Customer_Dim!A:A,Customer_Dim!E:E,"Not Found")</f>
        <v>Garzafort</v>
      </c>
      <c r="P1171" s="8" t="str">
        <f t="array" ref="P1171">XLOOKUP(D1171,Product_Dim!A:A,Product_Dim!B:B,"Not Found")</f>
        <v>Soccer Training Cone Set</v>
      </c>
      <c r="Q1171" s="8" t="str">
        <f t="array" ref="Q1171">XLOOKUP(D1171,Product_Dim!A:A,Product_Dim!C:C,"Not Found")</f>
        <v>Sports</v>
      </c>
      <c r="R1171" s="8" t="str">
        <f t="array" ref="R1171">XLOOKUP(E1171,Store_Dim!A:A,Store_Dim!B:B,"Not Found")</f>
        <v>North</v>
      </c>
      <c r="S1171" s="8" t="str">
        <f t="array" ref="S1171">XLOOKUP(E1171,Store_Dim!A:A,Store_Dim!D:D,"Not Found")</f>
        <v>Flagship</v>
      </c>
    </row>
    <row r="1172" ht="14.25" customHeight="1">
      <c r="A1172" s="8" t="s">
        <v>3125</v>
      </c>
      <c r="B1172" s="12">
        <v>46650.0</v>
      </c>
      <c r="C1172" s="8" t="s">
        <v>1092</v>
      </c>
      <c r="D1172" s="8" t="s">
        <v>1613</v>
      </c>
      <c r="E1172" s="8" t="s">
        <v>1932</v>
      </c>
      <c r="F1172" s="8">
        <v>1.0</v>
      </c>
      <c r="G1172" s="8">
        <v>424.83</v>
      </c>
      <c r="H1172" s="8">
        <v>0.05</v>
      </c>
      <c r="I1172" s="8">
        <f t="shared" si="1"/>
        <v>424.83</v>
      </c>
      <c r="J1172" s="8">
        <f t="shared" si="2"/>
        <v>-21.1915</v>
      </c>
      <c r="K1172" s="8" t="str">
        <f t="shared" si="3"/>
        <v>Sep</v>
      </c>
      <c r="L1172" s="8">
        <f t="shared" si="4"/>
        <v>2027</v>
      </c>
      <c r="N1172" s="8" t="str">
        <f t="array" ref="N1172">XLOOKUP(C1172,Customer_Dim!A:A,Customer_Dim!B:B,"Not Found")</f>
        <v>Ryan Moore</v>
      </c>
      <c r="O1172" s="8" t="str">
        <f t="array" ref="O1172">XLOOKUP(C1172,Customer_Dim!A:A,Customer_Dim!E:E,"Not Found")</f>
        <v>Cartershire</v>
      </c>
      <c r="P1172" s="8" t="str">
        <f t="array" ref="P1172">XLOOKUP(D1172,Product_Dim!A:A,Product_Dim!B:B,"Not Found")</f>
        <v>Hair Strengthening Shampoo</v>
      </c>
      <c r="Q1172" s="8" t="str">
        <f t="array" ref="Q1172">XLOOKUP(D1172,Product_Dim!A:A,Product_Dim!C:C,"Not Found")</f>
        <v>Beauty</v>
      </c>
      <c r="R1172" s="8" t="str">
        <f t="array" ref="R1172">XLOOKUP(E1172,Store_Dim!A:A,Store_Dim!B:B,"Not Found")</f>
        <v>South</v>
      </c>
      <c r="S1172" s="8" t="str">
        <f t="array" ref="S1172">XLOOKUP(E1172,Store_Dim!A:A,Store_Dim!D:D,"Not Found")</f>
        <v>Outlet</v>
      </c>
    </row>
    <row r="1173" ht="14.25" customHeight="1">
      <c r="A1173" s="8" t="s">
        <v>3126</v>
      </c>
      <c r="B1173" s="12">
        <v>46651.0</v>
      </c>
      <c r="C1173" s="8" t="s">
        <v>212</v>
      </c>
      <c r="D1173" s="8" t="s">
        <v>1610</v>
      </c>
      <c r="E1173" s="8" t="s">
        <v>1910</v>
      </c>
      <c r="F1173" s="8">
        <v>1.0</v>
      </c>
      <c r="G1173" s="8">
        <v>499.46</v>
      </c>
      <c r="H1173" s="8">
        <v>0.1</v>
      </c>
      <c r="I1173" s="8">
        <f t="shared" si="1"/>
        <v>499.46</v>
      </c>
      <c r="J1173" s="8">
        <f t="shared" si="2"/>
        <v>-49.846</v>
      </c>
      <c r="K1173" s="8" t="str">
        <f t="shared" si="3"/>
        <v>Sep</v>
      </c>
      <c r="L1173" s="8">
        <f t="shared" si="4"/>
        <v>2027</v>
      </c>
      <c r="N1173" s="8" t="str">
        <f t="array" ref="N1173">XLOOKUP(C1173,Customer_Dim!A:A,Customer_Dim!B:B,"Not Found")</f>
        <v>Sharon Brown</v>
      </c>
      <c r="O1173" s="8" t="str">
        <f t="array" ref="O1173">XLOOKUP(C1173,Customer_Dim!A:A,Customer_Dim!E:E,"Not Found")</f>
        <v>East Andrea</v>
      </c>
      <c r="P1173" s="8" t="str">
        <f t="array" ref="P1173">XLOOKUP(D1173,Product_Dim!A:A,Product_Dim!B:B,"Not Found")</f>
        <v>HD Smart TV Stick</v>
      </c>
      <c r="Q1173" s="8" t="str">
        <f t="array" ref="Q1173">XLOOKUP(D1173,Product_Dim!A:A,Product_Dim!C:C,"Not Found")</f>
        <v>Electronics</v>
      </c>
      <c r="R1173" s="8" t="str">
        <f t="array" ref="R1173">XLOOKUP(E1173,Store_Dim!A:A,Store_Dim!B:B,"Not Found")</f>
        <v>North</v>
      </c>
      <c r="S1173" s="8" t="str">
        <f t="array" ref="S1173">XLOOKUP(E1173,Store_Dim!A:A,Store_Dim!D:D,"Not Found")</f>
        <v>Outlet</v>
      </c>
    </row>
    <row r="1174" ht="14.25" customHeight="1">
      <c r="A1174" s="8" t="s">
        <v>3127</v>
      </c>
      <c r="B1174" s="12">
        <v>46652.0</v>
      </c>
      <c r="C1174" s="8" t="s">
        <v>94</v>
      </c>
      <c r="D1174" s="8" t="s">
        <v>1887</v>
      </c>
      <c r="E1174" s="8" t="s">
        <v>1903</v>
      </c>
      <c r="F1174" s="8">
        <v>2.0</v>
      </c>
      <c r="G1174" s="8">
        <v>698.34</v>
      </c>
      <c r="H1174" s="8">
        <v>0.15</v>
      </c>
      <c r="I1174" s="8">
        <f t="shared" si="1"/>
        <v>1396.68</v>
      </c>
      <c r="J1174" s="8">
        <f t="shared" si="2"/>
        <v>-209.352</v>
      </c>
      <c r="K1174" s="8" t="str">
        <f t="shared" si="3"/>
        <v>Sep</v>
      </c>
      <c r="L1174" s="8">
        <f t="shared" si="4"/>
        <v>2027</v>
      </c>
      <c r="N1174" s="8" t="str">
        <f t="array" ref="N1174">XLOOKUP(C1174,Customer_Dim!A:A,Customer_Dim!B:B,"Not Found")</f>
        <v>Michael Torres</v>
      </c>
      <c r="O1174" s="8" t="str">
        <f t="array" ref="O1174">XLOOKUP(C1174,Customer_Dim!A:A,Customer_Dim!E:E,"Not Found")</f>
        <v>Gonzalezfort</v>
      </c>
      <c r="P1174" s="8" t="str">
        <f t="array" ref="P1174">XLOOKUP(D1174,Product_Dim!A:A,Product_Dim!B:B,"Not Found")</f>
        <v>Stainless Steel Cookware Set</v>
      </c>
      <c r="Q1174" s="8" t="str">
        <f t="array" ref="Q1174">XLOOKUP(D1174,Product_Dim!A:A,Product_Dim!C:C,"Not Found")</f>
        <v>Home</v>
      </c>
      <c r="R1174" s="8" t="str">
        <f t="array" ref="R1174">XLOOKUP(E1174,Store_Dim!A:A,Store_Dim!B:B,"Not Found")</f>
        <v>North</v>
      </c>
      <c r="S1174" s="8" t="str">
        <f t="array" ref="S1174">XLOOKUP(E1174,Store_Dim!A:A,Store_Dim!D:D,"Not Found")</f>
        <v>Flagship</v>
      </c>
    </row>
    <row r="1175" ht="14.25" customHeight="1">
      <c r="A1175" s="8" t="s">
        <v>3128</v>
      </c>
      <c r="B1175" s="12">
        <v>46653.0</v>
      </c>
      <c r="C1175" s="8" t="s">
        <v>914</v>
      </c>
      <c r="D1175" s="8" t="s">
        <v>1757</v>
      </c>
      <c r="E1175" s="8" t="s">
        <v>1935</v>
      </c>
      <c r="F1175" s="8">
        <v>2.0</v>
      </c>
      <c r="G1175" s="8">
        <v>805.08</v>
      </c>
      <c r="H1175" s="8">
        <v>0.27</v>
      </c>
      <c r="I1175" s="8">
        <f t="shared" si="1"/>
        <v>1610.16</v>
      </c>
      <c r="J1175" s="8">
        <f t="shared" si="2"/>
        <v>-434.4732</v>
      </c>
      <c r="K1175" s="8" t="str">
        <f t="shared" si="3"/>
        <v>Sep</v>
      </c>
      <c r="L1175" s="8">
        <f t="shared" si="4"/>
        <v>2027</v>
      </c>
      <c r="N1175" s="8" t="str">
        <f t="array" ref="N1175">XLOOKUP(C1175,Customer_Dim!A:A,Customer_Dim!B:B,"Not Found")</f>
        <v>Bryan Garcia</v>
      </c>
      <c r="O1175" s="8" t="str">
        <f t="array" ref="O1175">XLOOKUP(C1175,Customer_Dim!A:A,Customer_Dim!E:E,"Not Found")</f>
        <v>Garciaborough</v>
      </c>
      <c r="P1175" s="8" t="str">
        <f t="array" ref="P1175">XLOOKUP(D1175,Product_Dim!A:A,Product_Dim!B:B,"Not Found")</f>
        <v>Premium Blanket Throw</v>
      </c>
      <c r="Q1175" s="8" t="str">
        <f t="array" ref="Q1175">XLOOKUP(D1175,Product_Dim!A:A,Product_Dim!C:C,"Not Found")</f>
        <v>Home</v>
      </c>
      <c r="R1175" s="8" t="str">
        <f t="array" ref="R1175">XLOOKUP(E1175,Store_Dim!A:A,Store_Dim!B:B,"Not Found")</f>
        <v>West</v>
      </c>
      <c r="S1175" s="8" t="str">
        <f t="array" ref="S1175">XLOOKUP(E1175,Store_Dim!A:A,Store_Dim!D:D,"Not Found")</f>
        <v>Flagship</v>
      </c>
    </row>
    <row r="1176" ht="14.25" customHeight="1">
      <c r="A1176" s="8" t="s">
        <v>3129</v>
      </c>
      <c r="B1176" s="12">
        <v>46654.0</v>
      </c>
      <c r="C1176" s="8" t="s">
        <v>1453</v>
      </c>
      <c r="D1176" s="8" t="s">
        <v>1818</v>
      </c>
      <c r="E1176" s="8" t="s">
        <v>1906</v>
      </c>
      <c r="F1176" s="8">
        <v>4.0</v>
      </c>
      <c r="G1176" s="8">
        <v>934.79</v>
      </c>
      <c r="H1176" s="8">
        <v>0.08</v>
      </c>
      <c r="I1176" s="8">
        <f t="shared" si="1"/>
        <v>3739.16</v>
      </c>
      <c r="J1176" s="8">
        <f t="shared" si="2"/>
        <v>-299.0528</v>
      </c>
      <c r="K1176" s="8" t="str">
        <f t="shared" si="3"/>
        <v>Sep</v>
      </c>
      <c r="L1176" s="8">
        <f t="shared" si="4"/>
        <v>2027</v>
      </c>
      <c r="N1176" s="8" t="str">
        <f t="array" ref="N1176">XLOOKUP(C1176,Customer_Dim!A:A,Customer_Dim!B:B,"Not Found")</f>
        <v>Cynthia Parrish</v>
      </c>
      <c r="O1176" s="8" t="str">
        <f t="array" ref="O1176">XLOOKUP(C1176,Customer_Dim!A:A,Customer_Dim!E:E,"Not Found")</f>
        <v>Espinozaberg</v>
      </c>
      <c r="P1176" s="8" t="str">
        <f t="array" ref="P1176">XLOOKUP(D1176,Product_Dim!A:A,Product_Dim!B:B,"Not Found")</f>
        <v>Wireless Mouse</v>
      </c>
      <c r="Q1176" s="8" t="str">
        <f t="array" ref="Q1176">XLOOKUP(D1176,Product_Dim!A:A,Product_Dim!C:C,"Not Found")</f>
        <v>Electronics</v>
      </c>
      <c r="R1176" s="8" t="str">
        <f t="array" ref="R1176">XLOOKUP(E1176,Store_Dim!A:A,Store_Dim!B:B,"Not Found")</f>
        <v>South</v>
      </c>
      <c r="S1176" s="8" t="str">
        <f t="array" ref="S1176">XLOOKUP(E1176,Store_Dim!A:A,Store_Dim!D:D,"Not Found")</f>
        <v>Outlet</v>
      </c>
    </row>
    <row r="1177" ht="14.25" customHeight="1">
      <c r="A1177" s="8" t="s">
        <v>3130</v>
      </c>
      <c r="B1177" s="12">
        <v>46655.0</v>
      </c>
      <c r="C1177" s="8" t="s">
        <v>94</v>
      </c>
      <c r="D1177" s="8" t="s">
        <v>1769</v>
      </c>
      <c r="E1177" s="8" t="s">
        <v>1903</v>
      </c>
      <c r="F1177" s="8">
        <v>2.0</v>
      </c>
      <c r="G1177" s="8">
        <v>424.54</v>
      </c>
      <c r="H1177" s="8">
        <v>0.24</v>
      </c>
      <c r="I1177" s="8">
        <f t="shared" si="1"/>
        <v>849.08</v>
      </c>
      <c r="J1177" s="8">
        <f t="shared" si="2"/>
        <v>-203.5392</v>
      </c>
      <c r="K1177" s="8" t="str">
        <f t="shared" si="3"/>
        <v>Sep</v>
      </c>
      <c r="L1177" s="8">
        <f t="shared" si="4"/>
        <v>2027</v>
      </c>
      <c r="N1177" s="8" t="str">
        <f t="array" ref="N1177">XLOOKUP(C1177,Customer_Dim!A:A,Customer_Dim!B:B,"Not Found")</f>
        <v>Michael Torres</v>
      </c>
      <c r="O1177" s="8" t="str">
        <f t="array" ref="O1177">XLOOKUP(C1177,Customer_Dim!A:A,Customer_Dim!E:E,"Not Found")</f>
        <v>Gonzalezfort</v>
      </c>
      <c r="P1177" s="8" t="str">
        <f t="array" ref="P1177">XLOOKUP(D1177,Product_Dim!A:A,Product_Dim!B:B,"Not Found")</f>
        <v>Luxury Perfume Spray</v>
      </c>
      <c r="Q1177" s="8" t="str">
        <f t="array" ref="Q1177">XLOOKUP(D1177,Product_Dim!A:A,Product_Dim!C:C,"Not Found")</f>
        <v>Beauty</v>
      </c>
      <c r="R1177" s="8" t="str">
        <f t="array" ref="R1177">XLOOKUP(E1177,Store_Dim!A:A,Store_Dim!B:B,"Not Found")</f>
        <v>North</v>
      </c>
      <c r="S1177" s="8" t="str">
        <f t="array" ref="S1177">XLOOKUP(E1177,Store_Dim!A:A,Store_Dim!D:D,"Not Found")</f>
        <v>Flagship</v>
      </c>
    </row>
    <row r="1178" ht="14.25" customHeight="1">
      <c r="A1178" s="8" t="s">
        <v>3131</v>
      </c>
      <c r="B1178" s="12">
        <v>46656.0</v>
      </c>
      <c r="C1178" s="8" t="s">
        <v>1044</v>
      </c>
      <c r="D1178" s="8" t="s">
        <v>1842</v>
      </c>
      <c r="E1178" s="8" t="s">
        <v>1937</v>
      </c>
      <c r="F1178" s="8">
        <v>1.0</v>
      </c>
      <c r="G1178" s="8">
        <v>235.44</v>
      </c>
      <c r="H1178" s="8">
        <v>0.19</v>
      </c>
      <c r="I1178" s="8">
        <f t="shared" si="1"/>
        <v>235.44</v>
      </c>
      <c r="J1178" s="8">
        <f t="shared" si="2"/>
        <v>-44.5436</v>
      </c>
      <c r="K1178" s="8" t="str">
        <f t="shared" si="3"/>
        <v>Sep</v>
      </c>
      <c r="L1178" s="8">
        <f t="shared" si="4"/>
        <v>2027</v>
      </c>
      <c r="N1178" s="8" t="str">
        <f t="array" ref="N1178">XLOOKUP(C1178,Customer_Dim!A:A,Customer_Dim!B:B,"Not Found")</f>
        <v>Reginald Willis</v>
      </c>
      <c r="O1178" s="8" t="str">
        <f t="array" ref="O1178">XLOOKUP(C1178,Customer_Dim!A:A,Customer_Dim!E:E,"Not Found")</f>
        <v>Kellybury</v>
      </c>
      <c r="P1178" s="8" t="str">
        <f t="array" ref="P1178">XLOOKUP(D1178,Product_Dim!A:A,Product_Dim!B:B,"Not Found")</f>
        <v>Wooden Bookshelf</v>
      </c>
      <c r="Q1178" s="8" t="str">
        <f t="array" ref="Q1178">XLOOKUP(D1178,Product_Dim!A:A,Product_Dim!C:C,"Not Found")</f>
        <v>Home</v>
      </c>
      <c r="R1178" s="8" t="str">
        <f t="array" ref="R1178">XLOOKUP(E1178,Store_Dim!A:A,Store_Dim!B:B,"Not Found")</f>
        <v>North</v>
      </c>
      <c r="S1178" s="8" t="str">
        <f t="array" ref="S1178">XLOOKUP(E1178,Store_Dim!A:A,Store_Dim!D:D,"Not Found")</f>
        <v>Flagship</v>
      </c>
    </row>
    <row r="1179" ht="14.25" customHeight="1">
      <c r="A1179" s="8" t="s">
        <v>3132</v>
      </c>
      <c r="B1179" s="12">
        <v>46657.0</v>
      </c>
      <c r="C1179" s="8" t="s">
        <v>878</v>
      </c>
      <c r="D1179" s="8" t="s">
        <v>1735</v>
      </c>
      <c r="E1179" s="8" t="s">
        <v>1931</v>
      </c>
      <c r="F1179" s="8">
        <v>2.0</v>
      </c>
      <c r="G1179" s="8">
        <v>620.71</v>
      </c>
      <c r="H1179" s="8">
        <v>0.27</v>
      </c>
      <c r="I1179" s="8">
        <f t="shared" si="1"/>
        <v>1241.42</v>
      </c>
      <c r="J1179" s="8">
        <f t="shared" si="2"/>
        <v>-334.9134</v>
      </c>
      <c r="K1179" s="8" t="str">
        <f t="shared" si="3"/>
        <v>Sep</v>
      </c>
      <c r="L1179" s="8">
        <f t="shared" si="4"/>
        <v>2027</v>
      </c>
      <c r="N1179" s="8" t="str">
        <f t="array" ref="N1179">XLOOKUP(C1179,Customer_Dim!A:A,Customer_Dim!B:B,"Not Found")</f>
        <v>Daisy Johnson DDS</v>
      </c>
      <c r="O1179" s="8" t="str">
        <f t="array" ref="O1179">XLOOKUP(C1179,Customer_Dim!A:A,Customer_Dim!E:E,"Not Found")</f>
        <v>North Stephanie</v>
      </c>
      <c r="P1179" s="8" t="str">
        <f t="array" ref="P1179">XLOOKUP(D1179,Product_Dim!A:A,Product_Dim!B:B,"Not Found")</f>
        <v>Men's Roll-On Perfume</v>
      </c>
      <c r="Q1179" s="8" t="str">
        <f t="array" ref="Q1179">XLOOKUP(D1179,Product_Dim!A:A,Product_Dim!C:C,"Not Found")</f>
        <v>Beauty</v>
      </c>
      <c r="R1179" s="8" t="str">
        <f t="array" ref="R1179">XLOOKUP(E1179,Store_Dim!A:A,Store_Dim!B:B,"Not Found")</f>
        <v>East</v>
      </c>
      <c r="S1179" s="8" t="str">
        <f t="array" ref="S1179">XLOOKUP(E1179,Store_Dim!A:A,Store_Dim!D:D,"Not Found")</f>
        <v>Flagship</v>
      </c>
    </row>
    <row r="1180" ht="14.25" customHeight="1">
      <c r="A1180" s="8" t="s">
        <v>3133</v>
      </c>
      <c r="B1180" s="12">
        <v>46658.0</v>
      </c>
      <c r="C1180" s="8" t="s">
        <v>412</v>
      </c>
      <c r="D1180" s="8" t="s">
        <v>1989</v>
      </c>
      <c r="E1180" s="8" t="s">
        <v>1928</v>
      </c>
      <c r="F1180" s="8">
        <v>2.0</v>
      </c>
      <c r="G1180" s="8">
        <v>851.77</v>
      </c>
      <c r="H1180" s="8">
        <v>0.13</v>
      </c>
      <c r="I1180" s="8">
        <f t="shared" si="1"/>
        <v>1703.54</v>
      </c>
      <c r="J1180" s="8">
        <f t="shared" si="2"/>
        <v>-221.3302</v>
      </c>
      <c r="K1180" s="8" t="str">
        <f t="shared" si="3"/>
        <v>Sep</v>
      </c>
      <c r="L1180" s="8">
        <f t="shared" si="4"/>
        <v>2027</v>
      </c>
      <c r="N1180" s="8" t="str">
        <f t="array" ref="N1180">XLOOKUP(C1180,Customer_Dim!A:A,Customer_Dim!B:B,"Not Found")</f>
        <v>Tyler Conrad</v>
      </c>
      <c r="O1180" s="8" t="str">
        <f t="array" ref="O1180">XLOOKUP(C1180,Customer_Dim!A:A,Customer_Dim!E:E,"Not Found")</f>
        <v>North Curtischester</v>
      </c>
      <c r="P1180" s="8" t="str">
        <f t="array" ref="P1180">XLOOKUP(D1180,Product_Dim!A:A,Product_Dim!B:B,"Not Found")</f>
        <v>Not Found</v>
      </c>
      <c r="Q1180" s="8" t="str">
        <f t="array" ref="Q1180">XLOOKUP(D1180,Product_Dim!A:A,Product_Dim!C:C,"Not Found")</f>
        <v>Not Found</v>
      </c>
      <c r="R1180" s="8" t="str">
        <f t="array" ref="R1180">XLOOKUP(E1180,Store_Dim!A:A,Store_Dim!B:B,"Not Found")</f>
        <v>South</v>
      </c>
      <c r="S1180" s="8" t="str">
        <f t="array" ref="S1180">XLOOKUP(E1180,Store_Dim!A:A,Store_Dim!D:D,"Not Found")</f>
        <v>Online</v>
      </c>
    </row>
    <row r="1181" ht="14.25" customHeight="1">
      <c r="A1181" s="8" t="s">
        <v>3134</v>
      </c>
      <c r="B1181" s="12">
        <v>46659.0</v>
      </c>
      <c r="C1181" s="8" t="s">
        <v>571</v>
      </c>
      <c r="D1181" s="8" t="s">
        <v>1722</v>
      </c>
      <c r="E1181" s="8" t="s">
        <v>1903</v>
      </c>
      <c r="F1181" s="8">
        <v>3.0</v>
      </c>
      <c r="G1181" s="8">
        <v>876.01</v>
      </c>
      <c r="H1181" s="8">
        <v>0.2</v>
      </c>
      <c r="I1181" s="8">
        <f t="shared" si="1"/>
        <v>2628.03</v>
      </c>
      <c r="J1181" s="8">
        <f t="shared" si="2"/>
        <v>-525.406</v>
      </c>
      <c r="K1181" s="8" t="str">
        <f t="shared" si="3"/>
        <v>Sep</v>
      </c>
      <c r="L1181" s="8">
        <f t="shared" si="4"/>
        <v>2027</v>
      </c>
      <c r="N1181" s="8" t="str">
        <f t="array" ref="N1181">XLOOKUP(C1181,Customer_Dim!A:A,Customer_Dim!B:B,"Not Found")</f>
        <v>Daniel Contreras</v>
      </c>
      <c r="O1181" s="8" t="str">
        <f t="array" ref="O1181">XLOOKUP(C1181,Customer_Dim!A:A,Customer_Dim!E:E,"Not Found")</f>
        <v>Robertview</v>
      </c>
      <c r="P1181" s="8" t="str">
        <f t="array" ref="P1181">XLOOKUP(D1181,Product_Dim!A:A,Product_Dim!B:B,"Not Found")</f>
        <v>High-Grip Football</v>
      </c>
      <c r="Q1181" s="8" t="str">
        <f t="array" ref="Q1181">XLOOKUP(D1181,Product_Dim!A:A,Product_Dim!C:C,"Not Found")</f>
        <v>Sports</v>
      </c>
      <c r="R1181" s="8" t="str">
        <f t="array" ref="R1181">XLOOKUP(E1181,Store_Dim!A:A,Store_Dim!B:B,"Not Found")</f>
        <v>North</v>
      </c>
      <c r="S1181" s="8" t="str">
        <f t="array" ref="S1181">XLOOKUP(E1181,Store_Dim!A:A,Store_Dim!D:D,"Not Found")</f>
        <v>Flagship</v>
      </c>
    </row>
    <row r="1182" ht="14.25" customHeight="1">
      <c r="A1182" s="8" t="s">
        <v>3135</v>
      </c>
      <c r="B1182" s="12">
        <v>46660.0</v>
      </c>
      <c r="C1182" s="8" t="s">
        <v>893</v>
      </c>
      <c r="D1182" s="8" t="s">
        <v>1665</v>
      </c>
      <c r="E1182" s="8" t="s">
        <v>1924</v>
      </c>
      <c r="F1182" s="8">
        <v>2.0</v>
      </c>
      <c r="G1182" s="8">
        <v>717.21</v>
      </c>
      <c r="H1182" s="8">
        <v>0.15</v>
      </c>
      <c r="I1182" s="8">
        <f t="shared" si="1"/>
        <v>1434.42</v>
      </c>
      <c r="J1182" s="8">
        <f t="shared" si="2"/>
        <v>-215.013</v>
      </c>
      <c r="K1182" s="8" t="str">
        <f t="shared" si="3"/>
        <v>Sep</v>
      </c>
      <c r="L1182" s="8">
        <f t="shared" si="4"/>
        <v>2027</v>
      </c>
      <c r="N1182" s="8" t="str">
        <f t="array" ref="N1182">XLOOKUP(C1182,Customer_Dim!A:A,Customer_Dim!B:B,"Not Found")</f>
        <v>Arthur Warren</v>
      </c>
      <c r="O1182" s="8" t="str">
        <f t="array" ref="O1182">XLOOKUP(C1182,Customer_Dim!A:A,Customer_Dim!E:E,"Not Found")</f>
        <v>Ericshire</v>
      </c>
      <c r="P1182" s="8" t="str">
        <f t="array" ref="P1182">XLOOKUP(D1182,Product_Dim!A:A,Product_Dim!B:B,"Not Found")</f>
        <v>Decorative Floor Vase</v>
      </c>
      <c r="Q1182" s="8" t="str">
        <f t="array" ref="Q1182">XLOOKUP(D1182,Product_Dim!A:A,Product_Dim!C:C,"Not Found")</f>
        <v>Home</v>
      </c>
      <c r="R1182" s="8" t="str">
        <f t="array" ref="R1182">XLOOKUP(E1182,Store_Dim!A:A,Store_Dim!B:B,"Not Found")</f>
        <v>South</v>
      </c>
      <c r="S1182" s="8" t="str">
        <f t="array" ref="S1182">XLOOKUP(E1182,Store_Dim!A:A,Store_Dim!D:D,"Not Found")</f>
        <v>Flagship</v>
      </c>
    </row>
    <row r="1183" ht="14.25" customHeight="1">
      <c r="A1183" s="8" t="s">
        <v>3136</v>
      </c>
      <c r="B1183" s="12">
        <v>46661.0</v>
      </c>
      <c r="C1183" s="8" t="s">
        <v>221</v>
      </c>
      <c r="D1183" s="8" t="s">
        <v>1710</v>
      </c>
      <c r="E1183" s="8" t="s">
        <v>1921</v>
      </c>
      <c r="F1183" s="8">
        <v>2.0</v>
      </c>
      <c r="G1183" s="8">
        <v>871.43</v>
      </c>
      <c r="H1183" s="8">
        <v>0.05</v>
      </c>
      <c r="I1183" s="8">
        <f t="shared" si="1"/>
        <v>1742.86</v>
      </c>
      <c r="J1183" s="8">
        <f t="shared" si="2"/>
        <v>-87.093</v>
      </c>
      <c r="K1183" s="8" t="str">
        <f t="shared" si="3"/>
        <v>Oct</v>
      </c>
      <c r="L1183" s="8">
        <f t="shared" si="4"/>
        <v>2027</v>
      </c>
      <c r="N1183" s="8" t="str">
        <f t="array" ref="N1183">XLOOKUP(C1183,Customer_Dim!A:A,Customer_Dim!B:B,"Not Found")</f>
        <v>Christopher Sutton</v>
      </c>
      <c r="O1183" s="8" t="str">
        <f t="array" ref="O1183">XLOOKUP(C1183,Customer_Dim!A:A,Customer_Dim!E:E,"Not Found")</f>
        <v>Deborahberg</v>
      </c>
      <c r="P1183" s="8" t="str">
        <f t="array" ref="P1183">XLOOKUP(D1183,Product_Dim!A:A,Product_Dim!B:B,"Not Found")</f>
        <v>Yoga Exercise Mat</v>
      </c>
      <c r="Q1183" s="8" t="str">
        <f t="array" ref="Q1183">XLOOKUP(D1183,Product_Dim!A:A,Product_Dim!C:C,"Not Found")</f>
        <v>Sports</v>
      </c>
      <c r="R1183" s="8" t="str">
        <f t="array" ref="R1183">XLOOKUP(E1183,Store_Dim!A:A,Store_Dim!B:B,"Not Found")</f>
        <v>West</v>
      </c>
      <c r="S1183" s="8" t="str">
        <f t="array" ref="S1183">XLOOKUP(E1183,Store_Dim!A:A,Store_Dim!D:D,"Not Found")</f>
        <v>Online</v>
      </c>
    </row>
    <row r="1184" ht="14.25" customHeight="1">
      <c r="A1184" s="8" t="s">
        <v>3137</v>
      </c>
      <c r="B1184" s="12">
        <v>46662.0</v>
      </c>
      <c r="C1184" s="8" t="s">
        <v>1416</v>
      </c>
      <c r="D1184" s="8" t="s">
        <v>1693</v>
      </c>
      <c r="E1184" s="8" t="s">
        <v>1919</v>
      </c>
      <c r="F1184" s="8">
        <v>1.0</v>
      </c>
      <c r="G1184" s="8">
        <v>514.65</v>
      </c>
      <c r="H1184" s="8">
        <v>0.18</v>
      </c>
      <c r="I1184" s="8">
        <f t="shared" si="1"/>
        <v>514.65</v>
      </c>
      <c r="J1184" s="8">
        <f t="shared" si="2"/>
        <v>-92.457</v>
      </c>
      <c r="K1184" s="8" t="str">
        <f t="shared" si="3"/>
        <v>Oct</v>
      </c>
      <c r="L1184" s="8">
        <f t="shared" si="4"/>
        <v>2027</v>
      </c>
      <c r="N1184" s="8" t="str">
        <f t="array" ref="N1184">XLOOKUP(C1184,Customer_Dim!A:A,Customer_Dim!B:B,"Not Found")</f>
        <v>April Phillips</v>
      </c>
      <c r="O1184" s="8" t="str">
        <f t="array" ref="O1184">XLOOKUP(C1184,Customer_Dim!A:A,Customer_Dim!E:E,"Not Found")</f>
        <v>Lake Carolyn</v>
      </c>
      <c r="P1184" s="8" t="str">
        <f t="array" ref="P1184">XLOOKUP(D1184,Product_Dim!A:A,Product_Dim!B:B,"Not Found")</f>
        <v>Women's Summer Dress</v>
      </c>
      <c r="Q1184" s="8" t="str">
        <f t="array" ref="Q1184">XLOOKUP(D1184,Product_Dim!A:A,Product_Dim!C:C,"Not Found")</f>
        <v>Clothing</v>
      </c>
      <c r="R1184" s="8" t="str">
        <f t="array" ref="R1184">XLOOKUP(E1184,Store_Dim!A:A,Store_Dim!B:B,"Not Found")</f>
        <v>South</v>
      </c>
      <c r="S1184" s="8" t="str">
        <f t="array" ref="S1184">XLOOKUP(E1184,Store_Dim!A:A,Store_Dim!D:D,"Not Found")</f>
        <v>Online</v>
      </c>
    </row>
    <row r="1185" ht="14.25" customHeight="1">
      <c r="A1185" s="8" t="s">
        <v>3138</v>
      </c>
      <c r="B1185" s="12">
        <v>46663.0</v>
      </c>
      <c r="C1185" s="8" t="s">
        <v>1433</v>
      </c>
      <c r="D1185" s="8" t="s">
        <v>1775</v>
      </c>
      <c r="E1185" s="8" t="s">
        <v>1935</v>
      </c>
      <c r="F1185" s="8">
        <v>3.0</v>
      </c>
      <c r="G1185" s="8">
        <v>198.76</v>
      </c>
      <c r="H1185" s="8">
        <v>0.28</v>
      </c>
      <c r="I1185" s="8">
        <f t="shared" si="1"/>
        <v>596.28</v>
      </c>
      <c r="J1185" s="8">
        <f t="shared" si="2"/>
        <v>-166.6784</v>
      </c>
      <c r="K1185" s="8" t="str">
        <f t="shared" si="3"/>
        <v>Oct</v>
      </c>
      <c r="L1185" s="8">
        <f t="shared" si="4"/>
        <v>2027</v>
      </c>
      <c r="N1185" s="8" t="str">
        <f t="array" ref="N1185">XLOOKUP(C1185,Customer_Dim!A:A,Customer_Dim!B:B,"Not Found")</f>
        <v>John Perez</v>
      </c>
      <c r="O1185" s="8" t="str">
        <f t="array" ref="O1185">XLOOKUP(C1185,Customer_Dim!A:A,Customer_Dim!E:E,"Not Found")</f>
        <v>Brandontown</v>
      </c>
      <c r="P1185" s="8" t="str">
        <f t="array" ref="P1185">XLOOKUP(D1185,Product_Dim!A:A,Product_Dim!B:B,"Not Found")</f>
        <v>Laptop Cooling Pad</v>
      </c>
      <c r="Q1185" s="8" t="str">
        <f t="array" ref="Q1185">XLOOKUP(D1185,Product_Dim!A:A,Product_Dim!C:C,"Not Found")</f>
        <v>Electronics</v>
      </c>
      <c r="R1185" s="8" t="str">
        <f t="array" ref="R1185">XLOOKUP(E1185,Store_Dim!A:A,Store_Dim!B:B,"Not Found")</f>
        <v>West</v>
      </c>
      <c r="S1185" s="8" t="str">
        <f t="array" ref="S1185">XLOOKUP(E1185,Store_Dim!A:A,Store_Dim!D:D,"Not Found")</f>
        <v>Flagship</v>
      </c>
    </row>
    <row r="1186" ht="14.25" customHeight="1">
      <c r="A1186" s="8" t="s">
        <v>3139</v>
      </c>
      <c r="B1186" s="12">
        <v>46664.0</v>
      </c>
      <c r="C1186" s="8" t="s">
        <v>742</v>
      </c>
      <c r="D1186" s="8" t="s">
        <v>1778</v>
      </c>
      <c r="E1186" s="8" t="s">
        <v>1910</v>
      </c>
      <c r="F1186" s="8">
        <v>2.0</v>
      </c>
      <c r="G1186" s="8">
        <v>975.72</v>
      </c>
      <c r="H1186" s="8">
        <v>0.16</v>
      </c>
      <c r="I1186" s="8">
        <f t="shared" si="1"/>
        <v>1951.44</v>
      </c>
      <c r="J1186" s="8">
        <f t="shared" si="2"/>
        <v>-312.0704</v>
      </c>
      <c r="K1186" s="8" t="str">
        <f t="shared" si="3"/>
        <v>Oct</v>
      </c>
      <c r="L1186" s="8">
        <f t="shared" si="4"/>
        <v>2027</v>
      </c>
      <c r="N1186" s="8" t="str">
        <f t="array" ref="N1186">XLOOKUP(C1186,Customer_Dim!A:A,Customer_Dim!B:B,"Not Found")</f>
        <v>Elizabeth Stanley</v>
      </c>
      <c r="O1186" s="8" t="str">
        <f t="array" ref="O1186">XLOOKUP(C1186,Customer_Dim!A:A,Customer_Dim!E:E,"Not Found")</f>
        <v>Bethanyton</v>
      </c>
      <c r="P1186" s="8" t="str">
        <f t="array" ref="P1186">XLOOKUP(D1186,Product_Dim!A:A,Product_Dim!B:B,"Not Found")</f>
        <v>Organic Sunscreen Lotion</v>
      </c>
      <c r="Q1186" s="8" t="str">
        <f t="array" ref="Q1186">XLOOKUP(D1186,Product_Dim!A:A,Product_Dim!C:C,"Not Found")</f>
        <v>Beauty</v>
      </c>
      <c r="R1186" s="8" t="str">
        <f t="array" ref="R1186">XLOOKUP(E1186,Store_Dim!A:A,Store_Dim!B:B,"Not Found")</f>
        <v>North</v>
      </c>
      <c r="S1186" s="8" t="str">
        <f t="array" ref="S1186">XLOOKUP(E1186,Store_Dim!A:A,Store_Dim!D:D,"Not Found")</f>
        <v>Outlet</v>
      </c>
    </row>
    <row r="1187" ht="14.25" customHeight="1">
      <c r="A1187" s="8" t="s">
        <v>3140</v>
      </c>
      <c r="B1187" s="12">
        <v>46665.0</v>
      </c>
      <c r="C1187" s="8" t="s">
        <v>1320</v>
      </c>
      <c r="D1187" s="8" t="s">
        <v>1624</v>
      </c>
      <c r="E1187" s="8" t="s">
        <v>1903</v>
      </c>
      <c r="F1187" s="8">
        <v>1.0</v>
      </c>
      <c r="G1187" s="8">
        <v>86.03</v>
      </c>
      <c r="H1187" s="8">
        <v>0.01</v>
      </c>
      <c r="I1187" s="8">
        <f t="shared" si="1"/>
        <v>86.03</v>
      </c>
      <c r="J1187" s="8">
        <f t="shared" si="2"/>
        <v>-0.8503</v>
      </c>
      <c r="K1187" s="8" t="str">
        <f t="shared" si="3"/>
        <v>Oct</v>
      </c>
      <c r="L1187" s="8">
        <f t="shared" si="4"/>
        <v>2027</v>
      </c>
      <c r="N1187" s="8" t="str">
        <f t="array" ref="N1187">XLOOKUP(C1187,Customer_Dim!A:A,Customer_Dim!B:B,"Not Found")</f>
        <v>Dr. Tamara White MD</v>
      </c>
      <c r="O1187" s="8" t="str">
        <f t="array" ref="O1187">XLOOKUP(C1187,Customer_Dim!A:A,Customer_Dim!E:E,"Not Found")</f>
        <v>New Benjamin</v>
      </c>
      <c r="P1187" s="8" t="str">
        <f t="array" ref="P1187">XLOOKUP(D1187,Product_Dim!A:A,Product_Dim!B:B,"Not Found")</f>
        <v>4K Home Projector</v>
      </c>
      <c r="Q1187" s="8" t="str">
        <f t="array" ref="Q1187">XLOOKUP(D1187,Product_Dim!A:A,Product_Dim!C:C,"Not Found")</f>
        <v>Electronics</v>
      </c>
      <c r="R1187" s="8" t="str">
        <f t="array" ref="R1187">XLOOKUP(E1187,Store_Dim!A:A,Store_Dim!B:B,"Not Found")</f>
        <v>North</v>
      </c>
      <c r="S1187" s="8" t="str">
        <f t="array" ref="S1187">XLOOKUP(E1187,Store_Dim!A:A,Store_Dim!D:D,"Not Found")</f>
        <v>Flagship</v>
      </c>
    </row>
    <row r="1188" ht="14.25" customHeight="1">
      <c r="A1188" s="8" t="s">
        <v>3141</v>
      </c>
      <c r="B1188" s="12">
        <v>46666.0</v>
      </c>
      <c r="C1188" s="8" t="s">
        <v>324</v>
      </c>
      <c r="D1188" s="8" t="s">
        <v>1751</v>
      </c>
      <c r="E1188" s="8" t="s">
        <v>1929</v>
      </c>
      <c r="F1188" s="8">
        <v>4.0</v>
      </c>
      <c r="G1188" s="8">
        <v>705.12</v>
      </c>
      <c r="H1188" s="8">
        <v>0.15</v>
      </c>
      <c r="I1188" s="8">
        <f t="shared" si="1"/>
        <v>2820.48</v>
      </c>
      <c r="J1188" s="8">
        <f t="shared" si="2"/>
        <v>-422.922</v>
      </c>
      <c r="K1188" s="8" t="str">
        <f t="shared" si="3"/>
        <v>Oct</v>
      </c>
      <c r="L1188" s="8">
        <f t="shared" si="4"/>
        <v>2027</v>
      </c>
      <c r="N1188" s="8" t="str">
        <f t="array" ref="N1188">XLOOKUP(C1188,Customer_Dim!A:A,Customer_Dim!B:B,"Not Found")</f>
        <v>Melissa Duffy MD</v>
      </c>
      <c r="O1188" s="8" t="str">
        <f t="array" ref="O1188">XLOOKUP(C1188,Customer_Dim!A:A,Customer_Dim!E:E,"Not Found")</f>
        <v>East Jenna</v>
      </c>
      <c r="P1188" s="8" t="str">
        <f t="array" ref="P1188">XLOOKUP(D1188,Product_Dim!A:A,Product_Dim!B:B,"Not Found")</f>
        <v>Sports Stopwatch Pro</v>
      </c>
      <c r="Q1188" s="8" t="str">
        <f t="array" ref="Q1188">XLOOKUP(D1188,Product_Dim!A:A,Product_Dim!C:C,"Not Found")</f>
        <v>Sports</v>
      </c>
      <c r="R1188" s="8" t="str">
        <f t="array" ref="R1188">XLOOKUP(E1188,Store_Dim!A:A,Store_Dim!B:B,"Not Found")</f>
        <v>North</v>
      </c>
      <c r="S1188" s="8" t="str">
        <f t="array" ref="S1188">XLOOKUP(E1188,Store_Dim!A:A,Store_Dim!D:D,"Not Found")</f>
        <v>Online</v>
      </c>
    </row>
    <row r="1189" ht="14.25" customHeight="1">
      <c r="A1189" s="8" t="s">
        <v>3142</v>
      </c>
      <c r="B1189" s="12">
        <v>46667.0</v>
      </c>
      <c r="C1189" s="8" t="s">
        <v>1176</v>
      </c>
      <c r="D1189" s="8" t="s">
        <v>1635</v>
      </c>
      <c r="E1189" s="8" t="s">
        <v>1929</v>
      </c>
      <c r="F1189" s="8">
        <v>3.0</v>
      </c>
      <c r="G1189" s="8">
        <v>99.77</v>
      </c>
      <c r="H1189" s="8">
        <v>0.01</v>
      </c>
      <c r="I1189" s="8">
        <f t="shared" si="1"/>
        <v>299.31</v>
      </c>
      <c r="J1189" s="8">
        <f t="shared" si="2"/>
        <v>-2.9831</v>
      </c>
      <c r="K1189" s="8" t="str">
        <f t="shared" si="3"/>
        <v>Oct</v>
      </c>
      <c r="L1189" s="8">
        <f t="shared" si="4"/>
        <v>2027</v>
      </c>
      <c r="N1189" s="8" t="str">
        <f t="array" ref="N1189">XLOOKUP(C1189,Customer_Dim!A:A,Customer_Dim!B:B,"Not Found")</f>
        <v>Michael Garner</v>
      </c>
      <c r="O1189" s="8" t="str">
        <f t="array" ref="O1189">XLOOKUP(C1189,Customer_Dim!A:A,Customer_Dim!E:E,"Not Found")</f>
        <v>Port Crystal</v>
      </c>
      <c r="P1189" s="8" t="str">
        <f t="array" ref="P1189">XLOOKUP(D1189,Product_Dim!A:A,Product_Dim!B:B,"Not Found")</f>
        <v>Women's Denim Jeans</v>
      </c>
      <c r="Q1189" s="8" t="str">
        <f t="array" ref="Q1189">XLOOKUP(D1189,Product_Dim!A:A,Product_Dim!C:C,"Not Found")</f>
        <v>Clothing</v>
      </c>
      <c r="R1189" s="8" t="str">
        <f t="array" ref="R1189">XLOOKUP(E1189,Store_Dim!A:A,Store_Dim!B:B,"Not Found")</f>
        <v>North</v>
      </c>
      <c r="S1189" s="8" t="str">
        <f t="array" ref="S1189">XLOOKUP(E1189,Store_Dim!A:A,Store_Dim!D:D,"Not Found")</f>
        <v>Online</v>
      </c>
    </row>
    <row r="1190" ht="14.25" customHeight="1">
      <c r="A1190" s="8" t="s">
        <v>3143</v>
      </c>
      <c r="B1190" s="12">
        <v>46668.0</v>
      </c>
      <c r="C1190" s="8" t="s">
        <v>693</v>
      </c>
      <c r="D1190" s="8" t="s">
        <v>1687</v>
      </c>
      <c r="E1190" s="8" t="s">
        <v>1924</v>
      </c>
      <c r="F1190" s="8">
        <v>2.0</v>
      </c>
      <c r="G1190" s="8">
        <v>166.26</v>
      </c>
      <c r="H1190" s="8">
        <v>0.14</v>
      </c>
      <c r="I1190" s="8">
        <f t="shared" si="1"/>
        <v>332.52</v>
      </c>
      <c r="J1190" s="8">
        <f t="shared" si="2"/>
        <v>-46.4128</v>
      </c>
      <c r="K1190" s="8" t="str">
        <f t="shared" si="3"/>
        <v>Oct</v>
      </c>
      <c r="L1190" s="8">
        <f t="shared" si="4"/>
        <v>2027</v>
      </c>
      <c r="N1190" s="8" t="str">
        <f t="array" ref="N1190">XLOOKUP(C1190,Customer_Dim!A:A,Customer_Dim!B:B,"Not Found")</f>
        <v>Joan Johnson</v>
      </c>
      <c r="O1190" s="8" t="str">
        <f t="array" ref="O1190">XLOOKUP(C1190,Customer_Dim!A:A,Customer_Dim!E:E,"Not Found")</f>
        <v>Lake Josephport</v>
      </c>
      <c r="P1190" s="8" t="str">
        <f t="array" ref="P1190">XLOOKUP(D1190,Product_Dim!A:A,Product_Dim!B:B,"Not Found")</f>
        <v>Gaming Mechanical Keyboard</v>
      </c>
      <c r="Q1190" s="8" t="str">
        <f t="array" ref="Q1190">XLOOKUP(D1190,Product_Dim!A:A,Product_Dim!C:C,"Not Found")</f>
        <v>Electronics</v>
      </c>
      <c r="R1190" s="8" t="str">
        <f t="array" ref="R1190">XLOOKUP(E1190,Store_Dim!A:A,Store_Dim!B:B,"Not Found")</f>
        <v>South</v>
      </c>
      <c r="S1190" s="8" t="str">
        <f t="array" ref="S1190">XLOOKUP(E1190,Store_Dim!A:A,Store_Dim!D:D,"Not Found")</f>
        <v>Flagship</v>
      </c>
    </row>
    <row r="1191" ht="14.25" customHeight="1">
      <c r="A1191" s="8" t="s">
        <v>3144</v>
      </c>
      <c r="B1191" s="12">
        <v>46669.0</v>
      </c>
      <c r="C1191" s="8" t="s">
        <v>1433</v>
      </c>
      <c r="D1191" s="8" t="s">
        <v>1662</v>
      </c>
      <c r="E1191" s="8" t="s">
        <v>1915</v>
      </c>
      <c r="F1191" s="8">
        <v>1.0</v>
      </c>
      <c r="G1191" s="8">
        <v>429.25</v>
      </c>
      <c r="H1191" s="8">
        <v>0.29</v>
      </c>
      <c r="I1191" s="8">
        <f t="shared" si="1"/>
        <v>429.25</v>
      </c>
      <c r="J1191" s="8">
        <f t="shared" si="2"/>
        <v>-124.1925</v>
      </c>
      <c r="K1191" s="8" t="str">
        <f t="shared" si="3"/>
        <v>Oct</v>
      </c>
      <c r="L1191" s="8">
        <f t="shared" si="4"/>
        <v>2027</v>
      </c>
      <c r="N1191" s="8" t="str">
        <f t="array" ref="N1191">XLOOKUP(C1191,Customer_Dim!A:A,Customer_Dim!B:B,"Not Found")</f>
        <v>John Perez</v>
      </c>
      <c r="O1191" s="8" t="str">
        <f t="array" ref="O1191">XLOOKUP(C1191,Customer_Dim!A:A,Customer_Dim!E:E,"Not Found")</f>
        <v>Brandontown</v>
      </c>
      <c r="P1191" s="8" t="str">
        <f t="array" ref="P1191">XLOOKUP(D1191,Product_Dim!A:A,Product_Dim!B:B,"Not Found")</f>
        <v>Wireless Bluetooth Speaker</v>
      </c>
      <c r="Q1191" s="8" t="str">
        <f t="array" ref="Q1191">XLOOKUP(D1191,Product_Dim!A:A,Product_Dim!C:C,"Not Found")</f>
        <v>Electronics</v>
      </c>
      <c r="R1191" s="8" t="str">
        <f t="array" ref="R1191">XLOOKUP(E1191,Store_Dim!A:A,Store_Dim!B:B,"Not Found")</f>
        <v>North</v>
      </c>
      <c r="S1191" s="8" t="str">
        <f t="array" ref="S1191">XLOOKUP(E1191,Store_Dim!A:A,Store_Dim!D:D,"Not Found")</f>
        <v>Outlet</v>
      </c>
    </row>
    <row r="1192" ht="14.25" customHeight="1">
      <c r="A1192" s="8" t="s">
        <v>3145</v>
      </c>
      <c r="B1192" s="12">
        <v>46670.0</v>
      </c>
      <c r="C1192" s="8" t="s">
        <v>1387</v>
      </c>
      <c r="D1192" s="8" t="s">
        <v>1562</v>
      </c>
      <c r="E1192" s="8" t="s">
        <v>1924</v>
      </c>
      <c r="F1192" s="8">
        <v>2.0</v>
      </c>
      <c r="G1192" s="8">
        <v>540.48</v>
      </c>
      <c r="H1192" s="8">
        <v>0.29</v>
      </c>
      <c r="I1192" s="8">
        <f t="shared" si="1"/>
        <v>1080.96</v>
      </c>
      <c r="J1192" s="8">
        <f t="shared" si="2"/>
        <v>-313.1884</v>
      </c>
      <c r="K1192" s="8" t="str">
        <f t="shared" si="3"/>
        <v>Oct</v>
      </c>
      <c r="L1192" s="8">
        <f t="shared" si="4"/>
        <v>2027</v>
      </c>
      <c r="N1192" s="8" t="str">
        <f t="array" ref="N1192">XLOOKUP(C1192,Customer_Dim!A:A,Customer_Dim!B:B,"Not Found")</f>
        <v>Adam Castro</v>
      </c>
      <c r="O1192" s="8" t="str">
        <f t="array" ref="O1192">XLOOKUP(C1192,Customer_Dim!A:A,Customer_Dim!E:E,"Not Found")</f>
        <v>New Donnabury</v>
      </c>
      <c r="P1192" s="8" t="str">
        <f t="array" ref="P1192">XLOOKUP(D1192,Product_Dim!A:A,Product_Dim!B:B,"Not Found")</f>
        <v>Brother Laser Printer</v>
      </c>
      <c r="Q1192" s="8" t="str">
        <f t="array" ref="Q1192">XLOOKUP(D1192,Product_Dim!A:A,Product_Dim!C:C,"Not Found")</f>
        <v>Electronics</v>
      </c>
      <c r="R1192" s="8" t="str">
        <f t="array" ref="R1192">XLOOKUP(E1192,Store_Dim!A:A,Store_Dim!B:B,"Not Found")</f>
        <v>South</v>
      </c>
      <c r="S1192" s="8" t="str">
        <f t="array" ref="S1192">XLOOKUP(E1192,Store_Dim!A:A,Store_Dim!D:D,"Not Found")</f>
        <v>Flagship</v>
      </c>
    </row>
    <row r="1193" ht="14.25" customHeight="1">
      <c r="A1193" s="8" t="s">
        <v>3146</v>
      </c>
      <c r="B1193" s="12">
        <v>46671.0</v>
      </c>
      <c r="C1193" s="8" t="s">
        <v>872</v>
      </c>
      <c r="D1193" s="8" t="s">
        <v>1766</v>
      </c>
      <c r="E1193" s="8" t="s">
        <v>1932</v>
      </c>
      <c r="F1193" s="8">
        <v>2.0</v>
      </c>
      <c r="G1193" s="8">
        <v>579.52</v>
      </c>
      <c r="H1193" s="8">
        <v>0.01</v>
      </c>
      <c r="I1193" s="8">
        <f t="shared" si="1"/>
        <v>1159.04</v>
      </c>
      <c r="J1193" s="8">
        <f t="shared" si="2"/>
        <v>-11.5804</v>
      </c>
      <c r="K1193" s="8" t="str">
        <f t="shared" si="3"/>
        <v>Oct</v>
      </c>
      <c r="L1193" s="8">
        <f t="shared" si="4"/>
        <v>2027</v>
      </c>
      <c r="N1193" s="8" t="str">
        <f t="array" ref="N1193">XLOOKUP(C1193,Customer_Dim!A:A,Customer_Dim!B:B,"Not Found")</f>
        <v>Tyrone Olson</v>
      </c>
      <c r="O1193" s="8" t="str">
        <f t="array" ref="O1193">XLOOKUP(C1193,Customer_Dim!A:A,Customer_Dim!E:E,"Not Found")</f>
        <v>Emilytown</v>
      </c>
      <c r="P1193" s="8" t="str">
        <f t="array" ref="P1193">XLOOKUP(D1193,Product_Dim!A:A,Product_Dim!B:B,"Not Found")</f>
        <v>Men's Hair Styling Gel</v>
      </c>
      <c r="Q1193" s="8" t="str">
        <f t="array" ref="Q1193">XLOOKUP(D1193,Product_Dim!A:A,Product_Dim!C:C,"Not Found")</f>
        <v>Beauty</v>
      </c>
      <c r="R1193" s="8" t="str">
        <f t="array" ref="R1193">XLOOKUP(E1193,Store_Dim!A:A,Store_Dim!B:B,"Not Found")</f>
        <v>South</v>
      </c>
      <c r="S1193" s="8" t="str">
        <f t="array" ref="S1193">XLOOKUP(E1193,Store_Dim!A:A,Store_Dim!D:D,"Not Found")</f>
        <v>Outlet</v>
      </c>
    </row>
    <row r="1194" ht="14.25" customHeight="1">
      <c r="A1194" s="8" t="s">
        <v>3147</v>
      </c>
      <c r="B1194" s="12">
        <v>46672.0</v>
      </c>
      <c r="C1194" s="8" t="s">
        <v>120</v>
      </c>
      <c r="D1194" s="8" t="s">
        <v>1797</v>
      </c>
      <c r="E1194" s="8" t="s">
        <v>1937</v>
      </c>
      <c r="F1194" s="8">
        <v>4.0</v>
      </c>
      <c r="G1194" s="8">
        <v>477.52</v>
      </c>
      <c r="H1194" s="8">
        <v>0.07</v>
      </c>
      <c r="I1194" s="8">
        <f t="shared" si="1"/>
        <v>1910.08</v>
      </c>
      <c r="J1194" s="8">
        <f t="shared" si="2"/>
        <v>-133.6356</v>
      </c>
      <c r="K1194" s="8" t="str">
        <f t="shared" si="3"/>
        <v>Oct</v>
      </c>
      <c r="L1194" s="8">
        <f t="shared" si="4"/>
        <v>2027</v>
      </c>
      <c r="N1194" s="8" t="str">
        <f t="array" ref="N1194">XLOOKUP(C1194,Customer_Dim!A:A,Customer_Dim!B:B,"Not Found")</f>
        <v>Amber Carlson</v>
      </c>
      <c r="O1194" s="8" t="str">
        <f t="array" ref="O1194">XLOOKUP(C1194,Customer_Dim!A:A,Customer_Dim!E:E,"Not Found")</f>
        <v>East Michellemouth</v>
      </c>
      <c r="P1194" s="8" t="str">
        <f t="array" ref="P1194">XLOOKUP(D1194,Product_Dim!A:A,Product_Dim!B:B,"Not Found")</f>
        <v>Men's Sports Shorts</v>
      </c>
      <c r="Q1194" s="8" t="str">
        <f t="array" ref="Q1194">XLOOKUP(D1194,Product_Dim!A:A,Product_Dim!C:C,"Not Found")</f>
        <v>Clothing</v>
      </c>
      <c r="R1194" s="8" t="str">
        <f t="array" ref="R1194">XLOOKUP(E1194,Store_Dim!A:A,Store_Dim!B:B,"Not Found")</f>
        <v>North</v>
      </c>
      <c r="S1194" s="8" t="str">
        <f t="array" ref="S1194">XLOOKUP(E1194,Store_Dim!A:A,Store_Dim!D:D,"Not Found")</f>
        <v>Flagship</v>
      </c>
    </row>
    <row r="1195" ht="14.25" customHeight="1">
      <c r="A1195" s="8" t="s">
        <v>3148</v>
      </c>
      <c r="B1195" s="12">
        <v>46673.0</v>
      </c>
      <c r="C1195" s="8" t="s">
        <v>842</v>
      </c>
      <c r="D1195" s="8" t="s">
        <v>1863</v>
      </c>
      <c r="E1195" s="8" t="s">
        <v>1917</v>
      </c>
      <c r="F1195" s="8">
        <v>3.0</v>
      </c>
      <c r="G1195" s="8">
        <v>242.58</v>
      </c>
      <c r="H1195" s="8">
        <v>0.25</v>
      </c>
      <c r="I1195" s="8">
        <f t="shared" si="1"/>
        <v>727.74</v>
      </c>
      <c r="J1195" s="8">
        <f t="shared" si="2"/>
        <v>-181.685</v>
      </c>
      <c r="K1195" s="8" t="str">
        <f t="shared" si="3"/>
        <v>Oct</v>
      </c>
      <c r="L1195" s="8">
        <f t="shared" si="4"/>
        <v>2027</v>
      </c>
      <c r="N1195" s="8" t="str">
        <f t="array" ref="N1195">XLOOKUP(C1195,Customer_Dim!A:A,Customer_Dim!B:B,"Not Found")</f>
        <v>Beth Allen</v>
      </c>
      <c r="O1195" s="8" t="str">
        <f t="array" ref="O1195">XLOOKUP(C1195,Customer_Dim!A:A,Customer_Dim!E:E,"Not Found")</f>
        <v>South Kathrynmouth</v>
      </c>
      <c r="P1195" s="8" t="str">
        <f t="array" ref="P1195">XLOOKUP(D1195,Product_Dim!A:A,Product_Dim!B:B,"Not Found")</f>
        <v>Women's High Heels</v>
      </c>
      <c r="Q1195" s="8" t="str">
        <f t="array" ref="Q1195">XLOOKUP(D1195,Product_Dim!A:A,Product_Dim!C:C,"Not Found")</f>
        <v>Clothing</v>
      </c>
      <c r="R1195" s="8" t="str">
        <f t="array" ref="R1195">XLOOKUP(E1195,Store_Dim!A:A,Store_Dim!B:B,"Not Found")</f>
        <v>East</v>
      </c>
      <c r="S1195" s="8" t="str">
        <f t="array" ref="S1195">XLOOKUP(E1195,Store_Dim!A:A,Store_Dim!D:D,"Not Found")</f>
        <v>Online</v>
      </c>
    </row>
    <row r="1196" ht="14.25" customHeight="1">
      <c r="A1196" s="8" t="s">
        <v>3149</v>
      </c>
      <c r="B1196" s="12">
        <v>46674.0</v>
      </c>
      <c r="C1196" s="8" t="s">
        <v>1164</v>
      </c>
      <c r="D1196" s="8" t="s">
        <v>1662</v>
      </c>
      <c r="E1196" s="8" t="s">
        <v>1937</v>
      </c>
      <c r="F1196" s="8">
        <v>2.0</v>
      </c>
      <c r="G1196" s="8">
        <v>519.3</v>
      </c>
      <c r="H1196" s="8">
        <v>0.09</v>
      </c>
      <c r="I1196" s="8">
        <f t="shared" si="1"/>
        <v>1038.6</v>
      </c>
      <c r="J1196" s="8">
        <f t="shared" si="2"/>
        <v>-93.384</v>
      </c>
      <c r="K1196" s="8" t="str">
        <f t="shared" si="3"/>
        <v>Oct</v>
      </c>
      <c r="L1196" s="8">
        <f t="shared" si="4"/>
        <v>2027</v>
      </c>
      <c r="N1196" s="8" t="str">
        <f t="array" ref="N1196">XLOOKUP(C1196,Customer_Dim!A:A,Customer_Dim!B:B,"Not Found")</f>
        <v>Melinda Johnson</v>
      </c>
      <c r="O1196" s="8" t="str">
        <f t="array" ref="O1196">XLOOKUP(C1196,Customer_Dim!A:A,Customer_Dim!E:E,"Not Found")</f>
        <v>Kaufmanfurt</v>
      </c>
      <c r="P1196" s="8" t="str">
        <f t="array" ref="P1196">XLOOKUP(D1196,Product_Dim!A:A,Product_Dim!B:B,"Not Found")</f>
        <v>Wireless Bluetooth Speaker</v>
      </c>
      <c r="Q1196" s="8" t="str">
        <f t="array" ref="Q1196">XLOOKUP(D1196,Product_Dim!A:A,Product_Dim!C:C,"Not Found")</f>
        <v>Electronics</v>
      </c>
      <c r="R1196" s="8" t="str">
        <f t="array" ref="R1196">XLOOKUP(E1196,Store_Dim!A:A,Store_Dim!B:B,"Not Found")</f>
        <v>North</v>
      </c>
      <c r="S1196" s="8" t="str">
        <f t="array" ref="S1196">XLOOKUP(E1196,Store_Dim!A:A,Store_Dim!D:D,"Not Found")</f>
        <v>Flagship</v>
      </c>
    </row>
    <row r="1197" ht="14.25" customHeight="1">
      <c r="A1197" s="8" t="s">
        <v>3150</v>
      </c>
      <c r="B1197" s="12">
        <v>46675.0</v>
      </c>
      <c r="C1197" s="8" t="s">
        <v>1526</v>
      </c>
      <c r="D1197" s="8" t="s">
        <v>1872</v>
      </c>
      <c r="E1197" s="8" t="s">
        <v>1928</v>
      </c>
      <c r="F1197" s="8">
        <v>3.0</v>
      </c>
      <c r="G1197" s="8">
        <v>845.67</v>
      </c>
      <c r="H1197" s="8">
        <v>0.12</v>
      </c>
      <c r="I1197" s="8">
        <f t="shared" si="1"/>
        <v>2537.01</v>
      </c>
      <c r="J1197" s="8">
        <f t="shared" si="2"/>
        <v>-304.3212</v>
      </c>
      <c r="K1197" s="8" t="str">
        <f t="shared" si="3"/>
        <v>Oct</v>
      </c>
      <c r="L1197" s="8">
        <f t="shared" si="4"/>
        <v>2027</v>
      </c>
      <c r="N1197" s="8" t="str">
        <f t="array" ref="N1197">XLOOKUP(C1197,Customer_Dim!A:A,Customer_Dim!B:B,"Not Found")</f>
        <v>Kaitlin Brown</v>
      </c>
      <c r="O1197" s="8" t="str">
        <f t="array" ref="O1197">XLOOKUP(C1197,Customer_Dim!A:A,Customer_Dim!E:E,"Not Found")</f>
        <v>Kellyberg</v>
      </c>
      <c r="P1197" s="8" t="str">
        <f t="array" ref="P1197">XLOOKUP(D1197,Product_Dim!A:A,Product_Dim!B:B,"Not Found")</f>
        <v>Vitamin E Body Lotion</v>
      </c>
      <c r="Q1197" s="8" t="str">
        <f t="array" ref="Q1197">XLOOKUP(D1197,Product_Dim!A:A,Product_Dim!C:C,"Not Found")</f>
        <v>Beauty</v>
      </c>
      <c r="R1197" s="8" t="str">
        <f t="array" ref="R1197">XLOOKUP(E1197,Store_Dim!A:A,Store_Dim!B:B,"Not Found")</f>
        <v>South</v>
      </c>
      <c r="S1197" s="8" t="str">
        <f t="array" ref="S1197">XLOOKUP(E1197,Store_Dim!A:A,Store_Dim!D:D,"Not Found")</f>
        <v>Online</v>
      </c>
    </row>
    <row r="1198" ht="14.25" customHeight="1">
      <c r="A1198" s="8" t="s">
        <v>3151</v>
      </c>
      <c r="B1198" s="12">
        <v>46676.0</v>
      </c>
      <c r="C1198" s="8" t="s">
        <v>978</v>
      </c>
      <c r="D1198" s="8" t="s">
        <v>1754</v>
      </c>
      <c r="E1198" s="8" t="s">
        <v>1935</v>
      </c>
      <c r="F1198" s="8">
        <v>4.0</v>
      </c>
      <c r="G1198" s="8">
        <v>750.26</v>
      </c>
      <c r="H1198" s="8">
        <v>0.01</v>
      </c>
      <c r="I1198" s="8">
        <f t="shared" si="1"/>
        <v>3001.04</v>
      </c>
      <c r="J1198" s="8">
        <f t="shared" si="2"/>
        <v>-30.0004</v>
      </c>
      <c r="K1198" s="8" t="str">
        <f t="shared" si="3"/>
        <v>Oct</v>
      </c>
      <c r="L1198" s="8">
        <f t="shared" si="4"/>
        <v>2027</v>
      </c>
      <c r="N1198" s="8" t="str">
        <f t="array" ref="N1198">XLOOKUP(C1198,Customer_Dim!A:A,Customer_Dim!B:B,"Not Found")</f>
        <v>Roberta Green</v>
      </c>
      <c r="O1198" s="8" t="str">
        <f t="array" ref="O1198">XLOOKUP(C1198,Customer_Dim!A:A,Customer_Dim!E:E,"Not Found")</f>
        <v>West Joseph</v>
      </c>
      <c r="P1198" s="8" t="str">
        <f t="array" ref="P1198">XLOOKUP(D1198,Product_Dim!A:A,Product_Dim!B:B,"Not Found")</f>
        <v>Ceramic Plant Pot</v>
      </c>
      <c r="Q1198" s="8" t="str">
        <f t="array" ref="Q1198">XLOOKUP(D1198,Product_Dim!A:A,Product_Dim!C:C,"Not Found")</f>
        <v>Home</v>
      </c>
      <c r="R1198" s="8" t="str">
        <f t="array" ref="R1198">XLOOKUP(E1198,Store_Dim!A:A,Store_Dim!B:B,"Not Found")</f>
        <v>West</v>
      </c>
      <c r="S1198" s="8" t="str">
        <f t="array" ref="S1198">XLOOKUP(E1198,Store_Dim!A:A,Store_Dim!D:D,"Not Found")</f>
        <v>Flagship</v>
      </c>
    </row>
    <row r="1199" ht="14.25" customHeight="1">
      <c r="A1199" s="8" t="s">
        <v>3152</v>
      </c>
      <c r="B1199" s="12">
        <v>46677.0</v>
      </c>
      <c r="C1199" s="8" t="s">
        <v>1059</v>
      </c>
      <c r="D1199" s="8" t="s">
        <v>1866</v>
      </c>
      <c r="E1199" s="8" t="s">
        <v>1929</v>
      </c>
      <c r="F1199" s="8">
        <v>4.0</v>
      </c>
      <c r="G1199" s="8">
        <v>294.38</v>
      </c>
      <c r="H1199" s="8">
        <v>0.2</v>
      </c>
      <c r="I1199" s="8">
        <f t="shared" si="1"/>
        <v>1177.52</v>
      </c>
      <c r="J1199" s="8">
        <f t="shared" si="2"/>
        <v>-235.304</v>
      </c>
      <c r="K1199" s="8" t="str">
        <f t="shared" si="3"/>
        <v>Oct</v>
      </c>
      <c r="L1199" s="8">
        <f t="shared" si="4"/>
        <v>2027</v>
      </c>
      <c r="N1199" s="8" t="str">
        <f t="array" ref="N1199">XLOOKUP(C1199,Customer_Dim!A:A,Customer_Dim!B:B,"Not Found")</f>
        <v>Dr. Lindsay Hanna</v>
      </c>
      <c r="O1199" s="8" t="str">
        <f t="array" ref="O1199">XLOOKUP(C1199,Customer_Dim!A:A,Customer_Dim!E:E,"Not Found")</f>
        <v>New Paulstad</v>
      </c>
      <c r="P1199" s="8" t="str">
        <f t="array" ref="P1199">XLOOKUP(D1199,Product_Dim!A:A,Product_Dim!B:B,"Not Found")</f>
        <v>Microwave Oven</v>
      </c>
      <c r="Q1199" s="8" t="str">
        <f t="array" ref="Q1199">XLOOKUP(D1199,Product_Dim!A:A,Product_Dim!C:C,"Not Found")</f>
        <v>Home</v>
      </c>
      <c r="R1199" s="8" t="str">
        <f t="array" ref="R1199">XLOOKUP(E1199,Store_Dim!A:A,Store_Dim!B:B,"Not Found")</f>
        <v>North</v>
      </c>
      <c r="S1199" s="8" t="str">
        <f t="array" ref="S1199">XLOOKUP(E1199,Store_Dim!A:A,Store_Dim!D:D,"Not Found")</f>
        <v>Online</v>
      </c>
    </row>
    <row r="1200" ht="14.25" customHeight="1">
      <c r="A1200" s="8" t="s">
        <v>3153</v>
      </c>
      <c r="B1200" s="12">
        <v>46678.0</v>
      </c>
      <c r="C1200" s="8" t="s">
        <v>357</v>
      </c>
      <c r="D1200" s="8" t="s">
        <v>1878</v>
      </c>
      <c r="E1200" s="8" t="s">
        <v>1906</v>
      </c>
      <c r="F1200" s="8">
        <v>3.0</v>
      </c>
      <c r="G1200" s="8">
        <v>583.52</v>
      </c>
      <c r="H1200" s="8">
        <v>0.07</v>
      </c>
      <c r="I1200" s="8">
        <f t="shared" si="1"/>
        <v>1750.56</v>
      </c>
      <c r="J1200" s="8">
        <f t="shared" si="2"/>
        <v>-122.4692</v>
      </c>
      <c r="K1200" s="8" t="str">
        <f t="shared" si="3"/>
        <v>Oct</v>
      </c>
      <c r="L1200" s="8">
        <f t="shared" si="4"/>
        <v>2027</v>
      </c>
      <c r="N1200" s="8" t="str">
        <f t="array" ref="N1200">XLOOKUP(C1200,Customer_Dim!A:A,Customer_Dim!B:B,"Not Found")</f>
        <v>David Cobb</v>
      </c>
      <c r="O1200" s="8" t="str">
        <f t="array" ref="O1200">XLOOKUP(C1200,Customer_Dim!A:A,Customer_Dim!E:E,"Not Found")</f>
        <v>Lake Thomas</v>
      </c>
      <c r="P1200" s="8" t="str">
        <f t="array" ref="P1200">XLOOKUP(D1200,Product_Dim!A:A,Product_Dim!B:B,"Not Found")</f>
        <v>Women's Formal Blazer</v>
      </c>
      <c r="Q1200" s="8" t="str">
        <f t="array" ref="Q1200">XLOOKUP(D1200,Product_Dim!A:A,Product_Dim!C:C,"Not Found")</f>
        <v>Clothing</v>
      </c>
      <c r="R1200" s="8" t="str">
        <f t="array" ref="R1200">XLOOKUP(E1200,Store_Dim!A:A,Store_Dim!B:B,"Not Found")</f>
        <v>South</v>
      </c>
      <c r="S1200" s="8" t="str">
        <f t="array" ref="S1200">XLOOKUP(E1200,Store_Dim!A:A,Store_Dim!D:D,"Not Found")</f>
        <v>Outlet</v>
      </c>
    </row>
    <row r="1201" ht="14.25" customHeight="1">
      <c r="A1201" s="8" t="s">
        <v>3154</v>
      </c>
      <c r="B1201" s="12">
        <v>46679.0</v>
      </c>
      <c r="C1201" s="8" t="s">
        <v>1465</v>
      </c>
      <c r="D1201" s="8" t="s">
        <v>1857</v>
      </c>
      <c r="E1201" s="8" t="s">
        <v>1935</v>
      </c>
      <c r="F1201" s="8">
        <v>2.0</v>
      </c>
      <c r="G1201" s="8">
        <v>635.22</v>
      </c>
      <c r="H1201" s="8">
        <v>0.3</v>
      </c>
      <c r="I1201" s="8">
        <f t="shared" si="1"/>
        <v>1270.44</v>
      </c>
      <c r="J1201" s="8">
        <f t="shared" si="2"/>
        <v>-380.832</v>
      </c>
      <c r="K1201" s="8" t="str">
        <f t="shared" si="3"/>
        <v>Oct</v>
      </c>
      <c r="L1201" s="8">
        <f t="shared" si="4"/>
        <v>2027</v>
      </c>
      <c r="N1201" s="8" t="str">
        <f t="array" ref="N1201">XLOOKUP(C1201,Customer_Dim!A:A,Customer_Dim!B:B,"Not Found")</f>
        <v>Manuel Fisher</v>
      </c>
      <c r="O1201" s="8" t="str">
        <f t="array" ref="O1201">XLOOKUP(C1201,Customer_Dim!A:A,Customer_Dim!E:E,"Not Found")</f>
        <v>Kanebury</v>
      </c>
      <c r="P1201" s="8" t="str">
        <f t="array" ref="P1201">XLOOKUP(D1201,Product_Dim!A:A,Product_Dim!B:B,"Not Found")</f>
        <v>Face Foundation Kit</v>
      </c>
      <c r="Q1201" s="8" t="str">
        <f t="array" ref="Q1201">XLOOKUP(D1201,Product_Dim!A:A,Product_Dim!C:C,"Not Found")</f>
        <v>Beauty</v>
      </c>
      <c r="R1201" s="8" t="str">
        <f t="array" ref="R1201">XLOOKUP(E1201,Store_Dim!A:A,Store_Dim!B:B,"Not Found")</f>
        <v>West</v>
      </c>
      <c r="S1201" s="8" t="str">
        <f t="array" ref="S1201">XLOOKUP(E1201,Store_Dim!A:A,Store_Dim!D:D,"Not Found")</f>
        <v>Flagship</v>
      </c>
    </row>
    <row r="1202" ht="14.25" customHeight="1">
      <c r="A1202" s="8" t="s">
        <v>3155</v>
      </c>
      <c r="B1202" s="12">
        <v>46680.0</v>
      </c>
      <c r="C1202" s="8" t="s">
        <v>1344</v>
      </c>
      <c r="D1202" s="8" t="s">
        <v>1787</v>
      </c>
      <c r="E1202" s="8" t="s">
        <v>1906</v>
      </c>
      <c r="F1202" s="8">
        <v>1.0</v>
      </c>
      <c r="G1202" s="8">
        <v>743.55</v>
      </c>
      <c r="H1202" s="8">
        <v>0.11</v>
      </c>
      <c r="I1202" s="8">
        <f t="shared" si="1"/>
        <v>743.55</v>
      </c>
      <c r="J1202" s="8">
        <f t="shared" si="2"/>
        <v>-81.6805</v>
      </c>
      <c r="K1202" s="8" t="str">
        <f t="shared" si="3"/>
        <v>Oct</v>
      </c>
      <c r="L1202" s="8">
        <f t="shared" si="4"/>
        <v>2027</v>
      </c>
      <c r="N1202" s="8" t="str">
        <f t="array" ref="N1202">XLOOKUP(C1202,Customer_Dim!A:A,Customer_Dim!B:B,"Not Found")</f>
        <v>Samuel Mullins</v>
      </c>
      <c r="O1202" s="8" t="str">
        <f t="array" ref="O1202">XLOOKUP(C1202,Customer_Dim!A:A,Customer_Dim!E:E,"Not Found")</f>
        <v>Hartmouth</v>
      </c>
      <c r="P1202" s="8" t="str">
        <f t="array" ref="P1202">XLOOKUP(D1202,Product_Dim!A:A,Product_Dim!B:B,"Not Found")</f>
        <v>Women's Hair Dryer Brush</v>
      </c>
      <c r="Q1202" s="8" t="str">
        <f t="array" ref="Q1202">XLOOKUP(D1202,Product_Dim!A:A,Product_Dim!C:C,"Not Found")</f>
        <v>Beauty</v>
      </c>
      <c r="R1202" s="8" t="str">
        <f t="array" ref="R1202">XLOOKUP(E1202,Store_Dim!A:A,Store_Dim!B:B,"Not Found")</f>
        <v>South</v>
      </c>
      <c r="S1202" s="8" t="str">
        <f t="array" ref="S1202">XLOOKUP(E1202,Store_Dim!A:A,Store_Dim!D:D,"Not Found")</f>
        <v>Outlet</v>
      </c>
    </row>
    <row r="1203" ht="14.25" customHeight="1">
      <c r="A1203" s="8" t="s">
        <v>3156</v>
      </c>
      <c r="B1203" s="12">
        <v>46681.0</v>
      </c>
      <c r="C1203" s="8" t="s">
        <v>370</v>
      </c>
      <c r="D1203" s="8" t="s">
        <v>1719</v>
      </c>
      <c r="E1203" s="8" t="s">
        <v>1910</v>
      </c>
      <c r="F1203" s="8">
        <v>4.0</v>
      </c>
      <c r="G1203" s="8">
        <v>530.45</v>
      </c>
      <c r="H1203" s="8">
        <v>0.13</v>
      </c>
      <c r="I1203" s="8">
        <f t="shared" si="1"/>
        <v>2121.8</v>
      </c>
      <c r="J1203" s="8">
        <f t="shared" si="2"/>
        <v>-275.704</v>
      </c>
      <c r="K1203" s="8" t="str">
        <f t="shared" si="3"/>
        <v>Oct</v>
      </c>
      <c r="L1203" s="8">
        <f t="shared" si="4"/>
        <v>2027</v>
      </c>
      <c r="N1203" s="8" t="str">
        <f t="array" ref="N1203">XLOOKUP(C1203,Customer_Dim!A:A,Customer_Dim!B:B,"Not Found")</f>
        <v>Colleen Maynard</v>
      </c>
      <c r="O1203" s="8" t="str">
        <f t="array" ref="O1203">XLOOKUP(C1203,Customer_Dim!A:A,Customer_Dim!E:E,"Not Found")</f>
        <v>Singletonmouth</v>
      </c>
      <c r="P1203" s="8" t="str">
        <f t="array" ref="P1203">XLOOKUP(D1203,Product_Dim!A:A,Product_Dim!B:B,"Not Found")</f>
        <v>Adjustable Jump Rope</v>
      </c>
      <c r="Q1203" s="8" t="str">
        <f t="array" ref="Q1203">XLOOKUP(D1203,Product_Dim!A:A,Product_Dim!C:C,"Not Found")</f>
        <v>Sports</v>
      </c>
      <c r="R1203" s="8" t="str">
        <f t="array" ref="R1203">XLOOKUP(E1203,Store_Dim!A:A,Store_Dim!B:B,"Not Found")</f>
        <v>North</v>
      </c>
      <c r="S1203" s="8" t="str">
        <f t="array" ref="S1203">XLOOKUP(E1203,Store_Dim!A:A,Store_Dim!D:D,"Not Found")</f>
        <v>Outlet</v>
      </c>
    </row>
    <row r="1204" ht="14.25" customHeight="1">
      <c r="A1204" s="8" t="s">
        <v>3157</v>
      </c>
      <c r="B1204" s="12">
        <v>46682.0</v>
      </c>
      <c r="C1204" s="8" t="s">
        <v>857</v>
      </c>
      <c r="D1204" s="8" t="s">
        <v>1787</v>
      </c>
      <c r="E1204" s="8" t="s">
        <v>1924</v>
      </c>
      <c r="F1204" s="8">
        <v>2.0</v>
      </c>
      <c r="G1204" s="8">
        <v>972.4</v>
      </c>
      <c r="H1204" s="8">
        <v>0.06</v>
      </c>
      <c r="I1204" s="8">
        <f t="shared" si="1"/>
        <v>1944.8</v>
      </c>
      <c r="J1204" s="8">
        <f t="shared" si="2"/>
        <v>-116.628</v>
      </c>
      <c r="K1204" s="8" t="str">
        <f t="shared" si="3"/>
        <v>Oct</v>
      </c>
      <c r="L1204" s="8">
        <f t="shared" si="4"/>
        <v>2027</v>
      </c>
      <c r="N1204" s="8" t="str">
        <f t="array" ref="N1204">XLOOKUP(C1204,Customer_Dim!A:A,Customer_Dim!B:B,"Not Found")</f>
        <v>Matthew Payne</v>
      </c>
      <c r="O1204" s="8" t="str">
        <f t="array" ref="O1204">XLOOKUP(C1204,Customer_Dim!A:A,Customer_Dim!E:E,"Not Found")</f>
        <v>Grahamfurt</v>
      </c>
      <c r="P1204" s="8" t="str">
        <f t="array" ref="P1204">XLOOKUP(D1204,Product_Dim!A:A,Product_Dim!B:B,"Not Found")</f>
        <v>Women's Hair Dryer Brush</v>
      </c>
      <c r="Q1204" s="8" t="str">
        <f t="array" ref="Q1204">XLOOKUP(D1204,Product_Dim!A:A,Product_Dim!C:C,"Not Found")</f>
        <v>Beauty</v>
      </c>
      <c r="R1204" s="8" t="str">
        <f t="array" ref="R1204">XLOOKUP(E1204,Store_Dim!A:A,Store_Dim!B:B,"Not Found")</f>
        <v>South</v>
      </c>
      <c r="S1204" s="8" t="str">
        <f t="array" ref="S1204">XLOOKUP(E1204,Store_Dim!A:A,Store_Dim!D:D,"Not Found")</f>
        <v>Flagship</v>
      </c>
    </row>
    <row r="1205" ht="14.25" customHeight="1">
      <c r="A1205" s="8" t="s">
        <v>3158</v>
      </c>
      <c r="B1205" s="12">
        <v>46683.0</v>
      </c>
      <c r="C1205" s="8" t="s">
        <v>1197</v>
      </c>
      <c r="D1205" s="8" t="s">
        <v>1624</v>
      </c>
      <c r="E1205" s="8" t="s">
        <v>1939</v>
      </c>
      <c r="F1205" s="8">
        <v>3.0</v>
      </c>
      <c r="G1205" s="8">
        <v>197.93</v>
      </c>
      <c r="H1205" s="8">
        <v>0.0</v>
      </c>
      <c r="I1205" s="8">
        <f t="shared" si="1"/>
        <v>593.79</v>
      </c>
      <c r="J1205" s="8">
        <f t="shared" si="2"/>
        <v>0</v>
      </c>
      <c r="K1205" s="8" t="str">
        <f t="shared" si="3"/>
        <v>Oct</v>
      </c>
      <c r="L1205" s="8">
        <f t="shared" si="4"/>
        <v>2027</v>
      </c>
      <c r="N1205" s="8" t="str">
        <f t="array" ref="N1205">XLOOKUP(C1205,Customer_Dim!A:A,Customer_Dim!B:B,"Not Found")</f>
        <v>Frank Stewart</v>
      </c>
      <c r="O1205" s="8" t="str">
        <f t="array" ref="O1205">XLOOKUP(C1205,Customer_Dim!A:A,Customer_Dim!E:E,"Not Found")</f>
        <v>Fischerborough</v>
      </c>
      <c r="P1205" s="8" t="str">
        <f t="array" ref="P1205">XLOOKUP(D1205,Product_Dim!A:A,Product_Dim!B:B,"Not Found")</f>
        <v>4K Home Projector</v>
      </c>
      <c r="Q1205" s="8" t="str">
        <f t="array" ref="Q1205">XLOOKUP(D1205,Product_Dim!A:A,Product_Dim!C:C,"Not Found")</f>
        <v>Electronics</v>
      </c>
      <c r="R1205" s="8" t="str">
        <f t="array" ref="R1205">XLOOKUP(E1205,Store_Dim!A:A,Store_Dim!B:B,"Not Found")</f>
        <v>East</v>
      </c>
      <c r="S1205" s="8" t="str">
        <f t="array" ref="S1205">XLOOKUP(E1205,Store_Dim!A:A,Store_Dim!D:D,"Not Found")</f>
        <v>Flagship</v>
      </c>
    </row>
    <row r="1206" ht="14.25" customHeight="1">
      <c r="A1206" s="8" t="s">
        <v>3159</v>
      </c>
      <c r="B1206" s="12">
        <v>46684.0</v>
      </c>
      <c r="C1206" s="8" t="s">
        <v>1089</v>
      </c>
      <c r="D1206" s="8" t="s">
        <v>1851</v>
      </c>
      <c r="E1206" s="8" t="s">
        <v>1928</v>
      </c>
      <c r="F1206" s="8">
        <v>4.0</v>
      </c>
      <c r="G1206" s="8">
        <v>565.51</v>
      </c>
      <c r="H1206" s="8">
        <v>0.16</v>
      </c>
      <c r="I1206" s="8">
        <f t="shared" si="1"/>
        <v>2262.04</v>
      </c>
      <c r="J1206" s="8">
        <f t="shared" si="2"/>
        <v>-361.7664</v>
      </c>
      <c r="K1206" s="8" t="str">
        <f t="shared" si="3"/>
        <v>Oct</v>
      </c>
      <c r="L1206" s="8">
        <f t="shared" si="4"/>
        <v>2027</v>
      </c>
      <c r="N1206" s="8" t="str">
        <f t="array" ref="N1206">XLOOKUP(C1206,Customer_Dim!A:A,Customer_Dim!B:B,"Not Found")</f>
        <v>Michelle Cunningham</v>
      </c>
      <c r="O1206" s="8" t="str">
        <f t="array" ref="O1206">XLOOKUP(C1206,Customer_Dim!A:A,Customer_Dim!E:E,"Not Found")</f>
        <v>Amandaborough</v>
      </c>
      <c r="P1206" s="8" t="str">
        <f t="array" ref="P1206">XLOOKUP(D1206,Product_Dim!A:A,Product_Dim!B:B,"Not Found")</f>
        <v>LED Bedside Lamp</v>
      </c>
      <c r="Q1206" s="8" t="str">
        <f t="array" ref="Q1206">XLOOKUP(D1206,Product_Dim!A:A,Product_Dim!C:C,"Not Found")</f>
        <v>Home</v>
      </c>
      <c r="R1206" s="8" t="str">
        <f t="array" ref="R1206">XLOOKUP(E1206,Store_Dim!A:A,Store_Dim!B:B,"Not Found")</f>
        <v>South</v>
      </c>
      <c r="S1206" s="8" t="str">
        <f t="array" ref="S1206">XLOOKUP(E1206,Store_Dim!A:A,Store_Dim!D:D,"Not Found")</f>
        <v>Online</v>
      </c>
    </row>
    <row r="1207" ht="14.25" customHeight="1">
      <c r="A1207" s="8" t="s">
        <v>3160</v>
      </c>
      <c r="B1207" s="12">
        <v>46685.0</v>
      </c>
      <c r="C1207" s="8" t="s">
        <v>1262</v>
      </c>
      <c r="D1207" s="8" t="s">
        <v>1703</v>
      </c>
      <c r="E1207" s="8" t="s">
        <v>1912</v>
      </c>
      <c r="F1207" s="8">
        <v>4.0</v>
      </c>
      <c r="G1207" s="8">
        <v>983.38</v>
      </c>
      <c r="H1207" s="8">
        <v>0.25</v>
      </c>
      <c r="I1207" s="8">
        <f t="shared" si="1"/>
        <v>3933.52</v>
      </c>
      <c r="J1207" s="8">
        <f t="shared" si="2"/>
        <v>-983.13</v>
      </c>
      <c r="K1207" s="8" t="str">
        <f t="shared" si="3"/>
        <v>Oct</v>
      </c>
      <c r="L1207" s="8">
        <f t="shared" si="4"/>
        <v>2027</v>
      </c>
      <c r="N1207" s="8" t="str">
        <f t="array" ref="N1207">XLOOKUP(C1207,Customer_Dim!A:A,Customer_Dim!B:B,"Not Found")</f>
        <v>Mark Rogers</v>
      </c>
      <c r="O1207" s="8" t="str">
        <f t="array" ref="O1207">XLOOKUP(C1207,Customer_Dim!A:A,Customer_Dim!E:E,"Not Found")</f>
        <v>Bookertown</v>
      </c>
      <c r="P1207" s="8" t="str">
        <f t="array" ref="P1207">XLOOKUP(D1207,Product_Dim!A:A,Product_Dim!B:B,"Not Found")</f>
        <v>Portable Power Bank</v>
      </c>
      <c r="Q1207" s="8" t="str">
        <f t="array" ref="Q1207">XLOOKUP(D1207,Product_Dim!A:A,Product_Dim!C:C,"Not Found")</f>
        <v>Electronics</v>
      </c>
      <c r="R1207" s="8" t="str">
        <f t="array" ref="R1207">XLOOKUP(E1207,Store_Dim!A:A,Store_Dim!B:B,"Not Found")</f>
        <v>South</v>
      </c>
      <c r="S1207" s="8" t="str">
        <f t="array" ref="S1207">XLOOKUP(E1207,Store_Dim!A:A,Store_Dim!D:D,"Not Found")</f>
        <v>Online</v>
      </c>
    </row>
    <row r="1208" ht="14.25" customHeight="1">
      <c r="A1208" s="8" t="s">
        <v>3161</v>
      </c>
      <c r="B1208" s="12">
        <v>46686.0</v>
      </c>
      <c r="C1208" s="8" t="s">
        <v>767</v>
      </c>
      <c r="D1208" s="8" t="s">
        <v>1887</v>
      </c>
      <c r="E1208" s="8" t="s">
        <v>1924</v>
      </c>
      <c r="F1208" s="8">
        <v>1.0</v>
      </c>
      <c r="G1208" s="8">
        <v>955.06</v>
      </c>
      <c r="H1208" s="8">
        <v>0.14</v>
      </c>
      <c r="I1208" s="8">
        <f t="shared" si="1"/>
        <v>955.06</v>
      </c>
      <c r="J1208" s="8">
        <f t="shared" si="2"/>
        <v>-133.5684</v>
      </c>
      <c r="K1208" s="8" t="str">
        <f t="shared" si="3"/>
        <v>Oct</v>
      </c>
      <c r="L1208" s="8">
        <f t="shared" si="4"/>
        <v>2027</v>
      </c>
      <c r="N1208" s="8" t="str">
        <f t="array" ref="N1208">XLOOKUP(C1208,Customer_Dim!A:A,Customer_Dim!B:B,"Not Found")</f>
        <v>Nathaniel Hill</v>
      </c>
      <c r="O1208" s="8" t="str">
        <f t="array" ref="O1208">XLOOKUP(C1208,Customer_Dim!A:A,Customer_Dim!E:E,"Not Found")</f>
        <v>Lake Mark</v>
      </c>
      <c r="P1208" s="8" t="str">
        <f t="array" ref="P1208">XLOOKUP(D1208,Product_Dim!A:A,Product_Dim!B:B,"Not Found")</f>
        <v>Stainless Steel Cookware Set</v>
      </c>
      <c r="Q1208" s="8" t="str">
        <f t="array" ref="Q1208">XLOOKUP(D1208,Product_Dim!A:A,Product_Dim!C:C,"Not Found")</f>
        <v>Home</v>
      </c>
      <c r="R1208" s="8" t="str">
        <f t="array" ref="R1208">XLOOKUP(E1208,Store_Dim!A:A,Store_Dim!B:B,"Not Found")</f>
        <v>South</v>
      </c>
      <c r="S1208" s="8" t="str">
        <f t="array" ref="S1208">XLOOKUP(E1208,Store_Dim!A:A,Store_Dim!D:D,"Not Found")</f>
        <v>Flagship</v>
      </c>
    </row>
    <row r="1209" ht="14.25" customHeight="1">
      <c r="A1209" s="8" t="s">
        <v>3162</v>
      </c>
      <c r="B1209" s="12">
        <v>46687.0</v>
      </c>
      <c r="C1209" s="8" t="s">
        <v>1119</v>
      </c>
      <c r="D1209" s="8" t="s">
        <v>1766</v>
      </c>
      <c r="E1209" s="8" t="s">
        <v>1933</v>
      </c>
      <c r="F1209" s="8">
        <v>3.0</v>
      </c>
      <c r="G1209" s="8">
        <v>597.46</v>
      </c>
      <c r="H1209" s="8">
        <v>0.02</v>
      </c>
      <c r="I1209" s="8">
        <f t="shared" si="1"/>
        <v>1792.38</v>
      </c>
      <c r="J1209" s="8">
        <f t="shared" si="2"/>
        <v>-35.8276</v>
      </c>
      <c r="K1209" s="8" t="str">
        <f t="shared" si="3"/>
        <v>Oct</v>
      </c>
      <c r="L1209" s="8">
        <f t="shared" si="4"/>
        <v>2027</v>
      </c>
      <c r="N1209" s="8" t="str">
        <f t="array" ref="N1209">XLOOKUP(C1209,Customer_Dim!A:A,Customer_Dim!B:B,"Not Found")</f>
        <v>Michael Greene</v>
      </c>
      <c r="O1209" s="8" t="str">
        <f t="array" ref="O1209">XLOOKUP(C1209,Customer_Dim!A:A,Customer_Dim!E:E,"Not Found")</f>
        <v>Port Saramouth</v>
      </c>
      <c r="P1209" s="8" t="str">
        <f t="array" ref="P1209">XLOOKUP(D1209,Product_Dim!A:A,Product_Dim!B:B,"Not Found")</f>
        <v>Men's Hair Styling Gel</v>
      </c>
      <c r="Q1209" s="8" t="str">
        <f t="array" ref="Q1209">XLOOKUP(D1209,Product_Dim!A:A,Product_Dim!C:C,"Not Found")</f>
        <v>Beauty</v>
      </c>
      <c r="R1209" s="8" t="str">
        <f t="array" ref="R1209">XLOOKUP(E1209,Store_Dim!A:A,Store_Dim!B:B,"Not Found")</f>
        <v>North</v>
      </c>
      <c r="S1209" s="8" t="str">
        <f t="array" ref="S1209">XLOOKUP(E1209,Store_Dim!A:A,Store_Dim!D:D,"Not Found")</f>
        <v>Flagship</v>
      </c>
    </row>
    <row r="1210" ht="14.25" customHeight="1">
      <c r="A1210" s="8" t="s">
        <v>3163</v>
      </c>
      <c r="B1210" s="12">
        <v>46688.0</v>
      </c>
      <c r="C1210" s="8" t="s">
        <v>1014</v>
      </c>
      <c r="D1210" s="8" t="s">
        <v>1597</v>
      </c>
      <c r="E1210" s="8" t="s">
        <v>1935</v>
      </c>
      <c r="F1210" s="8">
        <v>3.0</v>
      </c>
      <c r="G1210" s="8">
        <v>581.09</v>
      </c>
      <c r="H1210" s="8">
        <v>0.1</v>
      </c>
      <c r="I1210" s="8">
        <f t="shared" si="1"/>
        <v>1743.27</v>
      </c>
      <c r="J1210" s="8">
        <f t="shared" si="2"/>
        <v>-174.227</v>
      </c>
      <c r="K1210" s="8" t="str">
        <f t="shared" si="3"/>
        <v>Oct</v>
      </c>
      <c r="L1210" s="8">
        <f t="shared" si="4"/>
        <v>2027</v>
      </c>
      <c r="N1210" s="8" t="str">
        <f t="array" ref="N1210">XLOOKUP(C1210,Customer_Dim!A:A,Customer_Dim!B:B,"Not Found")</f>
        <v>Tiffany Williams</v>
      </c>
      <c r="O1210" s="8" t="str">
        <f t="array" ref="O1210">XLOOKUP(C1210,Customer_Dim!A:A,Customer_Dim!E:E,"Not Found")</f>
        <v>Richardsport</v>
      </c>
      <c r="P1210" s="8" t="str">
        <f t="array" ref="P1210">XLOOKUP(D1210,Product_Dim!A:A,Product_Dim!B:B,"Not Found")</f>
        <v>Wireless Bluetooth Earbuds</v>
      </c>
      <c r="Q1210" s="8" t="str">
        <f t="array" ref="Q1210">XLOOKUP(D1210,Product_Dim!A:A,Product_Dim!C:C,"Not Found")</f>
        <v>Electronics</v>
      </c>
      <c r="R1210" s="8" t="str">
        <f t="array" ref="R1210">XLOOKUP(E1210,Store_Dim!A:A,Store_Dim!B:B,"Not Found")</f>
        <v>West</v>
      </c>
      <c r="S1210" s="8" t="str">
        <f t="array" ref="S1210">XLOOKUP(E1210,Store_Dim!A:A,Store_Dim!D:D,"Not Found")</f>
        <v>Flagship</v>
      </c>
    </row>
    <row r="1211" ht="14.25" customHeight="1">
      <c r="A1211" s="8" t="s">
        <v>3164</v>
      </c>
      <c r="B1211" s="12">
        <v>46689.0</v>
      </c>
      <c r="C1211" s="8" t="s">
        <v>215</v>
      </c>
      <c r="D1211" s="8" t="s">
        <v>1674</v>
      </c>
      <c r="E1211" s="8" t="s">
        <v>1912</v>
      </c>
      <c r="F1211" s="8">
        <v>4.0</v>
      </c>
      <c r="G1211" s="8">
        <v>153.95</v>
      </c>
      <c r="H1211" s="8">
        <v>0.11</v>
      </c>
      <c r="I1211" s="8">
        <f t="shared" si="1"/>
        <v>615.8</v>
      </c>
      <c r="J1211" s="8">
        <f t="shared" si="2"/>
        <v>-67.628</v>
      </c>
      <c r="K1211" s="8" t="str">
        <f t="shared" si="3"/>
        <v>Oct</v>
      </c>
      <c r="L1211" s="8">
        <f t="shared" si="4"/>
        <v>2027</v>
      </c>
      <c r="N1211" s="8" t="str">
        <f t="array" ref="N1211">XLOOKUP(C1211,Customer_Dim!A:A,Customer_Dim!B:B,"Not Found")</f>
        <v>Katherine Dorsey</v>
      </c>
      <c r="O1211" s="8" t="str">
        <f t="array" ref="O1211">XLOOKUP(C1211,Customer_Dim!A:A,Customer_Dim!E:E,"Not Found")</f>
        <v>Christopherland</v>
      </c>
      <c r="P1211" s="8" t="str">
        <f t="array" ref="P1211">XLOOKUP(D1211,Product_Dim!A:A,Product_Dim!B:B,"Not Found")</f>
        <v>Stainless Steel Cutlery Set</v>
      </c>
      <c r="Q1211" s="8" t="str">
        <f t="array" ref="Q1211">XLOOKUP(D1211,Product_Dim!A:A,Product_Dim!C:C,"Not Found")</f>
        <v>Home</v>
      </c>
      <c r="R1211" s="8" t="str">
        <f t="array" ref="R1211">XLOOKUP(E1211,Store_Dim!A:A,Store_Dim!B:B,"Not Found")</f>
        <v>South</v>
      </c>
      <c r="S1211" s="8" t="str">
        <f t="array" ref="S1211">XLOOKUP(E1211,Store_Dim!A:A,Store_Dim!D:D,"Not Found")</f>
        <v>Online</v>
      </c>
    </row>
    <row r="1212" ht="14.25" customHeight="1">
      <c r="A1212" s="8" t="s">
        <v>3165</v>
      </c>
      <c r="B1212" s="12">
        <v>46690.0</v>
      </c>
      <c r="C1212" s="8" t="s">
        <v>305</v>
      </c>
      <c r="D1212" s="8" t="s">
        <v>1693</v>
      </c>
      <c r="E1212" s="8" t="s">
        <v>1921</v>
      </c>
      <c r="F1212" s="8">
        <v>4.0</v>
      </c>
      <c r="G1212" s="8">
        <v>271.04</v>
      </c>
      <c r="H1212" s="8">
        <v>0.12</v>
      </c>
      <c r="I1212" s="8">
        <f t="shared" si="1"/>
        <v>1084.16</v>
      </c>
      <c r="J1212" s="8">
        <f t="shared" si="2"/>
        <v>-129.9792</v>
      </c>
      <c r="K1212" s="8" t="str">
        <f t="shared" si="3"/>
        <v>Oct</v>
      </c>
      <c r="L1212" s="8">
        <f t="shared" si="4"/>
        <v>2027</v>
      </c>
      <c r="N1212" s="8" t="str">
        <f t="array" ref="N1212">XLOOKUP(C1212,Customer_Dim!A:A,Customer_Dim!B:B,"Not Found")</f>
        <v>Krystal Ford</v>
      </c>
      <c r="O1212" s="8" t="str">
        <f t="array" ref="O1212">XLOOKUP(C1212,Customer_Dim!A:A,Customer_Dim!E:E,"Not Found")</f>
        <v>South David</v>
      </c>
      <c r="P1212" s="8" t="str">
        <f t="array" ref="P1212">XLOOKUP(D1212,Product_Dim!A:A,Product_Dim!B:B,"Not Found")</f>
        <v>Women's Summer Dress</v>
      </c>
      <c r="Q1212" s="8" t="str">
        <f t="array" ref="Q1212">XLOOKUP(D1212,Product_Dim!A:A,Product_Dim!C:C,"Not Found")</f>
        <v>Clothing</v>
      </c>
      <c r="R1212" s="8" t="str">
        <f t="array" ref="R1212">XLOOKUP(E1212,Store_Dim!A:A,Store_Dim!B:B,"Not Found")</f>
        <v>West</v>
      </c>
      <c r="S1212" s="8" t="str">
        <f t="array" ref="S1212">XLOOKUP(E1212,Store_Dim!A:A,Store_Dim!D:D,"Not Found")</f>
        <v>Online</v>
      </c>
    </row>
    <row r="1213" ht="14.25" customHeight="1">
      <c r="A1213" s="8" t="s">
        <v>3166</v>
      </c>
      <c r="B1213" s="12">
        <v>46691.0</v>
      </c>
      <c r="C1213" s="8" t="s">
        <v>80</v>
      </c>
      <c r="D1213" s="8" t="s">
        <v>1690</v>
      </c>
      <c r="E1213" s="8" t="s">
        <v>1917</v>
      </c>
      <c r="F1213" s="8">
        <v>4.0</v>
      </c>
      <c r="G1213" s="8">
        <v>328.27</v>
      </c>
      <c r="H1213" s="8">
        <v>0.09</v>
      </c>
      <c r="I1213" s="8">
        <f t="shared" si="1"/>
        <v>1313.08</v>
      </c>
      <c r="J1213" s="8">
        <f t="shared" si="2"/>
        <v>-118.0872</v>
      </c>
      <c r="K1213" s="8" t="str">
        <f t="shared" si="3"/>
        <v>Oct</v>
      </c>
      <c r="L1213" s="8">
        <f t="shared" si="4"/>
        <v>2027</v>
      </c>
      <c r="N1213" s="8" t="str">
        <f t="array" ref="N1213">XLOOKUP(C1213,Customer_Dim!A:A,Customer_Dim!B:B,"Not Found")</f>
        <v>Laura Alvarez</v>
      </c>
      <c r="O1213" s="8" t="str">
        <f t="array" ref="O1213">XLOOKUP(C1213,Customer_Dim!A:A,Customer_Dim!E:E,"Not Found")</f>
        <v>Lawsonhaven</v>
      </c>
      <c r="P1213" s="8" t="str">
        <f t="array" ref="P1213">XLOOKUP(D1213,Product_Dim!A:A,Product_Dim!B:B,"Not Found")</f>
        <v>Bedroom Table Lamp</v>
      </c>
      <c r="Q1213" s="8" t="str">
        <f t="array" ref="Q1213">XLOOKUP(D1213,Product_Dim!A:A,Product_Dim!C:C,"Not Found")</f>
        <v>Home</v>
      </c>
      <c r="R1213" s="8" t="str">
        <f t="array" ref="R1213">XLOOKUP(E1213,Store_Dim!A:A,Store_Dim!B:B,"Not Found")</f>
        <v>East</v>
      </c>
      <c r="S1213" s="8" t="str">
        <f t="array" ref="S1213">XLOOKUP(E1213,Store_Dim!A:A,Store_Dim!D:D,"Not Found")</f>
        <v>Online</v>
      </c>
    </row>
    <row r="1214" ht="14.25" customHeight="1">
      <c r="A1214" s="8" t="s">
        <v>3167</v>
      </c>
      <c r="B1214" s="12">
        <v>46692.0</v>
      </c>
      <c r="C1214" s="8" t="s">
        <v>1534</v>
      </c>
      <c r="D1214" s="8" t="s">
        <v>1632</v>
      </c>
      <c r="E1214" s="8" t="s">
        <v>1932</v>
      </c>
      <c r="F1214" s="8">
        <v>4.0</v>
      </c>
      <c r="G1214" s="8">
        <v>884.71</v>
      </c>
      <c r="H1214" s="8">
        <v>0.09</v>
      </c>
      <c r="I1214" s="8">
        <f t="shared" si="1"/>
        <v>3538.84</v>
      </c>
      <c r="J1214" s="8">
        <f t="shared" si="2"/>
        <v>-318.4056</v>
      </c>
      <c r="K1214" s="8" t="str">
        <f t="shared" si="3"/>
        <v>Nov</v>
      </c>
      <c r="L1214" s="8">
        <f t="shared" si="4"/>
        <v>2027</v>
      </c>
      <c r="N1214" s="8" t="str">
        <f t="array" ref="N1214">XLOOKUP(C1214,Customer_Dim!A:A,Customer_Dim!B:B,"Not Found")</f>
        <v>Justin Lopez</v>
      </c>
      <c r="O1214" s="8" t="str">
        <f t="array" ref="O1214">XLOOKUP(C1214,Customer_Dim!A:A,Customer_Dim!E:E,"Not Found")</f>
        <v>Port Cheryl</v>
      </c>
      <c r="P1214" s="8" t="str">
        <f t="array" ref="P1214">XLOOKUP(D1214,Product_Dim!A:A,Product_Dim!B:B,"Not Found")</f>
        <v>Soccer Training Cone Set</v>
      </c>
      <c r="Q1214" s="8" t="str">
        <f t="array" ref="Q1214">XLOOKUP(D1214,Product_Dim!A:A,Product_Dim!C:C,"Not Found")</f>
        <v>Sports</v>
      </c>
      <c r="R1214" s="8" t="str">
        <f t="array" ref="R1214">XLOOKUP(E1214,Store_Dim!A:A,Store_Dim!B:B,"Not Found")</f>
        <v>South</v>
      </c>
      <c r="S1214" s="8" t="str">
        <f t="array" ref="S1214">XLOOKUP(E1214,Store_Dim!A:A,Store_Dim!D:D,"Not Found")</f>
        <v>Outlet</v>
      </c>
    </row>
    <row r="1215" ht="14.25" customHeight="1">
      <c r="A1215" s="8" t="s">
        <v>3168</v>
      </c>
      <c r="B1215" s="12">
        <v>46693.0</v>
      </c>
      <c r="C1215" s="8" t="s">
        <v>812</v>
      </c>
      <c r="D1215" s="8" t="s">
        <v>1806</v>
      </c>
      <c r="E1215" s="8" t="s">
        <v>1912</v>
      </c>
      <c r="F1215" s="8">
        <v>1.0</v>
      </c>
      <c r="G1215" s="8">
        <v>41.39</v>
      </c>
      <c r="H1215" s="8">
        <v>0.01</v>
      </c>
      <c r="I1215" s="8">
        <f t="shared" si="1"/>
        <v>41.39</v>
      </c>
      <c r="J1215" s="8">
        <f t="shared" si="2"/>
        <v>-0.4039</v>
      </c>
      <c r="K1215" s="8" t="str">
        <f t="shared" si="3"/>
        <v>Nov</v>
      </c>
      <c r="L1215" s="8">
        <f t="shared" si="4"/>
        <v>2027</v>
      </c>
      <c r="N1215" s="8" t="str">
        <f t="array" ref="N1215">XLOOKUP(C1215,Customer_Dim!A:A,Customer_Dim!B:B,"Not Found")</f>
        <v>Lauren George</v>
      </c>
      <c r="O1215" s="8" t="str">
        <f t="array" ref="O1215">XLOOKUP(C1215,Customer_Dim!A:A,Customer_Dim!E:E,"Not Found")</f>
        <v>Garciamouth</v>
      </c>
      <c r="P1215" s="8" t="str">
        <f t="array" ref="P1215">XLOOKUP(D1215,Product_Dim!A:A,Product_Dim!B:B,"Not Found")</f>
        <v>Professional Jump Rope</v>
      </c>
      <c r="Q1215" s="8" t="str">
        <f t="array" ref="Q1215">XLOOKUP(D1215,Product_Dim!A:A,Product_Dim!C:C,"Not Found")</f>
        <v>Sports</v>
      </c>
      <c r="R1215" s="8" t="str">
        <f t="array" ref="R1215">XLOOKUP(E1215,Store_Dim!A:A,Store_Dim!B:B,"Not Found")</f>
        <v>South</v>
      </c>
      <c r="S1215" s="8" t="str">
        <f t="array" ref="S1215">XLOOKUP(E1215,Store_Dim!A:A,Store_Dim!D:D,"Not Found")</f>
        <v>Online</v>
      </c>
    </row>
    <row r="1216" ht="14.25" customHeight="1">
      <c r="A1216" s="8" t="s">
        <v>3169</v>
      </c>
      <c r="B1216" s="12">
        <v>46694.0</v>
      </c>
      <c r="C1216" s="8" t="s">
        <v>562</v>
      </c>
      <c r="D1216" s="8" t="s">
        <v>1760</v>
      </c>
      <c r="E1216" s="8" t="s">
        <v>1924</v>
      </c>
      <c r="F1216" s="8">
        <v>4.0</v>
      </c>
      <c r="G1216" s="8">
        <v>64.06</v>
      </c>
      <c r="H1216" s="8">
        <v>0.26</v>
      </c>
      <c r="I1216" s="8">
        <f t="shared" si="1"/>
        <v>256.24</v>
      </c>
      <c r="J1216" s="8">
        <f t="shared" si="2"/>
        <v>-66.3624</v>
      </c>
      <c r="K1216" s="8" t="str">
        <f t="shared" si="3"/>
        <v>Nov</v>
      </c>
      <c r="L1216" s="8">
        <f t="shared" si="4"/>
        <v>2027</v>
      </c>
      <c r="N1216" s="8" t="str">
        <f t="array" ref="N1216">XLOOKUP(C1216,Customer_Dim!A:A,Customer_Dim!B:B,"Not Found")</f>
        <v>Jason Wheeler</v>
      </c>
      <c r="O1216" s="8" t="str">
        <f t="array" ref="O1216">XLOOKUP(C1216,Customer_Dim!A:A,Customer_Dim!E:E,"Not Found")</f>
        <v>Carolview</v>
      </c>
      <c r="P1216" s="8" t="str">
        <f t="array" ref="P1216">XLOOKUP(D1216,Product_Dim!A:A,Product_Dim!B:B,"Not Found")</f>
        <v>Foam Roller</v>
      </c>
      <c r="Q1216" s="8" t="str">
        <f t="array" ref="Q1216">XLOOKUP(D1216,Product_Dim!A:A,Product_Dim!C:C,"Not Found")</f>
        <v>Sports</v>
      </c>
      <c r="R1216" s="8" t="str">
        <f t="array" ref="R1216">XLOOKUP(E1216,Store_Dim!A:A,Store_Dim!B:B,"Not Found")</f>
        <v>South</v>
      </c>
      <c r="S1216" s="8" t="str">
        <f t="array" ref="S1216">XLOOKUP(E1216,Store_Dim!A:A,Store_Dim!D:D,"Not Found")</f>
        <v>Flagship</v>
      </c>
    </row>
    <row r="1217" ht="14.25" customHeight="1">
      <c r="A1217" s="8" t="s">
        <v>3170</v>
      </c>
      <c r="B1217" s="12">
        <v>46695.0</v>
      </c>
      <c r="C1217" s="8" t="s">
        <v>1101</v>
      </c>
      <c r="D1217" s="8" t="s">
        <v>1725</v>
      </c>
      <c r="E1217" s="8" t="s">
        <v>1924</v>
      </c>
      <c r="F1217" s="8">
        <v>2.0</v>
      </c>
      <c r="G1217" s="8">
        <v>152.25</v>
      </c>
      <c r="H1217" s="8">
        <v>0.13</v>
      </c>
      <c r="I1217" s="8">
        <f t="shared" si="1"/>
        <v>304.5</v>
      </c>
      <c r="J1217" s="8">
        <f t="shared" si="2"/>
        <v>-39.455</v>
      </c>
      <c r="K1217" s="8" t="str">
        <f t="shared" si="3"/>
        <v>Nov</v>
      </c>
      <c r="L1217" s="8">
        <f t="shared" si="4"/>
        <v>2027</v>
      </c>
      <c r="N1217" s="8" t="str">
        <f t="array" ref="N1217">XLOOKUP(C1217,Customer_Dim!A:A,Customer_Dim!B:B,"Not Found")</f>
        <v>John Jordan</v>
      </c>
      <c r="O1217" s="8" t="str">
        <f t="array" ref="O1217">XLOOKUP(C1217,Customer_Dim!A:A,Customer_Dim!E:E,"Not Found")</f>
        <v>Port Crystalberg</v>
      </c>
      <c r="P1217" s="8" t="str">
        <f t="array" ref="P1217">XLOOKUP(D1217,Product_Dim!A:A,Product_Dim!B:B,"Not Found")</f>
        <v>Men's Winter Jacket</v>
      </c>
      <c r="Q1217" s="8" t="str">
        <f t="array" ref="Q1217">XLOOKUP(D1217,Product_Dim!A:A,Product_Dim!C:C,"Not Found")</f>
        <v>Clothing</v>
      </c>
      <c r="R1217" s="8" t="str">
        <f t="array" ref="R1217">XLOOKUP(E1217,Store_Dim!A:A,Store_Dim!B:B,"Not Found")</f>
        <v>South</v>
      </c>
      <c r="S1217" s="8" t="str">
        <f t="array" ref="S1217">XLOOKUP(E1217,Store_Dim!A:A,Store_Dim!D:D,"Not Found")</f>
        <v>Flagship</v>
      </c>
    </row>
    <row r="1218" ht="14.25" customHeight="1">
      <c r="A1218" s="8" t="s">
        <v>3171</v>
      </c>
      <c r="B1218" s="12">
        <v>46696.0</v>
      </c>
      <c r="C1218" s="8" t="s">
        <v>366</v>
      </c>
      <c r="D1218" s="8" t="s">
        <v>1617</v>
      </c>
      <c r="E1218" s="8" t="s">
        <v>1941</v>
      </c>
      <c r="F1218" s="8">
        <v>2.0</v>
      </c>
      <c r="G1218" s="8">
        <v>889.04</v>
      </c>
      <c r="H1218" s="8">
        <v>0.23</v>
      </c>
      <c r="I1218" s="8">
        <f t="shared" si="1"/>
        <v>1778.08</v>
      </c>
      <c r="J1218" s="8">
        <f t="shared" si="2"/>
        <v>-408.7284</v>
      </c>
      <c r="K1218" s="8" t="str">
        <f t="shared" si="3"/>
        <v>Nov</v>
      </c>
      <c r="L1218" s="8">
        <f t="shared" si="4"/>
        <v>2027</v>
      </c>
      <c r="N1218" s="8" t="str">
        <f t="array" ref="N1218">XLOOKUP(C1218,Customer_Dim!A:A,Customer_Dim!B:B,"Not Found")</f>
        <v>Diane Watson</v>
      </c>
      <c r="O1218" s="8" t="str">
        <f t="array" ref="O1218">XLOOKUP(C1218,Customer_Dim!A:A,Customer_Dim!E:E,"Not Found")</f>
        <v>North Codyport</v>
      </c>
      <c r="P1218" s="8" t="str">
        <f t="array" ref="P1218">XLOOKUP(D1218,Product_Dim!A:A,Product_Dim!B:B,"Not Found")</f>
        <v>USB-C Fast Charger</v>
      </c>
      <c r="Q1218" s="8" t="str">
        <f t="array" ref="Q1218">XLOOKUP(D1218,Product_Dim!A:A,Product_Dim!C:C,"Not Found")</f>
        <v>Electronics</v>
      </c>
      <c r="R1218" s="8" t="str">
        <f t="array" ref="R1218">XLOOKUP(E1218,Store_Dim!A:A,Store_Dim!B:B,"Not Found")</f>
        <v>East</v>
      </c>
      <c r="S1218" s="8" t="str">
        <f t="array" ref="S1218">XLOOKUP(E1218,Store_Dim!A:A,Store_Dim!D:D,"Not Found")</f>
        <v>Online</v>
      </c>
    </row>
    <row r="1219" ht="14.25" customHeight="1">
      <c r="A1219" s="8" t="s">
        <v>3172</v>
      </c>
      <c r="B1219" s="12">
        <v>46697.0</v>
      </c>
      <c r="C1219" s="8" t="s">
        <v>550</v>
      </c>
      <c r="D1219" s="8" t="s">
        <v>1696</v>
      </c>
      <c r="E1219" s="8" t="s">
        <v>1926</v>
      </c>
      <c r="F1219" s="8">
        <v>3.0</v>
      </c>
      <c r="G1219" s="8">
        <v>145.25</v>
      </c>
      <c r="H1219" s="8">
        <v>0.24</v>
      </c>
      <c r="I1219" s="8">
        <f t="shared" si="1"/>
        <v>435.75</v>
      </c>
      <c r="J1219" s="8">
        <f t="shared" si="2"/>
        <v>-104.34</v>
      </c>
      <c r="K1219" s="8" t="str">
        <f t="shared" si="3"/>
        <v>Nov</v>
      </c>
      <c r="L1219" s="8">
        <f t="shared" si="4"/>
        <v>2027</v>
      </c>
      <c r="N1219" s="8" t="str">
        <f t="array" ref="N1219">XLOOKUP(C1219,Customer_Dim!A:A,Customer_Dim!B:B,"Not Found")</f>
        <v>Cynthia Morris</v>
      </c>
      <c r="O1219" s="8" t="str">
        <f t="array" ref="O1219">XLOOKUP(C1219,Customer_Dim!A:A,Customer_Dim!E:E,"Not Found")</f>
        <v>Hessmouth</v>
      </c>
      <c r="P1219" s="8" t="str">
        <f t="array" ref="P1219">XLOOKUP(D1219,Product_Dim!A:A,Product_Dim!B:B,"Not Found")</f>
        <v>Men's Casual Sneakers</v>
      </c>
      <c r="Q1219" s="8" t="str">
        <f t="array" ref="Q1219">XLOOKUP(D1219,Product_Dim!A:A,Product_Dim!C:C,"Not Found")</f>
        <v>Clothing</v>
      </c>
      <c r="R1219" s="8" t="str">
        <f t="array" ref="R1219">XLOOKUP(E1219,Store_Dim!A:A,Store_Dim!B:B,"Not Found")</f>
        <v>East</v>
      </c>
      <c r="S1219" s="8" t="str">
        <f t="array" ref="S1219">XLOOKUP(E1219,Store_Dim!A:A,Store_Dim!D:D,"Not Found")</f>
        <v>Online</v>
      </c>
    </row>
    <row r="1220" ht="14.25" customHeight="1">
      <c r="A1220" s="8" t="s">
        <v>3173</v>
      </c>
      <c r="B1220" s="12">
        <v>46698.0</v>
      </c>
      <c r="C1220" s="8" t="s">
        <v>221</v>
      </c>
      <c r="D1220" s="8" t="s">
        <v>1854</v>
      </c>
      <c r="E1220" s="8" t="s">
        <v>1906</v>
      </c>
      <c r="F1220" s="8">
        <v>2.0</v>
      </c>
      <c r="G1220" s="8">
        <v>898.45</v>
      </c>
      <c r="H1220" s="8">
        <v>0.29</v>
      </c>
      <c r="I1220" s="8">
        <f t="shared" si="1"/>
        <v>1796.9</v>
      </c>
      <c r="J1220" s="8">
        <f t="shared" si="2"/>
        <v>-520.811</v>
      </c>
      <c r="K1220" s="8" t="str">
        <f t="shared" si="3"/>
        <v>Nov</v>
      </c>
      <c r="L1220" s="8">
        <f t="shared" si="4"/>
        <v>2027</v>
      </c>
      <c r="N1220" s="8" t="str">
        <f t="array" ref="N1220">XLOOKUP(C1220,Customer_Dim!A:A,Customer_Dim!B:B,"Not Found")</f>
        <v>Christopher Sutton</v>
      </c>
      <c r="O1220" s="8" t="str">
        <f t="array" ref="O1220">XLOOKUP(C1220,Customer_Dim!A:A,Customer_Dim!E:E,"Not Found")</f>
        <v>Deborahberg</v>
      </c>
      <c r="P1220" s="8" t="str">
        <f t="array" ref="P1220">XLOOKUP(D1220,Product_Dim!A:A,Product_Dim!B:B,"Not Found")</f>
        <v>Sports Wrist Sweatbands</v>
      </c>
      <c r="Q1220" s="8" t="str">
        <f t="array" ref="Q1220">XLOOKUP(D1220,Product_Dim!A:A,Product_Dim!C:C,"Not Found")</f>
        <v>Sports</v>
      </c>
      <c r="R1220" s="8" t="str">
        <f t="array" ref="R1220">XLOOKUP(E1220,Store_Dim!A:A,Store_Dim!B:B,"Not Found")</f>
        <v>South</v>
      </c>
      <c r="S1220" s="8" t="str">
        <f t="array" ref="S1220">XLOOKUP(E1220,Store_Dim!A:A,Store_Dim!D:D,"Not Found")</f>
        <v>Outlet</v>
      </c>
    </row>
    <row r="1221" ht="14.25" customHeight="1">
      <c r="A1221" s="8" t="s">
        <v>3174</v>
      </c>
      <c r="B1221" s="12">
        <v>46699.0</v>
      </c>
      <c r="C1221" s="8" t="s">
        <v>134</v>
      </c>
      <c r="D1221" s="8" t="s">
        <v>1690</v>
      </c>
      <c r="E1221" s="8" t="s">
        <v>1933</v>
      </c>
      <c r="F1221" s="8">
        <v>4.0</v>
      </c>
      <c r="G1221" s="8">
        <v>642.05</v>
      </c>
      <c r="H1221" s="8">
        <v>0.25</v>
      </c>
      <c r="I1221" s="8">
        <f t="shared" si="1"/>
        <v>2568.2</v>
      </c>
      <c r="J1221" s="8">
        <f t="shared" si="2"/>
        <v>-641.8</v>
      </c>
      <c r="K1221" s="8" t="str">
        <f t="shared" si="3"/>
        <v>Nov</v>
      </c>
      <c r="L1221" s="8">
        <f t="shared" si="4"/>
        <v>2027</v>
      </c>
      <c r="N1221" s="8" t="str">
        <f t="array" ref="N1221">XLOOKUP(C1221,Customer_Dim!A:A,Customer_Dim!B:B,"Not Found")</f>
        <v>Jessica Acevedo</v>
      </c>
      <c r="O1221" s="8" t="str">
        <f t="array" ref="O1221">XLOOKUP(C1221,Customer_Dim!A:A,Customer_Dim!E:E,"Not Found")</f>
        <v>Amybury</v>
      </c>
      <c r="P1221" s="8" t="str">
        <f t="array" ref="P1221">XLOOKUP(D1221,Product_Dim!A:A,Product_Dim!B:B,"Not Found")</f>
        <v>Bedroom Table Lamp</v>
      </c>
      <c r="Q1221" s="8" t="str">
        <f t="array" ref="Q1221">XLOOKUP(D1221,Product_Dim!A:A,Product_Dim!C:C,"Not Found")</f>
        <v>Home</v>
      </c>
      <c r="R1221" s="8" t="str">
        <f t="array" ref="R1221">XLOOKUP(E1221,Store_Dim!A:A,Store_Dim!B:B,"Not Found")</f>
        <v>North</v>
      </c>
      <c r="S1221" s="8" t="str">
        <f t="array" ref="S1221">XLOOKUP(E1221,Store_Dim!A:A,Store_Dim!D:D,"Not Found")</f>
        <v>Flagship</v>
      </c>
    </row>
    <row r="1222" ht="14.25" customHeight="1">
      <c r="A1222" s="8" t="s">
        <v>3175</v>
      </c>
      <c r="B1222" s="12">
        <v>46700.0</v>
      </c>
      <c r="C1222" s="8" t="s">
        <v>1002</v>
      </c>
      <c r="D1222" s="8" t="s">
        <v>1842</v>
      </c>
      <c r="E1222" s="8" t="s">
        <v>1919</v>
      </c>
      <c r="F1222" s="8">
        <v>4.0</v>
      </c>
      <c r="G1222" s="8">
        <v>450.83</v>
      </c>
      <c r="H1222" s="8">
        <v>0.24</v>
      </c>
      <c r="I1222" s="8">
        <f t="shared" si="1"/>
        <v>1803.32</v>
      </c>
      <c r="J1222" s="8">
        <f t="shared" si="2"/>
        <v>-432.5568</v>
      </c>
      <c r="K1222" s="8" t="str">
        <f t="shared" si="3"/>
        <v>Nov</v>
      </c>
      <c r="L1222" s="8">
        <f t="shared" si="4"/>
        <v>2027</v>
      </c>
      <c r="N1222" s="8" t="str">
        <f t="array" ref="N1222">XLOOKUP(C1222,Customer_Dim!A:A,Customer_Dim!B:B,"Not Found")</f>
        <v>Elizabeth Jones</v>
      </c>
      <c r="O1222" s="8" t="str">
        <f t="array" ref="O1222">XLOOKUP(C1222,Customer_Dim!A:A,Customer_Dim!E:E,"Not Found")</f>
        <v>Brownburgh</v>
      </c>
      <c r="P1222" s="8" t="str">
        <f t="array" ref="P1222">XLOOKUP(D1222,Product_Dim!A:A,Product_Dim!B:B,"Not Found")</f>
        <v>Wooden Bookshelf</v>
      </c>
      <c r="Q1222" s="8" t="str">
        <f t="array" ref="Q1222">XLOOKUP(D1222,Product_Dim!A:A,Product_Dim!C:C,"Not Found")</f>
        <v>Home</v>
      </c>
      <c r="R1222" s="8" t="str">
        <f t="array" ref="R1222">XLOOKUP(E1222,Store_Dim!A:A,Store_Dim!B:B,"Not Found")</f>
        <v>South</v>
      </c>
      <c r="S1222" s="8" t="str">
        <f t="array" ref="S1222">XLOOKUP(E1222,Store_Dim!A:A,Store_Dim!D:D,"Not Found")</f>
        <v>Online</v>
      </c>
    </row>
    <row r="1223" ht="14.25" customHeight="1">
      <c r="A1223" s="8" t="s">
        <v>3176</v>
      </c>
      <c r="B1223" s="12">
        <v>46701.0</v>
      </c>
      <c r="C1223" s="8" t="s">
        <v>61</v>
      </c>
      <c r="D1223" s="8" t="s">
        <v>1745</v>
      </c>
      <c r="E1223" s="8" t="s">
        <v>1941</v>
      </c>
      <c r="F1223" s="8">
        <v>2.0</v>
      </c>
      <c r="G1223" s="8">
        <v>441.03</v>
      </c>
      <c r="H1223" s="8">
        <v>0.23</v>
      </c>
      <c r="I1223" s="8">
        <f t="shared" si="1"/>
        <v>882.06</v>
      </c>
      <c r="J1223" s="8">
        <f t="shared" si="2"/>
        <v>-202.6438</v>
      </c>
      <c r="K1223" s="8" t="str">
        <f t="shared" si="3"/>
        <v>Nov</v>
      </c>
      <c r="L1223" s="8">
        <f t="shared" si="4"/>
        <v>2027</v>
      </c>
      <c r="N1223" s="8" t="str">
        <f t="array" ref="N1223">XLOOKUP(C1223,Customer_Dim!A:A,Customer_Dim!B:B,"Not Found")</f>
        <v>Dominic Page</v>
      </c>
      <c r="O1223" s="8" t="str">
        <f t="array" ref="O1223">XLOOKUP(C1223,Customer_Dim!A:A,Customer_Dim!E:E,"Not Found")</f>
        <v>Port Michaelburgh</v>
      </c>
      <c r="P1223" s="8" t="str">
        <f t="array" ref="P1223">XLOOKUP(D1223,Product_Dim!A:A,Product_Dim!B:B,"Not Found")</f>
        <v>Rugby Ball</v>
      </c>
      <c r="Q1223" s="8" t="str">
        <f t="array" ref="Q1223">XLOOKUP(D1223,Product_Dim!A:A,Product_Dim!C:C,"Not Found")</f>
        <v>Sports</v>
      </c>
      <c r="R1223" s="8" t="str">
        <f t="array" ref="R1223">XLOOKUP(E1223,Store_Dim!A:A,Store_Dim!B:B,"Not Found")</f>
        <v>East</v>
      </c>
      <c r="S1223" s="8" t="str">
        <f t="array" ref="S1223">XLOOKUP(E1223,Store_Dim!A:A,Store_Dim!D:D,"Not Found")</f>
        <v>Online</v>
      </c>
    </row>
    <row r="1224" ht="14.25" customHeight="1">
      <c r="A1224" s="8" t="s">
        <v>3177</v>
      </c>
      <c r="B1224" s="12">
        <v>46702.0</v>
      </c>
      <c r="C1224" s="8" t="s">
        <v>308</v>
      </c>
      <c r="D1224" s="8" t="s">
        <v>1659</v>
      </c>
      <c r="E1224" s="8" t="s">
        <v>1906</v>
      </c>
      <c r="F1224" s="8">
        <v>3.0</v>
      </c>
      <c r="G1224" s="8">
        <v>377.69</v>
      </c>
      <c r="H1224" s="8">
        <v>0.07</v>
      </c>
      <c r="I1224" s="8">
        <f t="shared" si="1"/>
        <v>1133.07</v>
      </c>
      <c r="J1224" s="8">
        <f t="shared" si="2"/>
        <v>-79.2449</v>
      </c>
      <c r="K1224" s="8" t="str">
        <f t="shared" si="3"/>
        <v>Nov</v>
      </c>
      <c r="L1224" s="8">
        <f t="shared" si="4"/>
        <v>2027</v>
      </c>
      <c r="N1224" s="8" t="str">
        <f t="array" ref="N1224">XLOOKUP(C1224,Customer_Dim!A:A,Customer_Dim!B:B,"Not Found")</f>
        <v>George Rosario</v>
      </c>
      <c r="O1224" s="8" t="str">
        <f t="array" ref="O1224">XLOOKUP(C1224,Customer_Dim!A:A,Customer_Dim!E:E,"Not Found")</f>
        <v>Leburgh</v>
      </c>
      <c r="P1224" s="8" t="str">
        <f t="array" ref="P1224">XLOOKUP(D1224,Product_Dim!A:A,Product_Dim!B:B,"Not Found")</f>
        <v>Women's Scarf Set</v>
      </c>
      <c r="Q1224" s="8" t="str">
        <f t="array" ref="Q1224">XLOOKUP(D1224,Product_Dim!A:A,Product_Dim!C:C,"Not Found")</f>
        <v>Clothing</v>
      </c>
      <c r="R1224" s="8" t="str">
        <f t="array" ref="R1224">XLOOKUP(E1224,Store_Dim!A:A,Store_Dim!B:B,"Not Found")</f>
        <v>South</v>
      </c>
      <c r="S1224" s="8" t="str">
        <f t="array" ref="S1224">XLOOKUP(E1224,Store_Dim!A:A,Store_Dim!D:D,"Not Found")</f>
        <v>Outlet</v>
      </c>
    </row>
    <row r="1225" ht="14.25" customHeight="1">
      <c r="A1225" s="8" t="s">
        <v>3178</v>
      </c>
      <c r="B1225" s="12">
        <v>46703.0</v>
      </c>
      <c r="C1225" s="8" t="s">
        <v>547</v>
      </c>
      <c r="D1225" s="8" t="s">
        <v>1606</v>
      </c>
      <c r="E1225" s="8" t="s">
        <v>1919</v>
      </c>
      <c r="F1225" s="8">
        <v>1.0</v>
      </c>
      <c r="G1225" s="8">
        <v>457.33</v>
      </c>
      <c r="H1225" s="8">
        <v>0.27</v>
      </c>
      <c r="I1225" s="8">
        <f t="shared" si="1"/>
        <v>457.33</v>
      </c>
      <c r="J1225" s="8">
        <f t="shared" si="2"/>
        <v>-123.2091</v>
      </c>
      <c r="K1225" s="8" t="str">
        <f t="shared" si="3"/>
        <v>Nov</v>
      </c>
      <c r="L1225" s="8">
        <f t="shared" si="4"/>
        <v>2027</v>
      </c>
      <c r="N1225" s="8" t="str">
        <f t="array" ref="N1225">XLOOKUP(C1225,Customer_Dim!A:A,Customer_Dim!B:B,"Not Found")</f>
        <v>John Lawson</v>
      </c>
      <c r="O1225" s="8" t="str">
        <f t="array" ref="O1225">XLOOKUP(C1225,Customer_Dim!A:A,Customer_Dim!E:E,"Not Found")</f>
        <v>New Juliemouth</v>
      </c>
      <c r="P1225" s="8" t="str">
        <f t="array" ref="P1225">XLOOKUP(D1225,Product_Dim!A:A,Product_Dim!B:B,"Not Found")</f>
        <v>Ceramic Kitchen Bowl Set</v>
      </c>
      <c r="Q1225" s="8" t="str">
        <f t="array" ref="Q1225">XLOOKUP(D1225,Product_Dim!A:A,Product_Dim!C:C,"Not Found")</f>
        <v>Home</v>
      </c>
      <c r="R1225" s="8" t="str">
        <f t="array" ref="R1225">XLOOKUP(E1225,Store_Dim!A:A,Store_Dim!B:B,"Not Found")</f>
        <v>South</v>
      </c>
      <c r="S1225" s="8" t="str">
        <f t="array" ref="S1225">XLOOKUP(E1225,Store_Dim!A:A,Store_Dim!D:D,"Not Found")</f>
        <v>Online</v>
      </c>
    </row>
    <row r="1226" ht="14.25" customHeight="1">
      <c r="A1226" s="8" t="s">
        <v>3179</v>
      </c>
      <c r="B1226" s="12">
        <v>46704.0</v>
      </c>
      <c r="C1226" s="8" t="s">
        <v>797</v>
      </c>
      <c r="D1226" s="8" t="s">
        <v>1818</v>
      </c>
      <c r="E1226" s="8" t="s">
        <v>1917</v>
      </c>
      <c r="F1226" s="8">
        <v>4.0</v>
      </c>
      <c r="G1226" s="8">
        <v>218.01</v>
      </c>
      <c r="H1226" s="8">
        <v>0.06</v>
      </c>
      <c r="I1226" s="8">
        <f t="shared" si="1"/>
        <v>872.04</v>
      </c>
      <c r="J1226" s="8">
        <f t="shared" si="2"/>
        <v>-52.2624</v>
      </c>
      <c r="K1226" s="8" t="str">
        <f t="shared" si="3"/>
        <v>Nov</v>
      </c>
      <c r="L1226" s="8">
        <f t="shared" si="4"/>
        <v>2027</v>
      </c>
      <c r="N1226" s="8" t="str">
        <f t="array" ref="N1226">XLOOKUP(C1226,Customer_Dim!A:A,Customer_Dim!B:B,"Not Found")</f>
        <v>Nancy Page</v>
      </c>
      <c r="O1226" s="8" t="str">
        <f t="array" ref="O1226">XLOOKUP(C1226,Customer_Dim!A:A,Customer_Dim!E:E,"Not Found")</f>
        <v>West Julia</v>
      </c>
      <c r="P1226" s="8" t="str">
        <f t="array" ref="P1226">XLOOKUP(D1226,Product_Dim!A:A,Product_Dim!B:B,"Not Found")</f>
        <v>Wireless Mouse</v>
      </c>
      <c r="Q1226" s="8" t="str">
        <f t="array" ref="Q1226">XLOOKUP(D1226,Product_Dim!A:A,Product_Dim!C:C,"Not Found")</f>
        <v>Electronics</v>
      </c>
      <c r="R1226" s="8" t="str">
        <f t="array" ref="R1226">XLOOKUP(E1226,Store_Dim!A:A,Store_Dim!B:B,"Not Found")</f>
        <v>East</v>
      </c>
      <c r="S1226" s="8" t="str">
        <f t="array" ref="S1226">XLOOKUP(E1226,Store_Dim!A:A,Store_Dim!D:D,"Not Found")</f>
        <v>Online</v>
      </c>
    </row>
    <row r="1227" ht="14.25" customHeight="1">
      <c r="A1227" s="8" t="s">
        <v>3180</v>
      </c>
      <c r="B1227" s="12">
        <v>46705.0</v>
      </c>
      <c r="C1227" s="8" t="s">
        <v>720</v>
      </c>
      <c r="D1227" s="8" t="s">
        <v>1866</v>
      </c>
      <c r="E1227" s="8" t="s">
        <v>1939</v>
      </c>
      <c r="F1227" s="8">
        <v>2.0</v>
      </c>
      <c r="G1227" s="8">
        <v>682.7</v>
      </c>
      <c r="H1227" s="8">
        <v>0.13</v>
      </c>
      <c r="I1227" s="8">
        <f t="shared" si="1"/>
        <v>1365.4</v>
      </c>
      <c r="J1227" s="8">
        <f t="shared" si="2"/>
        <v>-177.372</v>
      </c>
      <c r="K1227" s="8" t="str">
        <f t="shared" si="3"/>
        <v>Nov</v>
      </c>
      <c r="L1227" s="8">
        <f t="shared" si="4"/>
        <v>2027</v>
      </c>
      <c r="N1227" s="8" t="str">
        <f t="array" ref="N1227">XLOOKUP(C1227,Customer_Dim!A:A,Customer_Dim!B:B,"Not Found")</f>
        <v>Julia Jackson</v>
      </c>
      <c r="O1227" s="8" t="str">
        <f t="array" ref="O1227">XLOOKUP(C1227,Customer_Dim!A:A,Customer_Dim!E:E,"Not Found")</f>
        <v>Edwardland</v>
      </c>
      <c r="P1227" s="8" t="str">
        <f t="array" ref="P1227">XLOOKUP(D1227,Product_Dim!A:A,Product_Dim!B:B,"Not Found")</f>
        <v>Microwave Oven</v>
      </c>
      <c r="Q1227" s="8" t="str">
        <f t="array" ref="Q1227">XLOOKUP(D1227,Product_Dim!A:A,Product_Dim!C:C,"Not Found")</f>
        <v>Home</v>
      </c>
      <c r="R1227" s="8" t="str">
        <f t="array" ref="R1227">XLOOKUP(E1227,Store_Dim!A:A,Store_Dim!B:B,"Not Found")</f>
        <v>East</v>
      </c>
      <c r="S1227" s="8" t="str">
        <f t="array" ref="S1227">XLOOKUP(E1227,Store_Dim!A:A,Store_Dim!D:D,"Not Found")</f>
        <v>Flagship</v>
      </c>
    </row>
    <row r="1228" ht="14.25" customHeight="1">
      <c r="A1228" s="8" t="s">
        <v>3181</v>
      </c>
      <c r="B1228" s="12">
        <v>46706.0</v>
      </c>
      <c r="C1228" s="8" t="s">
        <v>1032</v>
      </c>
      <c r="D1228" s="8" t="s">
        <v>1638</v>
      </c>
      <c r="E1228" s="8" t="s">
        <v>1939</v>
      </c>
      <c r="F1228" s="8">
        <v>3.0</v>
      </c>
      <c r="G1228" s="8">
        <v>726.97</v>
      </c>
      <c r="H1228" s="8">
        <v>0.04</v>
      </c>
      <c r="I1228" s="8">
        <f t="shared" si="1"/>
        <v>2180.91</v>
      </c>
      <c r="J1228" s="8">
        <f t="shared" si="2"/>
        <v>-87.1964</v>
      </c>
      <c r="K1228" s="8" t="str">
        <f t="shared" si="3"/>
        <v>Nov</v>
      </c>
      <c r="L1228" s="8">
        <f t="shared" si="4"/>
        <v>2027</v>
      </c>
      <c r="N1228" s="8" t="str">
        <f t="array" ref="N1228">XLOOKUP(C1228,Customer_Dim!A:A,Customer_Dim!B:B,"Not Found")</f>
        <v>Kristy Dunlap</v>
      </c>
      <c r="O1228" s="8" t="str">
        <f t="array" ref="O1228">XLOOKUP(C1228,Customer_Dim!A:A,Customer_Dim!E:E,"Not Found")</f>
        <v>Whiteport</v>
      </c>
      <c r="P1228" s="8" t="str">
        <f t="array" ref="P1228">XLOOKUP(D1228,Product_Dim!A:A,Product_Dim!B:B,"Not Found")</f>
        <v>Knee Support Brace</v>
      </c>
      <c r="Q1228" s="8" t="str">
        <f t="array" ref="Q1228">XLOOKUP(D1228,Product_Dim!A:A,Product_Dim!C:C,"Not Found")</f>
        <v>Sports</v>
      </c>
      <c r="R1228" s="8" t="str">
        <f t="array" ref="R1228">XLOOKUP(E1228,Store_Dim!A:A,Store_Dim!B:B,"Not Found")</f>
        <v>East</v>
      </c>
      <c r="S1228" s="8" t="str">
        <f t="array" ref="S1228">XLOOKUP(E1228,Store_Dim!A:A,Store_Dim!D:D,"Not Found")</f>
        <v>Flagship</v>
      </c>
    </row>
    <row r="1229" ht="14.25" customHeight="1">
      <c r="A1229" s="8" t="s">
        <v>3182</v>
      </c>
      <c r="B1229" s="12">
        <v>46707.0</v>
      </c>
      <c r="C1229" s="8" t="s">
        <v>1285</v>
      </c>
      <c r="D1229" s="8" t="s">
        <v>1766</v>
      </c>
      <c r="E1229" s="8" t="s">
        <v>1924</v>
      </c>
      <c r="F1229" s="8">
        <v>2.0</v>
      </c>
      <c r="G1229" s="8">
        <v>107.97</v>
      </c>
      <c r="H1229" s="8">
        <v>0.06</v>
      </c>
      <c r="I1229" s="8">
        <f t="shared" si="1"/>
        <v>215.94</v>
      </c>
      <c r="J1229" s="8">
        <f t="shared" si="2"/>
        <v>-12.8964</v>
      </c>
      <c r="K1229" s="8" t="str">
        <f t="shared" si="3"/>
        <v>Nov</v>
      </c>
      <c r="L1229" s="8">
        <f t="shared" si="4"/>
        <v>2027</v>
      </c>
      <c r="N1229" s="8" t="str">
        <f t="array" ref="N1229">XLOOKUP(C1229,Customer_Dim!A:A,Customer_Dim!B:B,"Not Found")</f>
        <v>Isabel Foster</v>
      </c>
      <c r="O1229" s="8" t="str">
        <f t="array" ref="O1229">XLOOKUP(C1229,Customer_Dim!A:A,Customer_Dim!E:E,"Not Found")</f>
        <v>Port Joshuaville</v>
      </c>
      <c r="P1229" s="8" t="str">
        <f t="array" ref="P1229">XLOOKUP(D1229,Product_Dim!A:A,Product_Dim!B:B,"Not Found")</f>
        <v>Men's Hair Styling Gel</v>
      </c>
      <c r="Q1229" s="8" t="str">
        <f t="array" ref="Q1229">XLOOKUP(D1229,Product_Dim!A:A,Product_Dim!C:C,"Not Found")</f>
        <v>Beauty</v>
      </c>
      <c r="R1229" s="8" t="str">
        <f t="array" ref="R1229">XLOOKUP(E1229,Store_Dim!A:A,Store_Dim!B:B,"Not Found")</f>
        <v>South</v>
      </c>
      <c r="S1229" s="8" t="str">
        <f t="array" ref="S1229">XLOOKUP(E1229,Store_Dim!A:A,Store_Dim!D:D,"Not Found")</f>
        <v>Flagship</v>
      </c>
    </row>
    <row r="1230" ht="14.25" customHeight="1">
      <c r="A1230" s="8" t="s">
        <v>3183</v>
      </c>
      <c r="B1230" s="12">
        <v>46708.0</v>
      </c>
      <c r="C1230" s="8" t="s">
        <v>48</v>
      </c>
      <c r="D1230" s="8" t="s">
        <v>1583</v>
      </c>
      <c r="E1230" s="8" t="s">
        <v>1932</v>
      </c>
      <c r="F1230" s="8">
        <v>1.0</v>
      </c>
      <c r="G1230" s="8">
        <v>38.88</v>
      </c>
      <c r="H1230" s="8">
        <v>0.16</v>
      </c>
      <c r="I1230" s="8">
        <f t="shared" si="1"/>
        <v>38.88</v>
      </c>
      <c r="J1230" s="8">
        <f t="shared" si="2"/>
        <v>-6.0608</v>
      </c>
      <c r="K1230" s="8" t="str">
        <f t="shared" si="3"/>
        <v>Nov</v>
      </c>
      <c r="L1230" s="8">
        <f t="shared" si="4"/>
        <v>2027</v>
      </c>
      <c r="N1230" s="8" t="str">
        <f t="array" ref="N1230">XLOOKUP(C1230,Customer_Dim!A:A,Customer_Dim!B:B,"Not Found")</f>
        <v>Daniel Boyd</v>
      </c>
      <c r="O1230" s="8" t="str">
        <f t="array" ref="O1230">XLOOKUP(C1230,Customer_Dim!A:A,Customer_Dim!E:E,"Not Found")</f>
        <v>West Pamelafurt</v>
      </c>
      <c r="P1230" s="8" t="str">
        <f t="array" ref="P1230">XLOOKUP(D1230,Product_Dim!A:A,Product_Dim!B:B,"Not Found")</f>
        <v>Men's Leather Belt</v>
      </c>
      <c r="Q1230" s="8" t="str">
        <f t="array" ref="Q1230">XLOOKUP(D1230,Product_Dim!A:A,Product_Dim!C:C,"Not Found")</f>
        <v>Clothing</v>
      </c>
      <c r="R1230" s="8" t="str">
        <f t="array" ref="R1230">XLOOKUP(E1230,Store_Dim!A:A,Store_Dim!B:B,"Not Found")</f>
        <v>South</v>
      </c>
      <c r="S1230" s="8" t="str">
        <f t="array" ref="S1230">XLOOKUP(E1230,Store_Dim!A:A,Store_Dim!D:D,"Not Found")</f>
        <v>Outlet</v>
      </c>
    </row>
    <row r="1231" ht="14.25" customHeight="1">
      <c r="A1231" s="8" t="s">
        <v>3184</v>
      </c>
      <c r="B1231" s="12">
        <v>46709.0</v>
      </c>
      <c r="C1231" s="8" t="s">
        <v>294</v>
      </c>
      <c r="D1231" s="8" t="s">
        <v>1989</v>
      </c>
      <c r="E1231" s="8" t="s">
        <v>1937</v>
      </c>
      <c r="F1231" s="8">
        <v>3.0</v>
      </c>
      <c r="G1231" s="8">
        <v>484.39</v>
      </c>
      <c r="H1231" s="8">
        <v>0.29</v>
      </c>
      <c r="I1231" s="8">
        <f t="shared" si="1"/>
        <v>1453.17</v>
      </c>
      <c r="J1231" s="8">
        <f t="shared" si="2"/>
        <v>-421.1293</v>
      </c>
      <c r="K1231" s="8" t="str">
        <f t="shared" si="3"/>
        <v>Nov</v>
      </c>
      <c r="L1231" s="8">
        <f t="shared" si="4"/>
        <v>2027</v>
      </c>
      <c r="N1231" s="8" t="str">
        <f t="array" ref="N1231">XLOOKUP(C1231,Customer_Dim!A:A,Customer_Dim!B:B,"Not Found")</f>
        <v>Cody Blake</v>
      </c>
      <c r="O1231" s="8" t="str">
        <f t="array" ref="O1231">XLOOKUP(C1231,Customer_Dim!A:A,Customer_Dim!E:E,"Not Found")</f>
        <v>North Scottport</v>
      </c>
      <c r="P1231" s="8" t="str">
        <f t="array" ref="P1231">XLOOKUP(D1231,Product_Dim!A:A,Product_Dim!B:B,"Not Found")</f>
        <v>Not Found</v>
      </c>
      <c r="Q1231" s="8" t="str">
        <f t="array" ref="Q1231">XLOOKUP(D1231,Product_Dim!A:A,Product_Dim!C:C,"Not Found")</f>
        <v>Not Found</v>
      </c>
      <c r="R1231" s="8" t="str">
        <f t="array" ref="R1231">XLOOKUP(E1231,Store_Dim!A:A,Store_Dim!B:B,"Not Found")</f>
        <v>North</v>
      </c>
      <c r="S1231" s="8" t="str">
        <f t="array" ref="S1231">XLOOKUP(E1231,Store_Dim!A:A,Store_Dim!D:D,"Not Found")</f>
        <v>Flagship</v>
      </c>
    </row>
    <row r="1232" ht="14.25" customHeight="1">
      <c r="A1232" s="8" t="s">
        <v>3185</v>
      </c>
      <c r="B1232" s="12">
        <v>46710.0</v>
      </c>
      <c r="C1232" s="8" t="s">
        <v>91</v>
      </c>
      <c r="D1232" s="8" t="s">
        <v>1830</v>
      </c>
      <c r="E1232" s="8" t="s">
        <v>1933</v>
      </c>
      <c r="F1232" s="8">
        <v>2.0</v>
      </c>
      <c r="G1232" s="8">
        <v>949.3</v>
      </c>
      <c r="H1232" s="8">
        <v>0.08</v>
      </c>
      <c r="I1232" s="8">
        <f t="shared" si="1"/>
        <v>1898.6</v>
      </c>
      <c r="J1232" s="8">
        <f t="shared" si="2"/>
        <v>-151.808</v>
      </c>
      <c r="K1232" s="8" t="str">
        <f t="shared" si="3"/>
        <v>Nov</v>
      </c>
      <c r="L1232" s="8">
        <f t="shared" si="4"/>
        <v>2027</v>
      </c>
      <c r="N1232" s="8" t="str">
        <f t="array" ref="N1232">XLOOKUP(C1232,Customer_Dim!A:A,Customer_Dim!B:B,"Not Found")</f>
        <v>Rhonda Moss</v>
      </c>
      <c r="O1232" s="8" t="str">
        <f t="array" ref="O1232">XLOOKUP(C1232,Customer_Dim!A:A,Customer_Dim!E:E,"Not Found")</f>
        <v>South William</v>
      </c>
      <c r="P1232" s="8" t="str">
        <f t="array" ref="P1232">XLOOKUP(D1232,Product_Dim!A:A,Product_Dim!B:B,"Not Found")</f>
        <v>Wall-Mounted Spice Rack</v>
      </c>
      <c r="Q1232" s="8" t="str">
        <f t="array" ref="Q1232">XLOOKUP(D1232,Product_Dim!A:A,Product_Dim!C:C,"Not Found")</f>
        <v>Home</v>
      </c>
      <c r="R1232" s="8" t="str">
        <f t="array" ref="R1232">XLOOKUP(E1232,Store_Dim!A:A,Store_Dim!B:B,"Not Found")</f>
        <v>North</v>
      </c>
      <c r="S1232" s="8" t="str">
        <f t="array" ref="S1232">XLOOKUP(E1232,Store_Dim!A:A,Store_Dim!D:D,"Not Found")</f>
        <v>Flagship</v>
      </c>
    </row>
    <row r="1233" ht="14.25" customHeight="1">
      <c r="A1233" s="8" t="s">
        <v>3186</v>
      </c>
      <c r="B1233" s="12">
        <v>46711.0</v>
      </c>
      <c r="C1233" s="8" t="s">
        <v>1359</v>
      </c>
      <c r="D1233" s="8" t="s">
        <v>1803</v>
      </c>
      <c r="E1233" s="8" t="s">
        <v>1917</v>
      </c>
      <c r="F1233" s="8">
        <v>3.0</v>
      </c>
      <c r="G1233" s="8">
        <v>664.75</v>
      </c>
      <c r="H1233" s="8">
        <v>0.12</v>
      </c>
      <c r="I1233" s="8">
        <f t="shared" si="1"/>
        <v>1994.25</v>
      </c>
      <c r="J1233" s="8">
        <f t="shared" si="2"/>
        <v>-239.19</v>
      </c>
      <c r="K1233" s="8" t="str">
        <f t="shared" si="3"/>
        <v>Nov</v>
      </c>
      <c r="L1233" s="8">
        <f t="shared" si="4"/>
        <v>2027</v>
      </c>
      <c r="N1233" s="8" t="str">
        <f t="array" ref="N1233">XLOOKUP(C1233,Customer_Dim!A:A,Customer_Dim!B:B,"Not Found")</f>
        <v>Thomas Moore</v>
      </c>
      <c r="O1233" s="8" t="str">
        <f t="array" ref="O1233">XLOOKUP(C1233,Customer_Dim!A:A,Customer_Dim!E:E,"Not Found")</f>
        <v>Williamsberg</v>
      </c>
      <c r="P1233" s="8" t="str">
        <f t="array" ref="P1233">XLOOKUP(D1233,Product_Dim!A:A,Product_Dim!B:B,"Not Found")</f>
        <v>Hair Repair Oil Treatment</v>
      </c>
      <c r="Q1233" s="8" t="str">
        <f t="array" ref="Q1233">XLOOKUP(D1233,Product_Dim!A:A,Product_Dim!C:C,"Not Found")</f>
        <v>Beauty</v>
      </c>
      <c r="R1233" s="8" t="str">
        <f t="array" ref="R1233">XLOOKUP(E1233,Store_Dim!A:A,Store_Dim!B:B,"Not Found")</f>
        <v>East</v>
      </c>
      <c r="S1233" s="8" t="str">
        <f t="array" ref="S1233">XLOOKUP(E1233,Store_Dim!A:A,Store_Dim!D:D,"Not Found")</f>
        <v>Online</v>
      </c>
    </row>
    <row r="1234" ht="14.25" customHeight="1">
      <c r="A1234" s="8" t="s">
        <v>3187</v>
      </c>
      <c r="B1234" s="12">
        <v>46712.0</v>
      </c>
      <c r="C1234" s="8" t="s">
        <v>911</v>
      </c>
      <c r="D1234" s="8" t="s">
        <v>1800</v>
      </c>
      <c r="E1234" s="8" t="s">
        <v>1937</v>
      </c>
      <c r="F1234" s="8">
        <v>3.0</v>
      </c>
      <c r="G1234" s="8">
        <v>190.04</v>
      </c>
      <c r="H1234" s="8">
        <v>0.07</v>
      </c>
      <c r="I1234" s="8">
        <f t="shared" si="1"/>
        <v>570.12</v>
      </c>
      <c r="J1234" s="8">
        <f t="shared" si="2"/>
        <v>-39.8384</v>
      </c>
      <c r="K1234" s="8" t="str">
        <f t="shared" si="3"/>
        <v>Nov</v>
      </c>
      <c r="L1234" s="8">
        <f t="shared" si="4"/>
        <v>2027</v>
      </c>
      <c r="N1234" s="8" t="str">
        <f t="array" ref="N1234">XLOOKUP(C1234,Customer_Dim!A:A,Customer_Dim!B:B,"Not Found")</f>
        <v>Kristi Lopez</v>
      </c>
      <c r="O1234" s="8" t="str">
        <f t="array" ref="O1234">XLOOKUP(C1234,Customer_Dim!A:A,Customer_Dim!E:E,"Not Found")</f>
        <v>Spencermouth</v>
      </c>
      <c r="P1234" s="8" t="str">
        <f t="array" ref="P1234">XLOOKUP(D1234,Product_Dim!A:A,Product_Dim!B:B,"Not Found")</f>
        <v>Kitchen Storage Rack</v>
      </c>
      <c r="Q1234" s="8" t="str">
        <f t="array" ref="Q1234">XLOOKUP(D1234,Product_Dim!A:A,Product_Dim!C:C,"Not Found")</f>
        <v>Home</v>
      </c>
      <c r="R1234" s="8" t="str">
        <f t="array" ref="R1234">XLOOKUP(E1234,Store_Dim!A:A,Store_Dim!B:B,"Not Found")</f>
        <v>North</v>
      </c>
      <c r="S1234" s="8" t="str">
        <f t="array" ref="S1234">XLOOKUP(E1234,Store_Dim!A:A,Store_Dim!D:D,"Not Found")</f>
        <v>Flagship</v>
      </c>
    </row>
    <row r="1235" ht="14.25" customHeight="1">
      <c r="A1235" s="8" t="s">
        <v>3188</v>
      </c>
      <c r="B1235" s="12">
        <v>46713.0</v>
      </c>
      <c r="C1235" s="8" t="s">
        <v>896</v>
      </c>
      <c r="D1235" s="8" t="s">
        <v>1592</v>
      </c>
      <c r="E1235" s="8" t="s">
        <v>1933</v>
      </c>
      <c r="F1235" s="8">
        <v>3.0</v>
      </c>
      <c r="G1235" s="8">
        <v>754.02</v>
      </c>
      <c r="H1235" s="8">
        <v>0.1</v>
      </c>
      <c r="I1235" s="8">
        <f t="shared" si="1"/>
        <v>2262.06</v>
      </c>
      <c r="J1235" s="8">
        <f t="shared" si="2"/>
        <v>-226.106</v>
      </c>
      <c r="K1235" s="8" t="str">
        <f t="shared" si="3"/>
        <v>Nov</v>
      </c>
      <c r="L1235" s="8">
        <f t="shared" si="4"/>
        <v>2027</v>
      </c>
      <c r="N1235" s="8" t="str">
        <f t="array" ref="N1235">XLOOKUP(C1235,Customer_Dim!A:A,Customer_Dim!B:B,"Not Found")</f>
        <v>Jeffrey Gomez</v>
      </c>
      <c r="O1235" s="8" t="str">
        <f t="array" ref="O1235">XLOOKUP(C1235,Customer_Dim!A:A,Customer_Dim!E:E,"Not Found")</f>
        <v>Lake Nicole</v>
      </c>
      <c r="P1235" s="8" t="str">
        <f t="array" ref="P1235">XLOOKUP(D1235,Product_Dim!A:A,Product_Dim!B:B,"Not Found")</f>
        <v>LED Table Lamp</v>
      </c>
      <c r="Q1235" s="8" t="str">
        <f t="array" ref="Q1235">XLOOKUP(D1235,Product_Dim!A:A,Product_Dim!C:C,"Not Found")</f>
        <v>Home</v>
      </c>
      <c r="R1235" s="8" t="str">
        <f t="array" ref="R1235">XLOOKUP(E1235,Store_Dim!A:A,Store_Dim!B:B,"Not Found")</f>
        <v>North</v>
      </c>
      <c r="S1235" s="8" t="str">
        <f t="array" ref="S1235">XLOOKUP(E1235,Store_Dim!A:A,Store_Dim!D:D,"Not Found")</f>
        <v>Flagship</v>
      </c>
    </row>
    <row r="1236" ht="14.25" customHeight="1">
      <c r="A1236" s="8" t="s">
        <v>3189</v>
      </c>
      <c r="B1236" s="12">
        <v>46714.0</v>
      </c>
      <c r="C1236" s="8" t="s">
        <v>1215</v>
      </c>
      <c r="D1236" s="8" t="s">
        <v>1687</v>
      </c>
      <c r="E1236" s="8" t="s">
        <v>1929</v>
      </c>
      <c r="F1236" s="8">
        <v>4.0</v>
      </c>
      <c r="G1236" s="8">
        <v>94.13</v>
      </c>
      <c r="H1236" s="8">
        <v>0.04</v>
      </c>
      <c r="I1236" s="8">
        <f t="shared" si="1"/>
        <v>376.52</v>
      </c>
      <c r="J1236" s="8">
        <f t="shared" si="2"/>
        <v>-15.0208</v>
      </c>
      <c r="K1236" s="8" t="str">
        <f t="shared" si="3"/>
        <v>Nov</v>
      </c>
      <c r="L1236" s="8">
        <f t="shared" si="4"/>
        <v>2027</v>
      </c>
      <c r="N1236" s="8" t="str">
        <f t="array" ref="N1236">XLOOKUP(C1236,Customer_Dim!A:A,Customer_Dim!B:B,"Not Found")</f>
        <v>Andrew Mason</v>
      </c>
      <c r="O1236" s="8" t="str">
        <f t="array" ref="O1236">XLOOKUP(C1236,Customer_Dim!A:A,Customer_Dim!E:E,"Not Found")</f>
        <v>North Michael</v>
      </c>
      <c r="P1236" s="8" t="str">
        <f t="array" ref="P1236">XLOOKUP(D1236,Product_Dim!A:A,Product_Dim!B:B,"Not Found")</f>
        <v>Gaming Mechanical Keyboard</v>
      </c>
      <c r="Q1236" s="8" t="str">
        <f t="array" ref="Q1236">XLOOKUP(D1236,Product_Dim!A:A,Product_Dim!C:C,"Not Found")</f>
        <v>Electronics</v>
      </c>
      <c r="R1236" s="8" t="str">
        <f t="array" ref="R1236">XLOOKUP(E1236,Store_Dim!A:A,Store_Dim!B:B,"Not Found")</f>
        <v>North</v>
      </c>
      <c r="S1236" s="8" t="str">
        <f t="array" ref="S1236">XLOOKUP(E1236,Store_Dim!A:A,Store_Dim!D:D,"Not Found")</f>
        <v>Online</v>
      </c>
    </row>
    <row r="1237" ht="14.25" customHeight="1">
      <c r="A1237" s="8" t="s">
        <v>3190</v>
      </c>
      <c r="B1237" s="12">
        <v>46715.0</v>
      </c>
      <c r="C1237" s="8" t="s">
        <v>1459</v>
      </c>
      <c r="D1237" s="8" t="s">
        <v>1567</v>
      </c>
      <c r="E1237" s="8" t="s">
        <v>1933</v>
      </c>
      <c r="F1237" s="8">
        <v>3.0</v>
      </c>
      <c r="G1237" s="8">
        <v>402.3</v>
      </c>
      <c r="H1237" s="8">
        <v>0.21</v>
      </c>
      <c r="I1237" s="8">
        <f t="shared" si="1"/>
        <v>1206.9</v>
      </c>
      <c r="J1237" s="8">
        <f t="shared" si="2"/>
        <v>-253.239</v>
      </c>
      <c r="K1237" s="8" t="str">
        <f t="shared" si="3"/>
        <v>Nov</v>
      </c>
      <c r="L1237" s="8">
        <f t="shared" si="4"/>
        <v>2027</v>
      </c>
      <c r="N1237" s="8" t="str">
        <f t="array" ref="N1237">XLOOKUP(C1237,Customer_Dim!A:A,Customer_Dim!B:B,"Not Found")</f>
        <v>Gregory Curtis</v>
      </c>
      <c r="O1237" s="8" t="str">
        <f t="array" ref="O1237">XLOOKUP(C1237,Customer_Dim!A:A,Customer_Dim!E:E,"Not Found")</f>
        <v>Bergermouth</v>
      </c>
      <c r="P1237" s="8" t="str">
        <f t="array" ref="P1237">XLOOKUP(D1237,Product_Dim!A:A,Product_Dim!B:B,"Not Found")</f>
        <v>Men's Graphic T-Shirt</v>
      </c>
      <c r="Q1237" s="8" t="str">
        <f t="array" ref="Q1237">XLOOKUP(D1237,Product_Dim!A:A,Product_Dim!C:C,"Not Found")</f>
        <v>Clothing</v>
      </c>
      <c r="R1237" s="8" t="str">
        <f t="array" ref="R1237">XLOOKUP(E1237,Store_Dim!A:A,Store_Dim!B:B,"Not Found")</f>
        <v>North</v>
      </c>
      <c r="S1237" s="8" t="str">
        <f t="array" ref="S1237">XLOOKUP(E1237,Store_Dim!A:A,Store_Dim!D:D,"Not Found")</f>
        <v>Flagship</v>
      </c>
    </row>
    <row r="1238" ht="14.25" customHeight="1">
      <c r="A1238" s="8" t="s">
        <v>3191</v>
      </c>
      <c r="B1238" s="12">
        <v>46716.0</v>
      </c>
      <c r="C1238" s="8" t="s">
        <v>782</v>
      </c>
      <c r="D1238" s="8" t="s">
        <v>1848</v>
      </c>
      <c r="E1238" s="8" t="s">
        <v>1919</v>
      </c>
      <c r="F1238" s="8">
        <v>1.0</v>
      </c>
      <c r="G1238" s="8">
        <v>729.05</v>
      </c>
      <c r="H1238" s="8">
        <v>0.06</v>
      </c>
      <c r="I1238" s="8">
        <f t="shared" si="1"/>
        <v>729.05</v>
      </c>
      <c r="J1238" s="8">
        <f t="shared" si="2"/>
        <v>-43.683</v>
      </c>
      <c r="K1238" s="8" t="str">
        <f t="shared" si="3"/>
        <v>Nov</v>
      </c>
      <c r="L1238" s="8">
        <f t="shared" si="4"/>
        <v>2027</v>
      </c>
      <c r="N1238" s="8" t="str">
        <f t="array" ref="N1238">XLOOKUP(C1238,Customer_Dim!A:A,Customer_Dim!B:B,"Not Found")</f>
        <v>Maria Hill</v>
      </c>
      <c r="O1238" s="8" t="str">
        <f t="array" ref="O1238">XLOOKUP(C1238,Customer_Dim!A:A,Customer_Dim!E:E,"Not Found")</f>
        <v>Zamoraborough</v>
      </c>
      <c r="P1238" s="8" t="str">
        <f t="array" ref="P1238">XLOOKUP(D1238,Product_Dim!A:A,Product_Dim!B:B,"Not Found")</f>
        <v>Kitchen Cutting Board</v>
      </c>
      <c r="Q1238" s="8" t="str">
        <f t="array" ref="Q1238">XLOOKUP(D1238,Product_Dim!A:A,Product_Dim!C:C,"Not Found")</f>
        <v>Home</v>
      </c>
      <c r="R1238" s="8" t="str">
        <f t="array" ref="R1238">XLOOKUP(E1238,Store_Dim!A:A,Store_Dim!B:B,"Not Found")</f>
        <v>South</v>
      </c>
      <c r="S1238" s="8" t="str">
        <f t="array" ref="S1238">XLOOKUP(E1238,Store_Dim!A:A,Store_Dim!D:D,"Not Found")</f>
        <v>Online</v>
      </c>
    </row>
    <row r="1239" ht="14.25" customHeight="1">
      <c r="A1239" s="8" t="s">
        <v>3192</v>
      </c>
      <c r="B1239" s="12">
        <v>46717.0</v>
      </c>
      <c r="C1239" s="8" t="s">
        <v>470</v>
      </c>
      <c r="D1239" s="8" t="s">
        <v>1860</v>
      </c>
      <c r="E1239" s="8" t="s">
        <v>1931</v>
      </c>
      <c r="F1239" s="8">
        <v>1.0</v>
      </c>
      <c r="G1239" s="8">
        <v>822.6</v>
      </c>
      <c r="H1239" s="8">
        <v>0.29</v>
      </c>
      <c r="I1239" s="8">
        <f t="shared" si="1"/>
        <v>822.6</v>
      </c>
      <c r="J1239" s="8">
        <f t="shared" si="2"/>
        <v>-238.264</v>
      </c>
      <c r="K1239" s="8" t="str">
        <f t="shared" si="3"/>
        <v>Nov</v>
      </c>
      <c r="L1239" s="8">
        <f t="shared" si="4"/>
        <v>2027</v>
      </c>
      <c r="N1239" s="8" t="str">
        <f t="array" ref="N1239">XLOOKUP(C1239,Customer_Dim!A:A,Customer_Dim!B:B,"Not Found")</f>
        <v>Morgan Bowen</v>
      </c>
      <c r="O1239" s="8" t="str">
        <f t="array" ref="O1239">XLOOKUP(C1239,Customer_Dim!A:A,Customer_Dim!E:E,"Not Found")</f>
        <v>Parksfort</v>
      </c>
      <c r="P1239" s="8" t="str">
        <f t="array" ref="P1239">XLOOKUP(D1239,Product_Dim!A:A,Product_Dim!B:B,"Not Found")</f>
        <v>Gaming Mouse Pad XL</v>
      </c>
      <c r="Q1239" s="8" t="str">
        <f t="array" ref="Q1239">XLOOKUP(D1239,Product_Dim!A:A,Product_Dim!C:C,"Not Found")</f>
        <v>Electronics</v>
      </c>
      <c r="R1239" s="8" t="str">
        <f t="array" ref="R1239">XLOOKUP(E1239,Store_Dim!A:A,Store_Dim!B:B,"Not Found")</f>
        <v>East</v>
      </c>
      <c r="S1239" s="8" t="str">
        <f t="array" ref="S1239">XLOOKUP(E1239,Store_Dim!A:A,Store_Dim!D:D,"Not Found")</f>
        <v>Flagship</v>
      </c>
    </row>
    <row r="1240" ht="14.25" customHeight="1">
      <c r="A1240" s="8" t="s">
        <v>3193</v>
      </c>
      <c r="B1240" s="12">
        <v>46718.0</v>
      </c>
      <c r="C1240" s="8" t="s">
        <v>646</v>
      </c>
      <c r="D1240" s="8" t="s">
        <v>1839</v>
      </c>
      <c r="E1240" s="8" t="s">
        <v>1921</v>
      </c>
      <c r="F1240" s="8">
        <v>2.0</v>
      </c>
      <c r="G1240" s="8">
        <v>327.25</v>
      </c>
      <c r="H1240" s="8">
        <v>0.19</v>
      </c>
      <c r="I1240" s="8">
        <f t="shared" si="1"/>
        <v>654.5</v>
      </c>
      <c r="J1240" s="8">
        <f t="shared" si="2"/>
        <v>-124.165</v>
      </c>
      <c r="K1240" s="8" t="str">
        <f t="shared" si="3"/>
        <v>Nov</v>
      </c>
      <c r="L1240" s="8">
        <f t="shared" si="4"/>
        <v>2027</v>
      </c>
      <c r="N1240" s="8" t="str">
        <f t="array" ref="N1240">XLOOKUP(C1240,Customer_Dim!A:A,Customer_Dim!B:B,"Not Found")</f>
        <v>David Roberts</v>
      </c>
      <c r="O1240" s="8" t="str">
        <f t="array" ref="O1240">XLOOKUP(C1240,Customer_Dim!A:A,Customer_Dim!E:E,"Not Found")</f>
        <v>Port Amanda</v>
      </c>
      <c r="P1240" s="8" t="str">
        <f t="array" ref="P1240">XLOOKUP(D1240,Product_Dim!A:A,Product_Dim!B:B,"Not Found")</f>
        <v>Hydrating Face Cleanser</v>
      </c>
      <c r="Q1240" s="8" t="str">
        <f t="array" ref="Q1240">XLOOKUP(D1240,Product_Dim!A:A,Product_Dim!C:C,"Not Found")</f>
        <v>Beauty</v>
      </c>
      <c r="R1240" s="8" t="str">
        <f t="array" ref="R1240">XLOOKUP(E1240,Store_Dim!A:A,Store_Dim!B:B,"Not Found")</f>
        <v>West</v>
      </c>
      <c r="S1240" s="8" t="str">
        <f t="array" ref="S1240">XLOOKUP(E1240,Store_Dim!A:A,Store_Dim!D:D,"Not Found")</f>
        <v>Online</v>
      </c>
    </row>
    <row r="1241" ht="14.25" customHeight="1">
      <c r="A1241" s="8" t="s">
        <v>3194</v>
      </c>
      <c r="B1241" s="12">
        <v>46719.0</v>
      </c>
      <c r="C1241" s="8" t="s">
        <v>314</v>
      </c>
      <c r="D1241" s="8" t="s">
        <v>1800</v>
      </c>
      <c r="E1241" s="8" t="s">
        <v>1924</v>
      </c>
      <c r="F1241" s="8">
        <v>4.0</v>
      </c>
      <c r="G1241" s="8">
        <v>930.38</v>
      </c>
      <c r="H1241" s="8">
        <v>0.0</v>
      </c>
      <c r="I1241" s="8">
        <f t="shared" si="1"/>
        <v>3721.52</v>
      </c>
      <c r="J1241" s="8">
        <f t="shared" si="2"/>
        <v>0</v>
      </c>
      <c r="K1241" s="8" t="str">
        <f t="shared" si="3"/>
        <v>Nov</v>
      </c>
      <c r="L1241" s="8">
        <f t="shared" si="4"/>
        <v>2027</v>
      </c>
      <c r="N1241" s="8" t="str">
        <f t="array" ref="N1241">XLOOKUP(C1241,Customer_Dim!A:A,Customer_Dim!B:B,"Not Found")</f>
        <v>Christy Hoffman</v>
      </c>
      <c r="O1241" s="8" t="str">
        <f t="array" ref="O1241">XLOOKUP(C1241,Customer_Dim!A:A,Customer_Dim!E:E,"Not Found")</f>
        <v>Garyberg</v>
      </c>
      <c r="P1241" s="8" t="str">
        <f t="array" ref="P1241">XLOOKUP(D1241,Product_Dim!A:A,Product_Dim!B:B,"Not Found")</f>
        <v>Kitchen Storage Rack</v>
      </c>
      <c r="Q1241" s="8" t="str">
        <f t="array" ref="Q1241">XLOOKUP(D1241,Product_Dim!A:A,Product_Dim!C:C,"Not Found")</f>
        <v>Home</v>
      </c>
      <c r="R1241" s="8" t="str">
        <f t="array" ref="R1241">XLOOKUP(E1241,Store_Dim!A:A,Store_Dim!B:B,"Not Found")</f>
        <v>South</v>
      </c>
      <c r="S1241" s="8" t="str">
        <f t="array" ref="S1241">XLOOKUP(E1241,Store_Dim!A:A,Store_Dim!D:D,"Not Found")</f>
        <v>Flagship</v>
      </c>
    </row>
    <row r="1242" ht="14.25" customHeight="1">
      <c r="A1242" s="8" t="s">
        <v>3195</v>
      </c>
      <c r="B1242" s="12">
        <v>46720.0</v>
      </c>
      <c r="C1242" s="8" t="s">
        <v>499</v>
      </c>
      <c r="D1242" s="8" t="s">
        <v>1665</v>
      </c>
      <c r="E1242" s="8" t="s">
        <v>1915</v>
      </c>
      <c r="F1242" s="8">
        <v>2.0</v>
      </c>
      <c r="G1242" s="8">
        <v>437.84</v>
      </c>
      <c r="H1242" s="8">
        <v>0.24</v>
      </c>
      <c r="I1242" s="8">
        <f t="shared" si="1"/>
        <v>875.68</v>
      </c>
      <c r="J1242" s="8">
        <f t="shared" si="2"/>
        <v>-209.9232</v>
      </c>
      <c r="K1242" s="8" t="str">
        <f t="shared" si="3"/>
        <v>Nov</v>
      </c>
      <c r="L1242" s="8">
        <f t="shared" si="4"/>
        <v>2027</v>
      </c>
      <c r="N1242" s="8" t="str">
        <f t="array" ref="N1242">XLOOKUP(C1242,Customer_Dim!A:A,Customer_Dim!B:B,"Not Found")</f>
        <v>Justin Cross</v>
      </c>
      <c r="O1242" s="8" t="str">
        <f t="array" ref="O1242">XLOOKUP(C1242,Customer_Dim!A:A,Customer_Dim!E:E,"Not Found")</f>
        <v>North Anthonychester</v>
      </c>
      <c r="P1242" s="8" t="str">
        <f t="array" ref="P1242">XLOOKUP(D1242,Product_Dim!A:A,Product_Dim!B:B,"Not Found")</f>
        <v>Decorative Floor Vase</v>
      </c>
      <c r="Q1242" s="8" t="str">
        <f t="array" ref="Q1242">XLOOKUP(D1242,Product_Dim!A:A,Product_Dim!C:C,"Not Found")</f>
        <v>Home</v>
      </c>
      <c r="R1242" s="8" t="str">
        <f t="array" ref="R1242">XLOOKUP(E1242,Store_Dim!A:A,Store_Dim!B:B,"Not Found")</f>
        <v>North</v>
      </c>
      <c r="S1242" s="8" t="str">
        <f t="array" ref="S1242">XLOOKUP(E1242,Store_Dim!A:A,Store_Dim!D:D,"Not Found")</f>
        <v>Outlet</v>
      </c>
    </row>
    <row r="1243" ht="14.25" customHeight="1">
      <c r="A1243" s="8" t="s">
        <v>3196</v>
      </c>
      <c r="B1243" s="12">
        <v>46721.0</v>
      </c>
      <c r="C1243" s="8" t="s">
        <v>268</v>
      </c>
      <c r="D1243" s="8" t="s">
        <v>1989</v>
      </c>
      <c r="E1243" s="8" t="s">
        <v>1935</v>
      </c>
      <c r="F1243" s="8">
        <v>2.0</v>
      </c>
      <c r="G1243" s="8">
        <v>126.02</v>
      </c>
      <c r="H1243" s="8">
        <v>0.09</v>
      </c>
      <c r="I1243" s="8">
        <f t="shared" si="1"/>
        <v>252.04</v>
      </c>
      <c r="J1243" s="8">
        <f t="shared" si="2"/>
        <v>-22.5936</v>
      </c>
      <c r="K1243" s="8" t="str">
        <f t="shared" si="3"/>
        <v>Nov</v>
      </c>
      <c r="L1243" s="8">
        <f t="shared" si="4"/>
        <v>2027</v>
      </c>
      <c r="N1243" s="8" t="str">
        <f t="array" ref="N1243">XLOOKUP(C1243,Customer_Dim!A:A,Customer_Dim!B:B,"Not Found")</f>
        <v>Eric Singh</v>
      </c>
      <c r="O1243" s="8" t="str">
        <f t="array" ref="O1243">XLOOKUP(C1243,Customer_Dim!A:A,Customer_Dim!E:E,"Not Found")</f>
        <v>Port Lisa</v>
      </c>
      <c r="P1243" s="8" t="str">
        <f t="array" ref="P1243">XLOOKUP(D1243,Product_Dim!A:A,Product_Dim!B:B,"Not Found")</f>
        <v>Not Found</v>
      </c>
      <c r="Q1243" s="8" t="str">
        <f t="array" ref="Q1243">XLOOKUP(D1243,Product_Dim!A:A,Product_Dim!C:C,"Not Found")</f>
        <v>Not Found</v>
      </c>
      <c r="R1243" s="8" t="str">
        <f t="array" ref="R1243">XLOOKUP(E1243,Store_Dim!A:A,Store_Dim!B:B,"Not Found")</f>
        <v>West</v>
      </c>
      <c r="S1243" s="8" t="str">
        <f t="array" ref="S1243">XLOOKUP(E1243,Store_Dim!A:A,Store_Dim!D:D,"Not Found")</f>
        <v>Flagship</v>
      </c>
    </row>
    <row r="1244" ht="14.25" customHeight="1">
      <c r="A1244" s="8" t="s">
        <v>3197</v>
      </c>
      <c r="B1244" s="12">
        <v>46722.0</v>
      </c>
      <c r="C1244" s="8" t="s">
        <v>1371</v>
      </c>
      <c r="D1244" s="8" t="s">
        <v>1839</v>
      </c>
      <c r="E1244" s="8" t="s">
        <v>1933</v>
      </c>
      <c r="F1244" s="8">
        <v>1.0</v>
      </c>
      <c r="G1244" s="8">
        <v>860.84</v>
      </c>
      <c r="H1244" s="8">
        <v>0.07</v>
      </c>
      <c r="I1244" s="8">
        <f t="shared" si="1"/>
        <v>860.84</v>
      </c>
      <c r="J1244" s="8">
        <f t="shared" si="2"/>
        <v>-60.1888</v>
      </c>
      <c r="K1244" s="8" t="str">
        <f t="shared" si="3"/>
        <v>Dec</v>
      </c>
      <c r="L1244" s="8">
        <f t="shared" si="4"/>
        <v>2027</v>
      </c>
      <c r="N1244" s="8" t="str">
        <f t="array" ref="N1244">XLOOKUP(C1244,Customer_Dim!A:A,Customer_Dim!B:B,"Not Found")</f>
        <v>Melinda Rivera</v>
      </c>
      <c r="O1244" s="8" t="str">
        <f t="array" ref="O1244">XLOOKUP(C1244,Customer_Dim!A:A,Customer_Dim!E:E,"Not Found")</f>
        <v>East Davidmouth</v>
      </c>
      <c r="P1244" s="8" t="str">
        <f t="array" ref="P1244">XLOOKUP(D1244,Product_Dim!A:A,Product_Dim!B:B,"Not Found")</f>
        <v>Hydrating Face Cleanser</v>
      </c>
      <c r="Q1244" s="8" t="str">
        <f t="array" ref="Q1244">XLOOKUP(D1244,Product_Dim!A:A,Product_Dim!C:C,"Not Found")</f>
        <v>Beauty</v>
      </c>
      <c r="R1244" s="8" t="str">
        <f t="array" ref="R1244">XLOOKUP(E1244,Store_Dim!A:A,Store_Dim!B:B,"Not Found")</f>
        <v>North</v>
      </c>
      <c r="S1244" s="8" t="str">
        <f t="array" ref="S1244">XLOOKUP(E1244,Store_Dim!A:A,Store_Dim!D:D,"Not Found")</f>
        <v>Flagship</v>
      </c>
    </row>
    <row r="1245" ht="14.25" customHeight="1">
      <c r="A1245" s="8" t="s">
        <v>3198</v>
      </c>
      <c r="B1245" s="12">
        <v>46723.0</v>
      </c>
      <c r="C1245" s="8" t="s">
        <v>345</v>
      </c>
      <c r="D1245" s="8" t="s">
        <v>1732</v>
      </c>
      <c r="E1245" s="8" t="s">
        <v>1931</v>
      </c>
      <c r="F1245" s="8">
        <v>1.0</v>
      </c>
      <c r="G1245" s="8">
        <v>161.8</v>
      </c>
      <c r="H1245" s="8">
        <v>0.24</v>
      </c>
      <c r="I1245" s="8">
        <f t="shared" si="1"/>
        <v>161.8</v>
      </c>
      <c r="J1245" s="8">
        <f t="shared" si="2"/>
        <v>-38.592</v>
      </c>
      <c r="K1245" s="8" t="str">
        <f t="shared" si="3"/>
        <v>Dec</v>
      </c>
      <c r="L1245" s="8">
        <f t="shared" si="4"/>
        <v>2027</v>
      </c>
      <c r="N1245" s="8" t="str">
        <f t="array" ref="N1245">XLOOKUP(C1245,Customer_Dim!A:A,Customer_Dim!B:B,"Not Found")</f>
        <v>Christy Vasquez</v>
      </c>
      <c r="O1245" s="8" t="str">
        <f t="array" ref="O1245">XLOOKUP(C1245,Customer_Dim!A:A,Customer_Dim!E:E,"Not Found")</f>
        <v>Port Travisstad</v>
      </c>
      <c r="P1245" s="8" t="str">
        <f t="array" ref="P1245">XLOOKUP(D1245,Product_Dim!A:A,Product_Dim!B:B,"Not Found")</f>
        <v>Car Dashboard Phone Holder</v>
      </c>
      <c r="Q1245" s="8" t="str">
        <f t="array" ref="Q1245">XLOOKUP(D1245,Product_Dim!A:A,Product_Dim!C:C,"Not Found")</f>
        <v>Electronics</v>
      </c>
      <c r="R1245" s="8" t="str">
        <f t="array" ref="R1245">XLOOKUP(E1245,Store_Dim!A:A,Store_Dim!B:B,"Not Found")</f>
        <v>East</v>
      </c>
      <c r="S1245" s="8" t="str">
        <f t="array" ref="S1245">XLOOKUP(E1245,Store_Dim!A:A,Store_Dim!D:D,"Not Found")</f>
        <v>Flagship</v>
      </c>
    </row>
    <row r="1246" ht="14.25" customHeight="1">
      <c r="A1246" s="8" t="s">
        <v>3199</v>
      </c>
      <c r="B1246" s="12">
        <v>46724.0</v>
      </c>
      <c r="C1246" s="8" t="s">
        <v>1218</v>
      </c>
      <c r="D1246" s="8" t="s">
        <v>1700</v>
      </c>
      <c r="E1246" s="8" t="s">
        <v>1937</v>
      </c>
      <c r="F1246" s="8">
        <v>4.0</v>
      </c>
      <c r="G1246" s="8">
        <v>347.82</v>
      </c>
      <c r="H1246" s="8">
        <v>0.02</v>
      </c>
      <c r="I1246" s="8">
        <f t="shared" si="1"/>
        <v>1391.28</v>
      </c>
      <c r="J1246" s="8">
        <f t="shared" si="2"/>
        <v>-27.8056</v>
      </c>
      <c r="K1246" s="8" t="str">
        <f t="shared" si="3"/>
        <v>Dec</v>
      </c>
      <c r="L1246" s="8">
        <f t="shared" si="4"/>
        <v>2027</v>
      </c>
      <c r="N1246" s="8" t="str">
        <f t="array" ref="N1246">XLOOKUP(C1246,Customer_Dim!A:A,Customer_Dim!B:B,"Not Found")</f>
        <v>Tammy Brennan</v>
      </c>
      <c r="O1246" s="8" t="str">
        <f t="array" ref="O1246">XLOOKUP(C1246,Customer_Dim!A:A,Customer_Dim!E:E,"Not Found")</f>
        <v>Lake Brandontown</v>
      </c>
      <c r="P1246" s="8" t="str">
        <f t="array" ref="P1246">XLOOKUP(D1246,Product_Dim!A:A,Product_Dim!B:B,"Not Found")</f>
        <v>Sports Water Hydration Pack</v>
      </c>
      <c r="Q1246" s="8" t="str">
        <f t="array" ref="Q1246">XLOOKUP(D1246,Product_Dim!A:A,Product_Dim!C:C,"Not Found")</f>
        <v>Sports</v>
      </c>
      <c r="R1246" s="8" t="str">
        <f t="array" ref="R1246">XLOOKUP(E1246,Store_Dim!A:A,Store_Dim!B:B,"Not Found")</f>
        <v>North</v>
      </c>
      <c r="S1246" s="8" t="str">
        <f t="array" ref="S1246">XLOOKUP(E1246,Store_Dim!A:A,Store_Dim!D:D,"Not Found")</f>
        <v>Flagship</v>
      </c>
    </row>
    <row r="1247" ht="14.25" customHeight="1">
      <c r="A1247" s="8" t="s">
        <v>3200</v>
      </c>
      <c r="B1247" s="12">
        <v>46725.0</v>
      </c>
      <c r="C1247" s="8" t="s">
        <v>1416</v>
      </c>
      <c r="D1247" s="8" t="s">
        <v>1845</v>
      </c>
      <c r="E1247" s="8" t="s">
        <v>1935</v>
      </c>
      <c r="F1247" s="8">
        <v>3.0</v>
      </c>
      <c r="G1247" s="8">
        <v>416.44</v>
      </c>
      <c r="H1247" s="8">
        <v>0.27</v>
      </c>
      <c r="I1247" s="8">
        <f t="shared" si="1"/>
        <v>1249.32</v>
      </c>
      <c r="J1247" s="8">
        <f t="shared" si="2"/>
        <v>-337.0464</v>
      </c>
      <c r="K1247" s="8" t="str">
        <f t="shared" si="3"/>
        <v>Dec</v>
      </c>
      <c r="L1247" s="8">
        <f t="shared" si="4"/>
        <v>2027</v>
      </c>
      <c r="N1247" s="8" t="str">
        <f t="array" ref="N1247">XLOOKUP(C1247,Customer_Dim!A:A,Customer_Dim!B:B,"Not Found")</f>
        <v>April Phillips</v>
      </c>
      <c r="O1247" s="8" t="str">
        <f t="array" ref="O1247">XLOOKUP(C1247,Customer_Dim!A:A,Customer_Dim!E:E,"Not Found")</f>
        <v>Lake Carolyn</v>
      </c>
      <c r="P1247" s="8" t="str">
        <f t="array" ref="P1247">XLOOKUP(D1247,Product_Dim!A:A,Product_Dim!B:B,"Not Found")</f>
        <v>Women's Beanie Hat</v>
      </c>
      <c r="Q1247" s="8" t="str">
        <f t="array" ref="Q1247">XLOOKUP(D1247,Product_Dim!A:A,Product_Dim!C:C,"Not Found")</f>
        <v>Clothing</v>
      </c>
      <c r="R1247" s="8" t="str">
        <f t="array" ref="R1247">XLOOKUP(E1247,Store_Dim!A:A,Store_Dim!B:B,"Not Found")</f>
        <v>West</v>
      </c>
      <c r="S1247" s="8" t="str">
        <f t="array" ref="S1247">XLOOKUP(E1247,Store_Dim!A:A,Store_Dim!D:D,"Not Found")</f>
        <v>Flagship</v>
      </c>
    </row>
    <row r="1248" ht="14.25" customHeight="1">
      <c r="A1248" s="8" t="s">
        <v>3201</v>
      </c>
      <c r="B1248" s="12">
        <v>46726.0</v>
      </c>
      <c r="C1248" s="8" t="s">
        <v>40</v>
      </c>
      <c r="D1248" s="8" t="s">
        <v>1775</v>
      </c>
      <c r="E1248" s="8" t="s">
        <v>1899</v>
      </c>
      <c r="F1248" s="8">
        <v>1.0</v>
      </c>
      <c r="G1248" s="8">
        <v>147.96</v>
      </c>
      <c r="H1248" s="8">
        <v>0.24</v>
      </c>
      <c r="I1248" s="8">
        <f t="shared" si="1"/>
        <v>147.96</v>
      </c>
      <c r="J1248" s="8">
        <f t="shared" si="2"/>
        <v>-35.2704</v>
      </c>
      <c r="K1248" s="8" t="str">
        <f t="shared" si="3"/>
        <v>Dec</v>
      </c>
      <c r="L1248" s="8">
        <f t="shared" si="4"/>
        <v>2027</v>
      </c>
      <c r="N1248" s="8" t="str">
        <f t="array" ref="N1248">XLOOKUP(C1248,Customer_Dim!A:A,Customer_Dim!B:B,"Not Found")</f>
        <v>Christine Vaughn</v>
      </c>
      <c r="O1248" s="8" t="str">
        <f t="array" ref="O1248">XLOOKUP(C1248,Customer_Dim!A:A,Customer_Dim!E:E,"Not Found")</f>
        <v>East Amandamouth</v>
      </c>
      <c r="P1248" s="8" t="str">
        <f t="array" ref="P1248">XLOOKUP(D1248,Product_Dim!A:A,Product_Dim!B:B,"Not Found")</f>
        <v>Laptop Cooling Pad</v>
      </c>
      <c r="Q1248" s="8" t="str">
        <f t="array" ref="Q1248">XLOOKUP(D1248,Product_Dim!A:A,Product_Dim!C:C,"Not Found")</f>
        <v>Electronics</v>
      </c>
      <c r="R1248" s="8" t="str">
        <f t="array" ref="R1248">XLOOKUP(E1248,Store_Dim!A:A,Store_Dim!B:B,"Not Found")</f>
        <v>East</v>
      </c>
      <c r="S1248" s="8" t="str">
        <f t="array" ref="S1248">XLOOKUP(E1248,Store_Dim!A:A,Store_Dim!D:D,"Not Found")</f>
        <v>Flagship</v>
      </c>
    </row>
    <row r="1249" ht="14.25" customHeight="1">
      <c r="A1249" s="8" t="s">
        <v>3202</v>
      </c>
      <c r="B1249" s="12">
        <v>46727.0</v>
      </c>
      <c r="C1249" s="8" t="s">
        <v>1393</v>
      </c>
      <c r="D1249" s="8" t="s">
        <v>1635</v>
      </c>
      <c r="E1249" s="8" t="s">
        <v>1921</v>
      </c>
      <c r="F1249" s="8">
        <v>3.0</v>
      </c>
      <c r="G1249" s="8">
        <v>550.26</v>
      </c>
      <c r="H1249" s="8">
        <v>0.22</v>
      </c>
      <c r="I1249" s="8">
        <f t="shared" si="1"/>
        <v>1650.78</v>
      </c>
      <c r="J1249" s="8">
        <f t="shared" si="2"/>
        <v>-362.9516</v>
      </c>
      <c r="K1249" s="8" t="str">
        <f t="shared" si="3"/>
        <v>Dec</v>
      </c>
      <c r="L1249" s="8">
        <f t="shared" si="4"/>
        <v>2027</v>
      </c>
      <c r="N1249" s="8" t="str">
        <f t="array" ref="N1249">XLOOKUP(C1249,Customer_Dim!A:A,Customer_Dim!B:B,"Not Found")</f>
        <v>Gene Lee</v>
      </c>
      <c r="O1249" s="8" t="str">
        <f t="array" ref="O1249">XLOOKUP(C1249,Customer_Dim!A:A,Customer_Dim!E:E,"Not Found")</f>
        <v>Mcfarlandmouth</v>
      </c>
      <c r="P1249" s="8" t="str">
        <f t="array" ref="P1249">XLOOKUP(D1249,Product_Dim!A:A,Product_Dim!B:B,"Not Found")</f>
        <v>Women's Denim Jeans</v>
      </c>
      <c r="Q1249" s="8" t="str">
        <f t="array" ref="Q1249">XLOOKUP(D1249,Product_Dim!A:A,Product_Dim!C:C,"Not Found")</f>
        <v>Clothing</v>
      </c>
      <c r="R1249" s="8" t="str">
        <f t="array" ref="R1249">XLOOKUP(E1249,Store_Dim!A:A,Store_Dim!B:B,"Not Found")</f>
        <v>West</v>
      </c>
      <c r="S1249" s="8" t="str">
        <f t="array" ref="S1249">XLOOKUP(E1249,Store_Dim!A:A,Store_Dim!D:D,"Not Found")</f>
        <v>Online</v>
      </c>
    </row>
    <row r="1250" ht="14.25" customHeight="1">
      <c r="A1250" s="8" t="s">
        <v>3203</v>
      </c>
      <c r="B1250" s="12">
        <v>46728.0</v>
      </c>
      <c r="C1250" s="8" t="s">
        <v>1176</v>
      </c>
      <c r="D1250" s="8" t="s">
        <v>1881</v>
      </c>
      <c r="E1250" s="8" t="s">
        <v>1919</v>
      </c>
      <c r="F1250" s="8">
        <v>4.0</v>
      </c>
      <c r="G1250" s="8">
        <v>938.21</v>
      </c>
      <c r="H1250" s="8">
        <v>0.04</v>
      </c>
      <c r="I1250" s="8">
        <f t="shared" si="1"/>
        <v>3752.84</v>
      </c>
      <c r="J1250" s="8">
        <f t="shared" si="2"/>
        <v>-150.0736</v>
      </c>
      <c r="K1250" s="8" t="str">
        <f t="shared" si="3"/>
        <v>Dec</v>
      </c>
      <c r="L1250" s="8">
        <f t="shared" si="4"/>
        <v>2027</v>
      </c>
      <c r="N1250" s="8" t="str">
        <f t="array" ref="N1250">XLOOKUP(C1250,Customer_Dim!A:A,Customer_Dim!B:B,"Not Found")</f>
        <v>Michael Garner</v>
      </c>
      <c r="O1250" s="8" t="str">
        <f t="array" ref="O1250">XLOOKUP(C1250,Customer_Dim!A:A,Customer_Dim!E:E,"Not Found")</f>
        <v>Port Crystal</v>
      </c>
      <c r="P1250" s="8" t="str">
        <f t="array" ref="P1250">XLOOKUP(D1250,Product_Dim!A:A,Product_Dim!B:B,"Not Found")</f>
        <v>Cricket Bat</v>
      </c>
      <c r="Q1250" s="8" t="str">
        <f t="array" ref="Q1250">XLOOKUP(D1250,Product_Dim!A:A,Product_Dim!C:C,"Not Found")</f>
        <v>Sports</v>
      </c>
      <c r="R1250" s="8" t="str">
        <f t="array" ref="R1250">XLOOKUP(E1250,Store_Dim!A:A,Store_Dim!B:B,"Not Found")</f>
        <v>South</v>
      </c>
      <c r="S1250" s="8" t="str">
        <f t="array" ref="S1250">XLOOKUP(E1250,Store_Dim!A:A,Store_Dim!D:D,"Not Found")</f>
        <v>Online</v>
      </c>
    </row>
    <row r="1251" ht="14.25" customHeight="1">
      <c r="A1251" s="8" t="s">
        <v>3204</v>
      </c>
      <c r="B1251" s="12">
        <v>46729.0</v>
      </c>
      <c r="C1251" s="8" t="s">
        <v>470</v>
      </c>
      <c r="D1251" s="8" t="s">
        <v>1872</v>
      </c>
      <c r="E1251" s="8" t="s">
        <v>1935</v>
      </c>
      <c r="F1251" s="8">
        <v>3.0</v>
      </c>
      <c r="G1251" s="8">
        <v>517.98</v>
      </c>
      <c r="H1251" s="8">
        <v>0.01</v>
      </c>
      <c r="I1251" s="8">
        <f t="shared" si="1"/>
        <v>1553.94</v>
      </c>
      <c r="J1251" s="8">
        <f t="shared" si="2"/>
        <v>-15.5294</v>
      </c>
      <c r="K1251" s="8" t="str">
        <f t="shared" si="3"/>
        <v>Dec</v>
      </c>
      <c r="L1251" s="8">
        <f t="shared" si="4"/>
        <v>2027</v>
      </c>
      <c r="N1251" s="8" t="str">
        <f t="array" ref="N1251">XLOOKUP(C1251,Customer_Dim!A:A,Customer_Dim!B:B,"Not Found")</f>
        <v>Morgan Bowen</v>
      </c>
      <c r="O1251" s="8" t="str">
        <f t="array" ref="O1251">XLOOKUP(C1251,Customer_Dim!A:A,Customer_Dim!E:E,"Not Found")</f>
        <v>Parksfort</v>
      </c>
      <c r="P1251" s="8" t="str">
        <f t="array" ref="P1251">XLOOKUP(D1251,Product_Dim!A:A,Product_Dim!B:B,"Not Found")</f>
        <v>Vitamin E Body Lotion</v>
      </c>
      <c r="Q1251" s="8" t="str">
        <f t="array" ref="Q1251">XLOOKUP(D1251,Product_Dim!A:A,Product_Dim!C:C,"Not Found")</f>
        <v>Beauty</v>
      </c>
      <c r="R1251" s="8" t="str">
        <f t="array" ref="R1251">XLOOKUP(E1251,Store_Dim!A:A,Store_Dim!B:B,"Not Found")</f>
        <v>West</v>
      </c>
      <c r="S1251" s="8" t="str">
        <f t="array" ref="S1251">XLOOKUP(E1251,Store_Dim!A:A,Store_Dim!D:D,"Not Found")</f>
        <v>Flagship</v>
      </c>
    </row>
    <row r="1252" ht="14.25" customHeight="1">
      <c r="A1252" s="8" t="s">
        <v>3205</v>
      </c>
      <c r="B1252" s="12">
        <v>46730.0</v>
      </c>
      <c r="C1252" s="8" t="s">
        <v>154</v>
      </c>
      <c r="D1252" s="8" t="s">
        <v>1587</v>
      </c>
      <c r="E1252" s="8" t="s">
        <v>1921</v>
      </c>
      <c r="F1252" s="8">
        <v>1.0</v>
      </c>
      <c r="G1252" s="8">
        <v>98.27</v>
      </c>
      <c r="H1252" s="8">
        <v>0.16</v>
      </c>
      <c r="I1252" s="8">
        <f t="shared" si="1"/>
        <v>98.27</v>
      </c>
      <c r="J1252" s="8">
        <f t="shared" si="2"/>
        <v>-15.5632</v>
      </c>
      <c r="K1252" s="8" t="str">
        <f t="shared" si="3"/>
        <v>Dec</v>
      </c>
      <c r="L1252" s="8">
        <f t="shared" si="4"/>
        <v>2027</v>
      </c>
      <c r="N1252" s="8" t="str">
        <f t="array" ref="N1252">XLOOKUP(C1252,Customer_Dim!A:A,Customer_Dim!B:B,"Not Found")</f>
        <v>Thomas Phillips</v>
      </c>
      <c r="O1252" s="8" t="str">
        <f t="array" ref="O1252">XLOOKUP(C1252,Customer_Dim!A:A,Customer_Dim!E:E,"Not Found")</f>
        <v>Luisfurt</v>
      </c>
      <c r="P1252" s="8" t="str">
        <f t="array" ref="P1252">XLOOKUP(D1252,Product_Dim!A:A,Product_Dim!B:B,"Not Found")</f>
        <v>Herbal Face Moisturizer</v>
      </c>
      <c r="Q1252" s="8" t="str">
        <f t="array" ref="Q1252">XLOOKUP(D1252,Product_Dim!A:A,Product_Dim!C:C,"Not Found")</f>
        <v>Beauty</v>
      </c>
      <c r="R1252" s="8" t="str">
        <f t="array" ref="R1252">XLOOKUP(E1252,Store_Dim!A:A,Store_Dim!B:B,"Not Found")</f>
        <v>West</v>
      </c>
      <c r="S1252" s="8" t="str">
        <f t="array" ref="S1252">XLOOKUP(E1252,Store_Dim!A:A,Store_Dim!D:D,"Not Found")</f>
        <v>Online</v>
      </c>
    </row>
    <row r="1253" ht="14.25" customHeight="1">
      <c r="A1253" s="8" t="s">
        <v>3206</v>
      </c>
      <c r="B1253" s="12">
        <v>46731.0</v>
      </c>
      <c r="C1253" s="8" t="s">
        <v>818</v>
      </c>
      <c r="D1253" s="8" t="s">
        <v>1732</v>
      </c>
      <c r="E1253" s="8" t="s">
        <v>1928</v>
      </c>
      <c r="F1253" s="8">
        <v>2.0</v>
      </c>
      <c r="G1253" s="8">
        <v>875.2</v>
      </c>
      <c r="H1253" s="8">
        <v>0.19</v>
      </c>
      <c r="I1253" s="8">
        <f t="shared" si="1"/>
        <v>1750.4</v>
      </c>
      <c r="J1253" s="8">
        <f t="shared" si="2"/>
        <v>-332.386</v>
      </c>
      <c r="K1253" s="8" t="str">
        <f t="shared" si="3"/>
        <v>Dec</v>
      </c>
      <c r="L1253" s="8">
        <f t="shared" si="4"/>
        <v>2027</v>
      </c>
      <c r="N1253" s="8" t="str">
        <f t="array" ref="N1253">XLOOKUP(C1253,Customer_Dim!A:A,Customer_Dim!B:B,"Not Found")</f>
        <v>Tyler Garner</v>
      </c>
      <c r="O1253" s="8" t="str">
        <f t="array" ref="O1253">XLOOKUP(C1253,Customer_Dim!A:A,Customer_Dim!E:E,"Not Found")</f>
        <v>Port Coreyfort</v>
      </c>
      <c r="P1253" s="8" t="str">
        <f t="array" ref="P1253">XLOOKUP(D1253,Product_Dim!A:A,Product_Dim!B:B,"Not Found")</f>
        <v>Car Dashboard Phone Holder</v>
      </c>
      <c r="Q1253" s="8" t="str">
        <f t="array" ref="Q1253">XLOOKUP(D1253,Product_Dim!A:A,Product_Dim!C:C,"Not Found")</f>
        <v>Electronics</v>
      </c>
      <c r="R1253" s="8" t="str">
        <f t="array" ref="R1253">XLOOKUP(E1253,Store_Dim!A:A,Store_Dim!B:B,"Not Found")</f>
        <v>South</v>
      </c>
      <c r="S1253" s="8" t="str">
        <f t="array" ref="S1253">XLOOKUP(E1253,Store_Dim!A:A,Store_Dim!D:D,"Not Found")</f>
        <v>Online</v>
      </c>
    </row>
    <row r="1254" ht="14.25" customHeight="1">
      <c r="A1254" s="8" t="s">
        <v>3207</v>
      </c>
      <c r="B1254" s="12">
        <v>46732.0</v>
      </c>
      <c r="C1254" s="8" t="s">
        <v>978</v>
      </c>
      <c r="D1254" s="8" t="s">
        <v>1848</v>
      </c>
      <c r="E1254" s="8" t="s">
        <v>1899</v>
      </c>
      <c r="F1254" s="8">
        <v>1.0</v>
      </c>
      <c r="G1254" s="8">
        <v>227.35</v>
      </c>
      <c r="H1254" s="8">
        <v>0.06</v>
      </c>
      <c r="I1254" s="8">
        <f t="shared" si="1"/>
        <v>227.35</v>
      </c>
      <c r="J1254" s="8">
        <f t="shared" si="2"/>
        <v>-13.581</v>
      </c>
      <c r="K1254" s="8" t="str">
        <f t="shared" si="3"/>
        <v>Dec</v>
      </c>
      <c r="L1254" s="8">
        <f t="shared" si="4"/>
        <v>2027</v>
      </c>
      <c r="N1254" s="8" t="str">
        <f t="array" ref="N1254">XLOOKUP(C1254,Customer_Dim!A:A,Customer_Dim!B:B,"Not Found")</f>
        <v>Roberta Green</v>
      </c>
      <c r="O1254" s="8" t="str">
        <f t="array" ref="O1254">XLOOKUP(C1254,Customer_Dim!A:A,Customer_Dim!E:E,"Not Found")</f>
        <v>West Joseph</v>
      </c>
      <c r="P1254" s="8" t="str">
        <f t="array" ref="P1254">XLOOKUP(D1254,Product_Dim!A:A,Product_Dim!B:B,"Not Found")</f>
        <v>Kitchen Cutting Board</v>
      </c>
      <c r="Q1254" s="8" t="str">
        <f t="array" ref="Q1254">XLOOKUP(D1254,Product_Dim!A:A,Product_Dim!C:C,"Not Found")</f>
        <v>Home</v>
      </c>
      <c r="R1254" s="8" t="str">
        <f t="array" ref="R1254">XLOOKUP(E1254,Store_Dim!A:A,Store_Dim!B:B,"Not Found")</f>
        <v>East</v>
      </c>
      <c r="S1254" s="8" t="str">
        <f t="array" ref="S1254">XLOOKUP(E1254,Store_Dim!A:A,Store_Dim!D:D,"Not Found")</f>
        <v>Flagship</v>
      </c>
    </row>
    <row r="1255" ht="14.25" customHeight="1">
      <c r="A1255" s="8" t="s">
        <v>3208</v>
      </c>
      <c r="B1255" s="12">
        <v>46733.0</v>
      </c>
      <c r="C1255" s="8" t="s">
        <v>696</v>
      </c>
      <c r="D1255" s="8" t="s">
        <v>1812</v>
      </c>
      <c r="E1255" s="8" t="s">
        <v>1903</v>
      </c>
      <c r="F1255" s="8">
        <v>1.0</v>
      </c>
      <c r="G1255" s="8">
        <v>842.46</v>
      </c>
      <c r="H1255" s="8">
        <v>0.05</v>
      </c>
      <c r="I1255" s="8">
        <f t="shared" si="1"/>
        <v>842.46</v>
      </c>
      <c r="J1255" s="8">
        <f t="shared" si="2"/>
        <v>-42.073</v>
      </c>
      <c r="K1255" s="8" t="str">
        <f t="shared" si="3"/>
        <v>Dec</v>
      </c>
      <c r="L1255" s="8">
        <f t="shared" si="4"/>
        <v>2027</v>
      </c>
      <c r="N1255" s="8" t="str">
        <f t="array" ref="N1255">XLOOKUP(C1255,Customer_Dim!A:A,Customer_Dim!B:B,"Not Found")</f>
        <v>Antonio Jones</v>
      </c>
      <c r="O1255" s="8" t="str">
        <f t="array" ref="O1255">XLOOKUP(C1255,Customer_Dim!A:A,Customer_Dim!E:E,"Not Found")</f>
        <v>Matthewborough</v>
      </c>
      <c r="P1255" s="8" t="str">
        <f t="array" ref="P1255">XLOOKUP(D1255,Product_Dim!A:A,Product_Dim!B:B,"Not Found")</f>
        <v>Bluetooth Car Audio System</v>
      </c>
      <c r="Q1255" s="8" t="str">
        <f t="array" ref="Q1255">XLOOKUP(D1255,Product_Dim!A:A,Product_Dim!C:C,"Not Found")</f>
        <v>Electronics</v>
      </c>
      <c r="R1255" s="8" t="str">
        <f t="array" ref="R1255">XLOOKUP(E1255,Store_Dim!A:A,Store_Dim!B:B,"Not Found")</f>
        <v>North</v>
      </c>
      <c r="S1255" s="8" t="str">
        <f t="array" ref="S1255">XLOOKUP(E1255,Store_Dim!A:A,Store_Dim!D:D,"Not Found")</f>
        <v>Flagship</v>
      </c>
    </row>
    <row r="1256" ht="14.25" customHeight="1">
      <c r="A1256" s="8" t="s">
        <v>3209</v>
      </c>
      <c r="B1256" s="12">
        <v>46734.0</v>
      </c>
      <c r="C1256" s="8" t="s">
        <v>702</v>
      </c>
      <c r="D1256" s="8" t="s">
        <v>1693</v>
      </c>
      <c r="E1256" s="8" t="s">
        <v>1928</v>
      </c>
      <c r="F1256" s="8">
        <v>3.0</v>
      </c>
      <c r="G1256" s="8">
        <v>120.67</v>
      </c>
      <c r="H1256" s="8">
        <v>0.08</v>
      </c>
      <c r="I1256" s="8">
        <f t="shared" si="1"/>
        <v>362.01</v>
      </c>
      <c r="J1256" s="8">
        <f t="shared" si="2"/>
        <v>-28.8808</v>
      </c>
      <c r="K1256" s="8" t="str">
        <f t="shared" si="3"/>
        <v>Dec</v>
      </c>
      <c r="L1256" s="8">
        <f t="shared" si="4"/>
        <v>2027</v>
      </c>
      <c r="N1256" s="8" t="str">
        <f t="array" ref="N1256">XLOOKUP(C1256,Customer_Dim!A:A,Customer_Dim!B:B,"Not Found")</f>
        <v>Blake Harrison</v>
      </c>
      <c r="O1256" s="8" t="str">
        <f t="array" ref="O1256">XLOOKUP(C1256,Customer_Dim!A:A,Customer_Dim!E:E,"Not Found")</f>
        <v>Lyonsfort</v>
      </c>
      <c r="P1256" s="8" t="str">
        <f t="array" ref="P1256">XLOOKUP(D1256,Product_Dim!A:A,Product_Dim!B:B,"Not Found")</f>
        <v>Women's Summer Dress</v>
      </c>
      <c r="Q1256" s="8" t="str">
        <f t="array" ref="Q1256">XLOOKUP(D1256,Product_Dim!A:A,Product_Dim!C:C,"Not Found")</f>
        <v>Clothing</v>
      </c>
      <c r="R1256" s="8" t="str">
        <f t="array" ref="R1256">XLOOKUP(E1256,Store_Dim!A:A,Store_Dim!B:B,"Not Found")</f>
        <v>South</v>
      </c>
      <c r="S1256" s="8" t="str">
        <f t="array" ref="S1256">XLOOKUP(E1256,Store_Dim!A:A,Store_Dim!D:D,"Not Found")</f>
        <v>Online</v>
      </c>
    </row>
    <row r="1257" ht="14.25" customHeight="1">
      <c r="A1257" s="8" t="s">
        <v>3210</v>
      </c>
      <c r="B1257" s="12">
        <v>46735.0</v>
      </c>
      <c r="C1257" s="8" t="s">
        <v>1543</v>
      </c>
      <c r="D1257" s="8" t="s">
        <v>1642</v>
      </c>
      <c r="E1257" s="8" t="s">
        <v>1910</v>
      </c>
      <c r="F1257" s="8">
        <v>4.0</v>
      </c>
      <c r="G1257" s="8">
        <v>176.13</v>
      </c>
      <c r="H1257" s="8">
        <v>0.27</v>
      </c>
      <c r="I1257" s="8">
        <f t="shared" si="1"/>
        <v>704.52</v>
      </c>
      <c r="J1257" s="8">
        <f t="shared" si="2"/>
        <v>-189.9504</v>
      </c>
      <c r="K1257" s="8" t="str">
        <f t="shared" si="3"/>
        <v>Dec</v>
      </c>
      <c r="L1257" s="8">
        <f t="shared" si="4"/>
        <v>2027</v>
      </c>
      <c r="N1257" s="8" t="str">
        <f t="array" ref="N1257">XLOOKUP(C1257,Customer_Dim!A:A,Customer_Dim!B:B,"Not Found")</f>
        <v>Sarah Marsh</v>
      </c>
      <c r="O1257" s="8" t="str">
        <f t="array" ref="O1257">XLOOKUP(C1257,Customer_Dim!A:A,Customer_Dim!E:E,"Not Found")</f>
        <v>Port William</v>
      </c>
      <c r="P1257" s="8" t="str">
        <f t="array" ref="P1257">XLOOKUP(D1257,Product_Dim!A:A,Product_Dim!B:B,"Not Found")</f>
        <v>Outdoor Sports Water Bottle</v>
      </c>
      <c r="Q1257" s="8" t="str">
        <f t="array" ref="Q1257">XLOOKUP(D1257,Product_Dim!A:A,Product_Dim!C:C,"Not Found")</f>
        <v>Sports</v>
      </c>
      <c r="R1257" s="8" t="str">
        <f t="array" ref="R1257">XLOOKUP(E1257,Store_Dim!A:A,Store_Dim!B:B,"Not Found")</f>
        <v>North</v>
      </c>
      <c r="S1257" s="8" t="str">
        <f t="array" ref="S1257">XLOOKUP(E1257,Store_Dim!A:A,Store_Dim!D:D,"Not Found")</f>
        <v>Outlet</v>
      </c>
    </row>
    <row r="1258" ht="14.25" customHeight="1">
      <c r="A1258" s="8" t="s">
        <v>3211</v>
      </c>
      <c r="B1258" s="12">
        <v>46736.0</v>
      </c>
      <c r="C1258" s="8" t="s">
        <v>1408</v>
      </c>
      <c r="D1258" s="8" t="s">
        <v>1778</v>
      </c>
      <c r="E1258" s="8" t="s">
        <v>1928</v>
      </c>
      <c r="F1258" s="8">
        <v>4.0</v>
      </c>
      <c r="G1258" s="8">
        <v>592.68</v>
      </c>
      <c r="H1258" s="8">
        <v>0.03</v>
      </c>
      <c r="I1258" s="8">
        <f t="shared" si="1"/>
        <v>2370.72</v>
      </c>
      <c r="J1258" s="8">
        <f t="shared" si="2"/>
        <v>-71.0916</v>
      </c>
      <c r="K1258" s="8" t="str">
        <f t="shared" si="3"/>
        <v>Dec</v>
      </c>
      <c r="L1258" s="8">
        <f t="shared" si="4"/>
        <v>2027</v>
      </c>
      <c r="N1258" s="8" t="str">
        <f t="array" ref="N1258">XLOOKUP(C1258,Customer_Dim!A:A,Customer_Dim!B:B,"Not Found")</f>
        <v>Shane Mills</v>
      </c>
      <c r="O1258" s="8" t="str">
        <f t="array" ref="O1258">XLOOKUP(C1258,Customer_Dim!A:A,Customer_Dim!E:E,"Not Found")</f>
        <v>Lake Meganstad</v>
      </c>
      <c r="P1258" s="8" t="str">
        <f t="array" ref="P1258">XLOOKUP(D1258,Product_Dim!A:A,Product_Dim!B:B,"Not Found")</f>
        <v>Organic Sunscreen Lotion</v>
      </c>
      <c r="Q1258" s="8" t="str">
        <f t="array" ref="Q1258">XLOOKUP(D1258,Product_Dim!A:A,Product_Dim!C:C,"Not Found")</f>
        <v>Beauty</v>
      </c>
      <c r="R1258" s="8" t="str">
        <f t="array" ref="R1258">XLOOKUP(E1258,Store_Dim!A:A,Store_Dim!B:B,"Not Found")</f>
        <v>South</v>
      </c>
      <c r="S1258" s="8" t="str">
        <f t="array" ref="S1258">XLOOKUP(E1258,Store_Dim!A:A,Store_Dim!D:D,"Not Found")</f>
        <v>Online</v>
      </c>
    </row>
    <row r="1259" ht="14.25" customHeight="1">
      <c r="A1259" s="8" t="s">
        <v>3212</v>
      </c>
      <c r="B1259" s="12">
        <v>46737.0</v>
      </c>
      <c r="C1259" s="8" t="s">
        <v>594</v>
      </c>
      <c r="D1259" s="8" t="s">
        <v>1800</v>
      </c>
      <c r="E1259" s="8" t="s">
        <v>1912</v>
      </c>
      <c r="F1259" s="8">
        <v>4.0</v>
      </c>
      <c r="G1259" s="8">
        <v>662.43</v>
      </c>
      <c r="H1259" s="8">
        <v>0.24</v>
      </c>
      <c r="I1259" s="8">
        <f t="shared" si="1"/>
        <v>2649.72</v>
      </c>
      <c r="J1259" s="8">
        <f t="shared" si="2"/>
        <v>-635.6928</v>
      </c>
      <c r="K1259" s="8" t="str">
        <f t="shared" si="3"/>
        <v>Dec</v>
      </c>
      <c r="L1259" s="8">
        <f t="shared" si="4"/>
        <v>2027</v>
      </c>
      <c r="N1259" s="8" t="str">
        <f t="array" ref="N1259">XLOOKUP(C1259,Customer_Dim!A:A,Customer_Dim!B:B,"Not Found")</f>
        <v>John Bradford</v>
      </c>
      <c r="O1259" s="8" t="str">
        <f t="array" ref="O1259">XLOOKUP(C1259,Customer_Dim!A:A,Customer_Dim!E:E,"Not Found")</f>
        <v>Anabury</v>
      </c>
      <c r="P1259" s="8" t="str">
        <f t="array" ref="P1259">XLOOKUP(D1259,Product_Dim!A:A,Product_Dim!B:B,"Not Found")</f>
        <v>Kitchen Storage Rack</v>
      </c>
      <c r="Q1259" s="8" t="str">
        <f t="array" ref="Q1259">XLOOKUP(D1259,Product_Dim!A:A,Product_Dim!C:C,"Not Found")</f>
        <v>Home</v>
      </c>
      <c r="R1259" s="8" t="str">
        <f t="array" ref="R1259">XLOOKUP(E1259,Store_Dim!A:A,Store_Dim!B:B,"Not Found")</f>
        <v>South</v>
      </c>
      <c r="S1259" s="8" t="str">
        <f t="array" ref="S1259">XLOOKUP(E1259,Store_Dim!A:A,Store_Dim!D:D,"Not Found")</f>
        <v>Online</v>
      </c>
    </row>
    <row r="1260" ht="14.25" customHeight="1">
      <c r="A1260" s="8" t="s">
        <v>3213</v>
      </c>
      <c r="B1260" s="12">
        <v>46738.0</v>
      </c>
      <c r="C1260" s="8" t="s">
        <v>452</v>
      </c>
      <c r="D1260" s="8" t="s">
        <v>1716</v>
      </c>
      <c r="E1260" s="8" t="s">
        <v>1921</v>
      </c>
      <c r="F1260" s="8">
        <v>3.0</v>
      </c>
      <c r="G1260" s="8">
        <v>518.35</v>
      </c>
      <c r="H1260" s="8">
        <v>0.21</v>
      </c>
      <c r="I1260" s="8">
        <f t="shared" si="1"/>
        <v>1555.05</v>
      </c>
      <c r="J1260" s="8">
        <f t="shared" si="2"/>
        <v>-326.3505</v>
      </c>
      <c r="K1260" s="8" t="str">
        <f t="shared" si="3"/>
        <v>Dec</v>
      </c>
      <c r="L1260" s="8">
        <f t="shared" si="4"/>
        <v>2027</v>
      </c>
      <c r="N1260" s="8" t="str">
        <f t="array" ref="N1260">XLOOKUP(C1260,Customer_Dim!A:A,Customer_Dim!B:B,"Not Found")</f>
        <v>Susan Mcdonald</v>
      </c>
      <c r="O1260" s="8" t="str">
        <f t="array" ref="O1260">XLOOKUP(C1260,Customer_Dim!A:A,Customer_Dim!E:E,"Not Found")</f>
        <v>East Ellen</v>
      </c>
      <c r="P1260" s="8" t="str">
        <f t="array" ref="P1260">XLOOKUP(D1260,Product_Dim!A:A,Product_Dim!B:B,"Not Found")</f>
        <v>USB External Hard Drive</v>
      </c>
      <c r="Q1260" s="8" t="str">
        <f t="array" ref="Q1260">XLOOKUP(D1260,Product_Dim!A:A,Product_Dim!C:C,"Not Found")</f>
        <v>Electronics</v>
      </c>
      <c r="R1260" s="8" t="str">
        <f t="array" ref="R1260">XLOOKUP(E1260,Store_Dim!A:A,Store_Dim!B:B,"Not Found")</f>
        <v>West</v>
      </c>
      <c r="S1260" s="8" t="str">
        <f t="array" ref="S1260">XLOOKUP(E1260,Store_Dim!A:A,Store_Dim!D:D,"Not Found")</f>
        <v>Online</v>
      </c>
    </row>
    <row r="1261" ht="14.25" customHeight="1">
      <c r="A1261" s="8" t="s">
        <v>3214</v>
      </c>
      <c r="B1261" s="12">
        <v>46739.0</v>
      </c>
      <c r="C1261" s="8" t="s">
        <v>993</v>
      </c>
      <c r="D1261" s="8" t="s">
        <v>1772</v>
      </c>
      <c r="E1261" s="8" t="s">
        <v>1915</v>
      </c>
      <c r="F1261" s="8">
        <v>1.0</v>
      </c>
      <c r="G1261" s="8">
        <v>85.58</v>
      </c>
      <c r="H1261" s="8">
        <v>0.1</v>
      </c>
      <c r="I1261" s="8">
        <f t="shared" si="1"/>
        <v>85.58</v>
      </c>
      <c r="J1261" s="8">
        <f t="shared" si="2"/>
        <v>-8.458</v>
      </c>
      <c r="K1261" s="8" t="str">
        <f t="shared" si="3"/>
        <v>Dec</v>
      </c>
      <c r="L1261" s="8">
        <f t="shared" si="4"/>
        <v>2027</v>
      </c>
      <c r="N1261" s="8" t="str">
        <f t="array" ref="N1261">XLOOKUP(C1261,Customer_Dim!A:A,Customer_Dim!B:B,"Not Found")</f>
        <v>Kara Dodson</v>
      </c>
      <c r="O1261" s="8" t="str">
        <f t="array" ref="O1261">XLOOKUP(C1261,Customer_Dim!A:A,Customer_Dim!E:E,"Not Found")</f>
        <v>Joelside</v>
      </c>
      <c r="P1261" s="8" t="str">
        <f t="array" ref="P1261">XLOOKUP(D1261,Product_Dim!A:A,Product_Dim!B:B,"Not Found")</f>
        <v>Tennis Ball 3-Pack</v>
      </c>
      <c r="Q1261" s="8" t="str">
        <f t="array" ref="Q1261">XLOOKUP(D1261,Product_Dim!A:A,Product_Dim!C:C,"Not Found")</f>
        <v>Sports</v>
      </c>
      <c r="R1261" s="8" t="str">
        <f t="array" ref="R1261">XLOOKUP(E1261,Store_Dim!A:A,Store_Dim!B:B,"Not Found")</f>
        <v>North</v>
      </c>
      <c r="S1261" s="8" t="str">
        <f t="array" ref="S1261">XLOOKUP(E1261,Store_Dim!A:A,Store_Dim!D:D,"Not Found")</f>
        <v>Outlet</v>
      </c>
    </row>
    <row r="1262" ht="14.25" customHeight="1">
      <c r="A1262" s="8" t="s">
        <v>3215</v>
      </c>
      <c r="B1262" s="12">
        <v>46740.0</v>
      </c>
      <c r="C1262" s="8" t="s">
        <v>1152</v>
      </c>
      <c r="D1262" s="8" t="s">
        <v>1851</v>
      </c>
      <c r="E1262" s="8" t="s">
        <v>1903</v>
      </c>
      <c r="F1262" s="8">
        <v>4.0</v>
      </c>
      <c r="G1262" s="8">
        <v>800.0</v>
      </c>
      <c r="H1262" s="8">
        <v>0.2</v>
      </c>
      <c r="I1262" s="8">
        <f t="shared" si="1"/>
        <v>3200</v>
      </c>
      <c r="J1262" s="8">
        <f t="shared" si="2"/>
        <v>-639.8</v>
      </c>
      <c r="K1262" s="8" t="str">
        <f t="shared" si="3"/>
        <v>Dec</v>
      </c>
      <c r="L1262" s="8">
        <f t="shared" si="4"/>
        <v>2027</v>
      </c>
      <c r="N1262" s="8" t="str">
        <f t="array" ref="N1262">XLOOKUP(C1262,Customer_Dim!A:A,Customer_Dim!B:B,"Not Found")</f>
        <v>Elizabeth Smith</v>
      </c>
      <c r="O1262" s="8" t="str">
        <f t="array" ref="O1262">XLOOKUP(C1262,Customer_Dim!A:A,Customer_Dim!E:E,"Not Found")</f>
        <v>Murphytown</v>
      </c>
      <c r="P1262" s="8" t="str">
        <f t="array" ref="P1262">XLOOKUP(D1262,Product_Dim!A:A,Product_Dim!B:B,"Not Found")</f>
        <v>LED Bedside Lamp</v>
      </c>
      <c r="Q1262" s="8" t="str">
        <f t="array" ref="Q1262">XLOOKUP(D1262,Product_Dim!A:A,Product_Dim!C:C,"Not Found")</f>
        <v>Home</v>
      </c>
      <c r="R1262" s="8" t="str">
        <f t="array" ref="R1262">XLOOKUP(E1262,Store_Dim!A:A,Store_Dim!B:B,"Not Found")</f>
        <v>North</v>
      </c>
      <c r="S1262" s="8" t="str">
        <f t="array" ref="S1262">XLOOKUP(E1262,Store_Dim!A:A,Store_Dim!D:D,"Not Found")</f>
        <v>Flagship</v>
      </c>
    </row>
    <row r="1263" ht="14.25" customHeight="1">
      <c r="A1263" s="8" t="s">
        <v>3216</v>
      </c>
      <c r="B1263" s="12">
        <v>46741.0</v>
      </c>
      <c r="C1263" s="8" t="s">
        <v>532</v>
      </c>
      <c r="D1263" s="8" t="s">
        <v>1769</v>
      </c>
      <c r="E1263" s="8" t="s">
        <v>1926</v>
      </c>
      <c r="F1263" s="8">
        <v>3.0</v>
      </c>
      <c r="G1263" s="8">
        <v>118.25</v>
      </c>
      <c r="H1263" s="8">
        <v>0.26</v>
      </c>
      <c r="I1263" s="8">
        <f t="shared" si="1"/>
        <v>354.75</v>
      </c>
      <c r="J1263" s="8">
        <f t="shared" si="2"/>
        <v>-91.975</v>
      </c>
      <c r="K1263" s="8" t="str">
        <f t="shared" si="3"/>
        <v>Dec</v>
      </c>
      <c r="L1263" s="8">
        <f t="shared" si="4"/>
        <v>2027</v>
      </c>
      <c r="N1263" s="8" t="str">
        <f t="array" ref="N1263">XLOOKUP(C1263,Customer_Dim!A:A,Customer_Dim!B:B,"Not Found")</f>
        <v>Curtis Haynes</v>
      </c>
      <c r="O1263" s="8" t="str">
        <f t="array" ref="O1263">XLOOKUP(C1263,Customer_Dim!A:A,Customer_Dim!E:E,"Not Found")</f>
        <v>Estradaside</v>
      </c>
      <c r="P1263" s="8" t="str">
        <f t="array" ref="P1263">XLOOKUP(D1263,Product_Dim!A:A,Product_Dim!B:B,"Not Found")</f>
        <v>Luxury Perfume Spray</v>
      </c>
      <c r="Q1263" s="8" t="str">
        <f t="array" ref="Q1263">XLOOKUP(D1263,Product_Dim!A:A,Product_Dim!C:C,"Not Found")</f>
        <v>Beauty</v>
      </c>
      <c r="R1263" s="8" t="str">
        <f t="array" ref="R1263">XLOOKUP(E1263,Store_Dim!A:A,Store_Dim!B:B,"Not Found")</f>
        <v>East</v>
      </c>
      <c r="S1263" s="8" t="str">
        <f t="array" ref="S1263">XLOOKUP(E1263,Store_Dim!A:A,Store_Dim!D:D,"Not Found")</f>
        <v>Online</v>
      </c>
    </row>
    <row r="1264" ht="14.25" customHeight="1">
      <c r="A1264" s="8" t="s">
        <v>3217</v>
      </c>
      <c r="B1264" s="12">
        <v>46742.0</v>
      </c>
      <c r="C1264" s="8" t="s">
        <v>1323</v>
      </c>
      <c r="D1264" s="8" t="s">
        <v>1681</v>
      </c>
      <c r="E1264" s="8" t="s">
        <v>1933</v>
      </c>
      <c r="F1264" s="8">
        <v>1.0</v>
      </c>
      <c r="G1264" s="8">
        <v>223.25</v>
      </c>
      <c r="H1264" s="8">
        <v>0.29</v>
      </c>
      <c r="I1264" s="8">
        <f t="shared" si="1"/>
        <v>223.25</v>
      </c>
      <c r="J1264" s="8">
        <f t="shared" si="2"/>
        <v>-64.4525</v>
      </c>
      <c r="K1264" s="8" t="str">
        <f t="shared" si="3"/>
        <v>Dec</v>
      </c>
      <c r="L1264" s="8">
        <f t="shared" si="4"/>
        <v>2027</v>
      </c>
      <c r="N1264" s="8" t="str">
        <f t="array" ref="N1264">XLOOKUP(C1264,Customer_Dim!A:A,Customer_Dim!B:B,"Not Found")</f>
        <v>Holly Robinson</v>
      </c>
      <c r="O1264" s="8" t="str">
        <f t="array" ref="O1264">XLOOKUP(C1264,Customer_Dim!A:A,Customer_Dim!E:E,"Not Found")</f>
        <v>East Amy</v>
      </c>
      <c r="P1264" s="8" t="str">
        <f t="array" ref="P1264">XLOOKUP(D1264,Product_Dim!A:A,Product_Dim!B:B,"Not Found")</f>
        <v>Vitamin C Face Serum</v>
      </c>
      <c r="Q1264" s="8" t="str">
        <f t="array" ref="Q1264">XLOOKUP(D1264,Product_Dim!A:A,Product_Dim!C:C,"Not Found")</f>
        <v>Beauty</v>
      </c>
      <c r="R1264" s="8" t="str">
        <f t="array" ref="R1264">XLOOKUP(E1264,Store_Dim!A:A,Store_Dim!B:B,"Not Found")</f>
        <v>North</v>
      </c>
      <c r="S1264" s="8" t="str">
        <f t="array" ref="S1264">XLOOKUP(E1264,Store_Dim!A:A,Store_Dim!D:D,"Not Found")</f>
        <v>Flagship</v>
      </c>
    </row>
    <row r="1265" ht="14.25" customHeight="1">
      <c r="A1265" s="8" t="s">
        <v>3218</v>
      </c>
      <c r="B1265" s="12">
        <v>46743.0</v>
      </c>
      <c r="C1265" s="8" t="s">
        <v>1341</v>
      </c>
      <c r="D1265" s="8" t="s">
        <v>1681</v>
      </c>
      <c r="E1265" s="8" t="s">
        <v>1912</v>
      </c>
      <c r="F1265" s="8">
        <v>3.0</v>
      </c>
      <c r="G1265" s="8">
        <v>918.76</v>
      </c>
      <c r="H1265" s="8">
        <v>0.2</v>
      </c>
      <c r="I1265" s="8">
        <f t="shared" si="1"/>
        <v>2756.28</v>
      </c>
      <c r="J1265" s="8">
        <f t="shared" si="2"/>
        <v>-551.056</v>
      </c>
      <c r="K1265" s="8" t="str">
        <f t="shared" si="3"/>
        <v>Dec</v>
      </c>
      <c r="L1265" s="8">
        <f t="shared" si="4"/>
        <v>2027</v>
      </c>
      <c r="N1265" s="8" t="str">
        <f t="array" ref="N1265">XLOOKUP(C1265,Customer_Dim!A:A,Customer_Dim!B:B,"Not Found")</f>
        <v>Jose Stewart</v>
      </c>
      <c r="O1265" s="8" t="str">
        <f t="array" ref="O1265">XLOOKUP(C1265,Customer_Dim!A:A,Customer_Dim!E:E,"Not Found")</f>
        <v>South Robert</v>
      </c>
      <c r="P1265" s="8" t="str">
        <f t="array" ref="P1265">XLOOKUP(D1265,Product_Dim!A:A,Product_Dim!B:B,"Not Found")</f>
        <v>Vitamin C Face Serum</v>
      </c>
      <c r="Q1265" s="8" t="str">
        <f t="array" ref="Q1265">XLOOKUP(D1265,Product_Dim!A:A,Product_Dim!C:C,"Not Found")</f>
        <v>Beauty</v>
      </c>
      <c r="R1265" s="8" t="str">
        <f t="array" ref="R1265">XLOOKUP(E1265,Store_Dim!A:A,Store_Dim!B:B,"Not Found")</f>
        <v>South</v>
      </c>
      <c r="S1265" s="8" t="str">
        <f t="array" ref="S1265">XLOOKUP(E1265,Store_Dim!A:A,Store_Dim!D:D,"Not Found")</f>
        <v>Online</v>
      </c>
    </row>
    <row r="1266" ht="14.25" customHeight="1">
      <c r="A1266" s="8" t="s">
        <v>3219</v>
      </c>
      <c r="B1266" s="12">
        <v>46744.0</v>
      </c>
      <c r="C1266" s="8" t="s">
        <v>905</v>
      </c>
      <c r="D1266" s="8" t="s">
        <v>1842</v>
      </c>
      <c r="E1266" s="8" t="s">
        <v>1931</v>
      </c>
      <c r="F1266" s="8">
        <v>2.0</v>
      </c>
      <c r="G1266" s="8">
        <v>905.26</v>
      </c>
      <c r="H1266" s="8">
        <v>0.15</v>
      </c>
      <c r="I1266" s="8">
        <f t="shared" si="1"/>
        <v>1810.52</v>
      </c>
      <c r="J1266" s="8">
        <f t="shared" si="2"/>
        <v>-271.428</v>
      </c>
      <c r="K1266" s="8" t="str">
        <f t="shared" si="3"/>
        <v>Dec</v>
      </c>
      <c r="L1266" s="8">
        <f t="shared" si="4"/>
        <v>2027</v>
      </c>
      <c r="N1266" s="8" t="str">
        <f t="array" ref="N1266">XLOOKUP(C1266,Customer_Dim!A:A,Customer_Dim!B:B,"Not Found")</f>
        <v>Antonio Leon</v>
      </c>
      <c r="O1266" s="8" t="str">
        <f t="array" ref="O1266">XLOOKUP(C1266,Customer_Dim!A:A,Customer_Dim!E:E,"Not Found")</f>
        <v>Morrisville</v>
      </c>
      <c r="P1266" s="8" t="str">
        <f t="array" ref="P1266">XLOOKUP(D1266,Product_Dim!A:A,Product_Dim!B:B,"Not Found")</f>
        <v>Wooden Bookshelf</v>
      </c>
      <c r="Q1266" s="8" t="str">
        <f t="array" ref="Q1266">XLOOKUP(D1266,Product_Dim!A:A,Product_Dim!C:C,"Not Found")</f>
        <v>Home</v>
      </c>
      <c r="R1266" s="8" t="str">
        <f t="array" ref="R1266">XLOOKUP(E1266,Store_Dim!A:A,Store_Dim!B:B,"Not Found")</f>
        <v>East</v>
      </c>
      <c r="S1266" s="8" t="str">
        <f t="array" ref="S1266">XLOOKUP(E1266,Store_Dim!A:A,Store_Dim!D:D,"Not Found")</f>
        <v>Flagship</v>
      </c>
    </row>
    <row r="1267" ht="14.25" customHeight="1">
      <c r="A1267" s="8" t="s">
        <v>3220</v>
      </c>
      <c r="B1267" s="12">
        <v>46745.0</v>
      </c>
      <c r="C1267" s="8" t="s">
        <v>999</v>
      </c>
      <c r="D1267" s="8" t="s">
        <v>1989</v>
      </c>
      <c r="E1267" s="8" t="s">
        <v>1941</v>
      </c>
      <c r="F1267" s="8">
        <v>4.0</v>
      </c>
      <c r="G1267" s="8">
        <v>295.4</v>
      </c>
      <c r="H1267" s="8">
        <v>0.23</v>
      </c>
      <c r="I1267" s="8">
        <f t="shared" si="1"/>
        <v>1181.6</v>
      </c>
      <c r="J1267" s="8">
        <f t="shared" si="2"/>
        <v>-271.538</v>
      </c>
      <c r="K1267" s="8" t="str">
        <f t="shared" si="3"/>
        <v>Dec</v>
      </c>
      <c r="L1267" s="8">
        <f t="shared" si="4"/>
        <v>2027</v>
      </c>
      <c r="N1267" s="8" t="str">
        <f t="array" ref="N1267">XLOOKUP(C1267,Customer_Dim!A:A,Customer_Dim!B:B,"Not Found")</f>
        <v>Jason Mullins</v>
      </c>
      <c r="O1267" s="8" t="str">
        <f t="array" ref="O1267">XLOOKUP(C1267,Customer_Dim!A:A,Customer_Dim!E:E,"Not Found")</f>
        <v>Brianchester</v>
      </c>
      <c r="P1267" s="8" t="str">
        <f t="array" ref="P1267">XLOOKUP(D1267,Product_Dim!A:A,Product_Dim!B:B,"Not Found")</f>
        <v>Not Found</v>
      </c>
      <c r="Q1267" s="8" t="str">
        <f t="array" ref="Q1267">XLOOKUP(D1267,Product_Dim!A:A,Product_Dim!C:C,"Not Found")</f>
        <v>Not Found</v>
      </c>
      <c r="R1267" s="8" t="str">
        <f t="array" ref="R1267">XLOOKUP(E1267,Store_Dim!A:A,Store_Dim!B:B,"Not Found")</f>
        <v>East</v>
      </c>
      <c r="S1267" s="8" t="str">
        <f t="array" ref="S1267">XLOOKUP(E1267,Store_Dim!A:A,Store_Dim!D:D,"Not Found")</f>
        <v>Online</v>
      </c>
    </row>
    <row r="1268" ht="14.25" customHeight="1">
      <c r="A1268" s="8" t="s">
        <v>3221</v>
      </c>
      <c r="B1268" s="12">
        <v>46746.0</v>
      </c>
      <c r="C1268" s="8" t="s">
        <v>324</v>
      </c>
      <c r="D1268" s="8" t="s">
        <v>1872</v>
      </c>
      <c r="E1268" s="8" t="s">
        <v>1915</v>
      </c>
      <c r="F1268" s="8">
        <v>1.0</v>
      </c>
      <c r="G1268" s="8">
        <v>252.18</v>
      </c>
      <c r="H1268" s="8">
        <v>0.23</v>
      </c>
      <c r="I1268" s="8">
        <f t="shared" si="1"/>
        <v>252.18</v>
      </c>
      <c r="J1268" s="8">
        <f t="shared" si="2"/>
        <v>-57.7714</v>
      </c>
      <c r="K1268" s="8" t="str">
        <f t="shared" si="3"/>
        <v>Dec</v>
      </c>
      <c r="L1268" s="8">
        <f t="shared" si="4"/>
        <v>2027</v>
      </c>
      <c r="N1268" s="8" t="str">
        <f t="array" ref="N1268">XLOOKUP(C1268,Customer_Dim!A:A,Customer_Dim!B:B,"Not Found")</f>
        <v>Melissa Duffy MD</v>
      </c>
      <c r="O1268" s="8" t="str">
        <f t="array" ref="O1268">XLOOKUP(C1268,Customer_Dim!A:A,Customer_Dim!E:E,"Not Found")</f>
        <v>East Jenna</v>
      </c>
      <c r="P1268" s="8" t="str">
        <f t="array" ref="P1268">XLOOKUP(D1268,Product_Dim!A:A,Product_Dim!B:B,"Not Found")</f>
        <v>Vitamin E Body Lotion</v>
      </c>
      <c r="Q1268" s="8" t="str">
        <f t="array" ref="Q1268">XLOOKUP(D1268,Product_Dim!A:A,Product_Dim!C:C,"Not Found")</f>
        <v>Beauty</v>
      </c>
      <c r="R1268" s="8" t="str">
        <f t="array" ref="R1268">XLOOKUP(E1268,Store_Dim!A:A,Store_Dim!B:B,"Not Found")</f>
        <v>North</v>
      </c>
      <c r="S1268" s="8" t="str">
        <f t="array" ref="S1268">XLOOKUP(E1268,Store_Dim!A:A,Store_Dim!D:D,"Not Found")</f>
        <v>Outlet</v>
      </c>
    </row>
    <row r="1269" ht="14.25" customHeight="1">
      <c r="A1269" s="8" t="s">
        <v>3222</v>
      </c>
      <c r="B1269" s="12">
        <v>46747.0</v>
      </c>
      <c r="C1269" s="8" t="s">
        <v>523</v>
      </c>
      <c r="D1269" s="8" t="s">
        <v>1881</v>
      </c>
      <c r="E1269" s="8" t="s">
        <v>1929</v>
      </c>
      <c r="F1269" s="8">
        <v>4.0</v>
      </c>
      <c r="G1269" s="8">
        <v>792.1</v>
      </c>
      <c r="H1269" s="8">
        <v>0.19</v>
      </c>
      <c r="I1269" s="8">
        <f t="shared" si="1"/>
        <v>3168.4</v>
      </c>
      <c r="J1269" s="8">
        <f t="shared" si="2"/>
        <v>-601.806</v>
      </c>
      <c r="K1269" s="8" t="str">
        <f t="shared" si="3"/>
        <v>Dec</v>
      </c>
      <c r="L1269" s="8">
        <f t="shared" si="4"/>
        <v>2027</v>
      </c>
      <c r="N1269" s="8" t="str">
        <f t="array" ref="N1269">XLOOKUP(C1269,Customer_Dim!A:A,Customer_Dim!B:B,"Not Found")</f>
        <v>Patrick Roberts</v>
      </c>
      <c r="O1269" s="8" t="str">
        <f t="array" ref="O1269">XLOOKUP(C1269,Customer_Dim!A:A,Customer_Dim!E:E,"Not Found")</f>
        <v>Jaredville</v>
      </c>
      <c r="P1269" s="8" t="str">
        <f t="array" ref="P1269">XLOOKUP(D1269,Product_Dim!A:A,Product_Dim!B:B,"Not Found")</f>
        <v>Cricket Bat</v>
      </c>
      <c r="Q1269" s="8" t="str">
        <f t="array" ref="Q1269">XLOOKUP(D1269,Product_Dim!A:A,Product_Dim!C:C,"Not Found")</f>
        <v>Sports</v>
      </c>
      <c r="R1269" s="8" t="str">
        <f t="array" ref="R1269">XLOOKUP(E1269,Store_Dim!A:A,Store_Dim!B:B,"Not Found")</f>
        <v>North</v>
      </c>
      <c r="S1269" s="8" t="str">
        <f t="array" ref="S1269">XLOOKUP(E1269,Store_Dim!A:A,Store_Dim!D:D,"Not Found")</f>
        <v>Online</v>
      </c>
    </row>
    <row r="1270" ht="14.25" customHeight="1">
      <c r="A1270" s="8" t="s">
        <v>3223</v>
      </c>
      <c r="B1270" s="12">
        <v>46748.0</v>
      </c>
      <c r="C1270" s="8" t="s">
        <v>288</v>
      </c>
      <c r="D1270" s="8" t="s">
        <v>1854</v>
      </c>
      <c r="E1270" s="8" t="s">
        <v>1932</v>
      </c>
      <c r="F1270" s="8">
        <v>1.0</v>
      </c>
      <c r="G1270" s="8">
        <v>883.36</v>
      </c>
      <c r="H1270" s="8">
        <v>0.11</v>
      </c>
      <c r="I1270" s="8">
        <f t="shared" si="1"/>
        <v>883.36</v>
      </c>
      <c r="J1270" s="8">
        <f t="shared" si="2"/>
        <v>-97.0596</v>
      </c>
      <c r="K1270" s="8" t="str">
        <f t="shared" si="3"/>
        <v>Dec</v>
      </c>
      <c r="L1270" s="8">
        <f t="shared" si="4"/>
        <v>2027</v>
      </c>
      <c r="N1270" s="8" t="str">
        <f t="array" ref="N1270">XLOOKUP(C1270,Customer_Dim!A:A,Customer_Dim!B:B,"Not Found")</f>
        <v>Nathan Campbell</v>
      </c>
      <c r="O1270" s="8" t="str">
        <f t="array" ref="O1270">XLOOKUP(C1270,Customer_Dim!A:A,Customer_Dim!E:E,"Not Found")</f>
        <v>Rodrigueztown</v>
      </c>
      <c r="P1270" s="8" t="str">
        <f t="array" ref="P1270">XLOOKUP(D1270,Product_Dim!A:A,Product_Dim!B:B,"Not Found")</f>
        <v>Sports Wrist Sweatbands</v>
      </c>
      <c r="Q1270" s="8" t="str">
        <f t="array" ref="Q1270">XLOOKUP(D1270,Product_Dim!A:A,Product_Dim!C:C,"Not Found")</f>
        <v>Sports</v>
      </c>
      <c r="R1270" s="8" t="str">
        <f t="array" ref="R1270">XLOOKUP(E1270,Store_Dim!A:A,Store_Dim!B:B,"Not Found")</f>
        <v>South</v>
      </c>
      <c r="S1270" s="8" t="str">
        <f t="array" ref="S1270">XLOOKUP(E1270,Store_Dim!A:A,Store_Dim!D:D,"Not Found")</f>
        <v>Outlet</v>
      </c>
    </row>
    <row r="1271" ht="14.25" customHeight="1">
      <c r="A1271" s="8" t="s">
        <v>3224</v>
      </c>
      <c r="B1271" s="12">
        <v>46749.0</v>
      </c>
      <c r="C1271" s="8" t="s">
        <v>893</v>
      </c>
      <c r="D1271" s="8" t="s">
        <v>1797</v>
      </c>
      <c r="E1271" s="8" t="s">
        <v>1899</v>
      </c>
      <c r="F1271" s="8">
        <v>4.0</v>
      </c>
      <c r="G1271" s="8">
        <v>305.95</v>
      </c>
      <c r="H1271" s="8">
        <v>0.08</v>
      </c>
      <c r="I1271" s="8">
        <f t="shared" si="1"/>
        <v>1223.8</v>
      </c>
      <c r="J1271" s="8">
        <f t="shared" si="2"/>
        <v>-97.824</v>
      </c>
      <c r="K1271" s="8" t="str">
        <f t="shared" si="3"/>
        <v>Dec</v>
      </c>
      <c r="L1271" s="8">
        <f t="shared" si="4"/>
        <v>2027</v>
      </c>
      <c r="N1271" s="8" t="str">
        <f t="array" ref="N1271">XLOOKUP(C1271,Customer_Dim!A:A,Customer_Dim!B:B,"Not Found")</f>
        <v>Arthur Warren</v>
      </c>
      <c r="O1271" s="8" t="str">
        <f t="array" ref="O1271">XLOOKUP(C1271,Customer_Dim!A:A,Customer_Dim!E:E,"Not Found")</f>
        <v>Ericshire</v>
      </c>
      <c r="P1271" s="8" t="str">
        <f t="array" ref="P1271">XLOOKUP(D1271,Product_Dim!A:A,Product_Dim!B:B,"Not Found")</f>
        <v>Men's Sports Shorts</v>
      </c>
      <c r="Q1271" s="8" t="str">
        <f t="array" ref="Q1271">XLOOKUP(D1271,Product_Dim!A:A,Product_Dim!C:C,"Not Found")</f>
        <v>Clothing</v>
      </c>
      <c r="R1271" s="8" t="str">
        <f t="array" ref="R1271">XLOOKUP(E1271,Store_Dim!A:A,Store_Dim!B:B,"Not Found")</f>
        <v>East</v>
      </c>
      <c r="S1271" s="8" t="str">
        <f t="array" ref="S1271">XLOOKUP(E1271,Store_Dim!A:A,Store_Dim!D:D,"Not Found")</f>
        <v>Flagship</v>
      </c>
    </row>
    <row r="1272" ht="14.25" customHeight="1">
      <c r="A1272" s="8" t="s">
        <v>3225</v>
      </c>
      <c r="B1272" s="12">
        <v>46750.0</v>
      </c>
      <c r="C1272" s="8" t="s">
        <v>1265</v>
      </c>
      <c r="D1272" s="8" t="s">
        <v>1763</v>
      </c>
      <c r="E1272" s="8" t="s">
        <v>1919</v>
      </c>
      <c r="F1272" s="8">
        <v>3.0</v>
      </c>
      <c r="G1272" s="8">
        <v>742.45</v>
      </c>
      <c r="H1272" s="8">
        <v>0.23</v>
      </c>
      <c r="I1272" s="8">
        <f t="shared" si="1"/>
        <v>2227.35</v>
      </c>
      <c r="J1272" s="8">
        <f t="shared" si="2"/>
        <v>-512.0605</v>
      </c>
      <c r="K1272" s="8" t="str">
        <f t="shared" si="3"/>
        <v>Dec</v>
      </c>
      <c r="L1272" s="8">
        <f t="shared" si="4"/>
        <v>2027</v>
      </c>
      <c r="N1272" s="8" t="str">
        <f t="array" ref="N1272">XLOOKUP(C1272,Customer_Dim!A:A,Customer_Dim!B:B,"Not Found")</f>
        <v>Terry Moses</v>
      </c>
      <c r="O1272" s="8" t="str">
        <f t="array" ref="O1272">XLOOKUP(C1272,Customer_Dim!A:A,Customer_Dim!E:E,"Not Found")</f>
        <v>Leahmouth</v>
      </c>
      <c r="P1272" s="8" t="str">
        <f t="array" ref="P1272">XLOOKUP(D1272,Product_Dim!A:A,Product_Dim!B:B,"Not Found")</f>
        <v>Womens Cotton Scarf</v>
      </c>
      <c r="Q1272" s="8" t="str">
        <f t="array" ref="Q1272">XLOOKUP(D1272,Product_Dim!A:A,Product_Dim!C:C,"Not Found")</f>
        <v>Clothing</v>
      </c>
      <c r="R1272" s="8" t="str">
        <f t="array" ref="R1272">XLOOKUP(E1272,Store_Dim!A:A,Store_Dim!B:B,"Not Found")</f>
        <v>South</v>
      </c>
      <c r="S1272" s="8" t="str">
        <f t="array" ref="S1272">XLOOKUP(E1272,Store_Dim!A:A,Store_Dim!D:D,"Not Found")</f>
        <v>Online</v>
      </c>
    </row>
    <row r="1273" ht="14.25" customHeight="1">
      <c r="A1273" s="8" t="s">
        <v>3226</v>
      </c>
      <c r="B1273" s="12">
        <v>46751.0</v>
      </c>
      <c r="C1273" s="8" t="s">
        <v>1128</v>
      </c>
      <c r="D1273" s="8" t="s">
        <v>1659</v>
      </c>
      <c r="E1273" s="8" t="s">
        <v>1939</v>
      </c>
      <c r="F1273" s="8">
        <v>3.0</v>
      </c>
      <c r="G1273" s="8">
        <v>336.1</v>
      </c>
      <c r="H1273" s="8">
        <v>0.12</v>
      </c>
      <c r="I1273" s="8">
        <f t="shared" si="1"/>
        <v>1008.3</v>
      </c>
      <c r="J1273" s="8">
        <f t="shared" si="2"/>
        <v>-120.876</v>
      </c>
      <c r="K1273" s="8" t="str">
        <f t="shared" si="3"/>
        <v>Dec</v>
      </c>
      <c r="L1273" s="8">
        <f t="shared" si="4"/>
        <v>2027</v>
      </c>
      <c r="N1273" s="8" t="str">
        <f t="array" ref="N1273">XLOOKUP(C1273,Customer_Dim!A:A,Customer_Dim!B:B,"Not Found")</f>
        <v>Carlos Flores</v>
      </c>
      <c r="O1273" s="8" t="str">
        <f t="array" ref="O1273">XLOOKUP(C1273,Customer_Dim!A:A,Customer_Dim!E:E,"Not Found")</f>
        <v>North Johnfurt</v>
      </c>
      <c r="P1273" s="8" t="str">
        <f t="array" ref="P1273">XLOOKUP(D1273,Product_Dim!A:A,Product_Dim!B:B,"Not Found")</f>
        <v>Women's Scarf Set</v>
      </c>
      <c r="Q1273" s="8" t="str">
        <f t="array" ref="Q1273">XLOOKUP(D1273,Product_Dim!A:A,Product_Dim!C:C,"Not Found")</f>
        <v>Clothing</v>
      </c>
      <c r="R1273" s="8" t="str">
        <f t="array" ref="R1273">XLOOKUP(E1273,Store_Dim!A:A,Store_Dim!B:B,"Not Found")</f>
        <v>East</v>
      </c>
      <c r="S1273" s="8" t="str">
        <f t="array" ref="S1273">XLOOKUP(E1273,Store_Dim!A:A,Store_Dim!D:D,"Not Found")</f>
        <v>Flagship</v>
      </c>
    </row>
    <row r="1274" ht="14.25" customHeight="1">
      <c r="A1274" s="8" t="s">
        <v>3227</v>
      </c>
      <c r="B1274" s="12">
        <v>46752.0</v>
      </c>
      <c r="C1274" s="8" t="s">
        <v>1297</v>
      </c>
      <c r="D1274" s="8" t="s">
        <v>1671</v>
      </c>
      <c r="E1274" s="8" t="s">
        <v>1919</v>
      </c>
      <c r="F1274" s="8">
        <v>3.0</v>
      </c>
      <c r="G1274" s="8">
        <v>310.36</v>
      </c>
      <c r="H1274" s="8">
        <v>0.14</v>
      </c>
      <c r="I1274" s="8">
        <f t="shared" si="1"/>
        <v>931.08</v>
      </c>
      <c r="J1274" s="8">
        <f t="shared" si="2"/>
        <v>-130.2112</v>
      </c>
      <c r="K1274" s="8" t="str">
        <f t="shared" si="3"/>
        <v>Dec</v>
      </c>
      <c r="L1274" s="8">
        <f t="shared" si="4"/>
        <v>2027</v>
      </c>
      <c r="N1274" s="8" t="str">
        <f t="array" ref="N1274">XLOOKUP(C1274,Customer_Dim!A:A,Customer_Dim!B:B,"Not Found")</f>
        <v>Shane Brown</v>
      </c>
      <c r="O1274" s="8" t="str">
        <f t="array" ref="O1274">XLOOKUP(C1274,Customer_Dim!A:A,Customer_Dim!E:E,"Not Found")</f>
        <v>East Andrea</v>
      </c>
      <c r="P1274" s="8" t="str">
        <f t="array" ref="P1274">XLOOKUP(D1274,Product_Dim!A:A,Product_Dim!B:B,"Not Found")</f>
        <v>Fabric Sofa Throw Blanket</v>
      </c>
      <c r="Q1274" s="8" t="str">
        <f t="array" ref="Q1274">XLOOKUP(D1274,Product_Dim!A:A,Product_Dim!C:C,"Not Found")</f>
        <v>Home</v>
      </c>
      <c r="R1274" s="8" t="str">
        <f t="array" ref="R1274">XLOOKUP(E1274,Store_Dim!A:A,Store_Dim!B:B,"Not Found")</f>
        <v>South</v>
      </c>
      <c r="S1274" s="8" t="str">
        <f t="array" ref="S1274">XLOOKUP(E1274,Store_Dim!A:A,Store_Dim!D:D,"Not Found")</f>
        <v>Online</v>
      </c>
    </row>
    <row r="1275" ht="14.25" customHeight="1">
      <c r="A1275" s="8" t="s">
        <v>3228</v>
      </c>
      <c r="B1275" s="12">
        <v>46753.0</v>
      </c>
      <c r="C1275" s="8" t="s">
        <v>902</v>
      </c>
      <c r="D1275" s="8" t="s">
        <v>1884</v>
      </c>
      <c r="E1275" s="8" t="s">
        <v>1921</v>
      </c>
      <c r="F1275" s="8">
        <v>3.0</v>
      </c>
      <c r="G1275" s="8">
        <v>992.81</v>
      </c>
      <c r="H1275" s="8">
        <v>0.04</v>
      </c>
      <c r="I1275" s="8">
        <f t="shared" si="1"/>
        <v>2978.43</v>
      </c>
      <c r="J1275" s="8">
        <f t="shared" si="2"/>
        <v>-119.0972</v>
      </c>
      <c r="K1275" s="8" t="str">
        <f t="shared" si="3"/>
        <v>Jan</v>
      </c>
      <c r="L1275" s="8">
        <f t="shared" si="4"/>
        <v>2028</v>
      </c>
      <c r="N1275" s="8" t="str">
        <f t="array" ref="N1275">XLOOKUP(C1275,Customer_Dim!A:A,Customer_Dim!B:B,"Not Found")</f>
        <v>Aaron Luna</v>
      </c>
      <c r="O1275" s="8" t="str">
        <f t="array" ref="O1275">XLOOKUP(C1275,Customer_Dim!A:A,Customer_Dim!E:E,"Not Found")</f>
        <v>Gilltown</v>
      </c>
      <c r="P1275" s="8" t="str">
        <f t="array" ref="P1275">XLOOKUP(D1275,Product_Dim!A:A,Product_Dim!B:B,"Not Found")</f>
        <v>Portable Bluetooth Speaker</v>
      </c>
      <c r="Q1275" s="8" t="str">
        <f t="array" ref="Q1275">XLOOKUP(D1275,Product_Dim!A:A,Product_Dim!C:C,"Not Found")</f>
        <v>Electronics</v>
      </c>
      <c r="R1275" s="8" t="str">
        <f t="array" ref="R1275">XLOOKUP(E1275,Store_Dim!A:A,Store_Dim!B:B,"Not Found")</f>
        <v>West</v>
      </c>
      <c r="S1275" s="8" t="str">
        <f t="array" ref="S1275">XLOOKUP(E1275,Store_Dim!A:A,Store_Dim!D:D,"Not Found")</f>
        <v>Online</v>
      </c>
    </row>
    <row r="1276" ht="14.25" customHeight="1">
      <c r="A1276" s="8" t="s">
        <v>3229</v>
      </c>
      <c r="B1276" s="12">
        <v>46754.0</v>
      </c>
      <c r="C1276" s="8" t="s">
        <v>660</v>
      </c>
      <c r="D1276" s="8" t="s">
        <v>1769</v>
      </c>
      <c r="E1276" s="8" t="s">
        <v>1928</v>
      </c>
      <c r="F1276" s="8">
        <v>3.0</v>
      </c>
      <c r="G1276" s="8">
        <v>257.11</v>
      </c>
      <c r="H1276" s="8">
        <v>0.26</v>
      </c>
      <c r="I1276" s="8">
        <f t="shared" si="1"/>
        <v>771.33</v>
      </c>
      <c r="J1276" s="8">
        <f t="shared" si="2"/>
        <v>-200.2858</v>
      </c>
      <c r="K1276" s="8" t="str">
        <f t="shared" si="3"/>
        <v>Jan</v>
      </c>
      <c r="L1276" s="8">
        <f t="shared" si="4"/>
        <v>2028</v>
      </c>
      <c r="N1276" s="8" t="str">
        <f t="array" ref="N1276">XLOOKUP(C1276,Customer_Dim!A:A,Customer_Dim!B:B,"Not Found")</f>
        <v>Wanda Snyder</v>
      </c>
      <c r="O1276" s="8" t="str">
        <f t="array" ref="O1276">XLOOKUP(C1276,Customer_Dim!A:A,Customer_Dim!E:E,"Not Found")</f>
        <v>Frostmouth</v>
      </c>
      <c r="P1276" s="8" t="str">
        <f t="array" ref="P1276">XLOOKUP(D1276,Product_Dim!A:A,Product_Dim!B:B,"Not Found")</f>
        <v>Luxury Perfume Spray</v>
      </c>
      <c r="Q1276" s="8" t="str">
        <f t="array" ref="Q1276">XLOOKUP(D1276,Product_Dim!A:A,Product_Dim!C:C,"Not Found")</f>
        <v>Beauty</v>
      </c>
      <c r="R1276" s="8" t="str">
        <f t="array" ref="R1276">XLOOKUP(E1276,Store_Dim!A:A,Store_Dim!B:B,"Not Found")</f>
        <v>South</v>
      </c>
      <c r="S1276" s="8" t="str">
        <f t="array" ref="S1276">XLOOKUP(E1276,Store_Dim!A:A,Store_Dim!D:D,"Not Found")</f>
        <v>Online</v>
      </c>
    </row>
    <row r="1277" ht="14.25" customHeight="1">
      <c r="A1277" s="8" t="s">
        <v>3230</v>
      </c>
      <c r="B1277" s="12">
        <v>46755.0</v>
      </c>
      <c r="C1277" s="8" t="s">
        <v>726</v>
      </c>
      <c r="D1277" s="8" t="s">
        <v>1875</v>
      </c>
      <c r="E1277" s="8" t="s">
        <v>1929</v>
      </c>
      <c r="F1277" s="8">
        <v>4.0</v>
      </c>
      <c r="G1277" s="8">
        <v>816.29</v>
      </c>
      <c r="H1277" s="8">
        <v>0.24</v>
      </c>
      <c r="I1277" s="8">
        <f t="shared" si="1"/>
        <v>3265.16</v>
      </c>
      <c r="J1277" s="8">
        <f t="shared" si="2"/>
        <v>-783.3984</v>
      </c>
      <c r="K1277" s="8" t="str">
        <f t="shared" si="3"/>
        <v>Jan</v>
      </c>
      <c r="L1277" s="8">
        <f t="shared" si="4"/>
        <v>2028</v>
      </c>
      <c r="N1277" s="8" t="str">
        <f t="array" ref="N1277">XLOOKUP(C1277,Customer_Dim!A:A,Customer_Dim!B:B,"Not Found")</f>
        <v>George Davis</v>
      </c>
      <c r="O1277" s="8" t="str">
        <f t="array" ref="O1277">XLOOKUP(C1277,Customer_Dim!A:A,Customer_Dim!E:E,"Not Found")</f>
        <v>    lake lisa</v>
      </c>
      <c r="P1277" s="8" t="str">
        <f t="array" ref="P1277">XLOOKUP(D1277,Product_Dim!A:A,Product_Dim!B:B,"Not Found")</f>
        <v>Sports Stopwatch Basic</v>
      </c>
      <c r="Q1277" s="8" t="str">
        <f t="array" ref="Q1277">XLOOKUP(D1277,Product_Dim!A:A,Product_Dim!C:C,"Not Found")</f>
        <v>Sports</v>
      </c>
      <c r="R1277" s="8" t="str">
        <f t="array" ref="R1277">XLOOKUP(E1277,Store_Dim!A:A,Store_Dim!B:B,"Not Found")</f>
        <v>North</v>
      </c>
      <c r="S1277" s="8" t="str">
        <f t="array" ref="S1277">XLOOKUP(E1277,Store_Dim!A:A,Store_Dim!D:D,"Not Found")</f>
        <v>Online</v>
      </c>
    </row>
    <row r="1278" ht="14.25" customHeight="1">
      <c r="A1278" s="8" t="s">
        <v>3231</v>
      </c>
      <c r="B1278" s="12">
        <v>46756.0</v>
      </c>
      <c r="C1278" s="8" t="s">
        <v>433</v>
      </c>
      <c r="D1278" s="8" t="s">
        <v>1769</v>
      </c>
      <c r="E1278" s="8" t="s">
        <v>1929</v>
      </c>
      <c r="F1278" s="8">
        <v>4.0</v>
      </c>
      <c r="G1278" s="8">
        <v>755.82</v>
      </c>
      <c r="H1278" s="8">
        <v>0.22</v>
      </c>
      <c r="I1278" s="8">
        <f t="shared" si="1"/>
        <v>3023.28</v>
      </c>
      <c r="J1278" s="8">
        <f t="shared" si="2"/>
        <v>-664.9016</v>
      </c>
      <c r="K1278" s="8" t="str">
        <f t="shared" si="3"/>
        <v>Jan</v>
      </c>
      <c r="L1278" s="8">
        <f t="shared" si="4"/>
        <v>2028</v>
      </c>
      <c r="N1278" s="8" t="str">
        <f t="array" ref="N1278">XLOOKUP(C1278,Customer_Dim!A:A,Customer_Dim!B:B,"Not Found")</f>
        <v>Michael Chang</v>
      </c>
      <c r="O1278" s="8" t="str">
        <f t="array" ref="O1278">XLOOKUP(C1278,Customer_Dim!A:A,Customer_Dim!E:E,"Not Found")</f>
        <v>Kathrynport</v>
      </c>
      <c r="P1278" s="8" t="str">
        <f t="array" ref="P1278">XLOOKUP(D1278,Product_Dim!A:A,Product_Dim!B:B,"Not Found")</f>
        <v>Luxury Perfume Spray</v>
      </c>
      <c r="Q1278" s="8" t="str">
        <f t="array" ref="Q1278">XLOOKUP(D1278,Product_Dim!A:A,Product_Dim!C:C,"Not Found")</f>
        <v>Beauty</v>
      </c>
      <c r="R1278" s="8" t="str">
        <f t="array" ref="R1278">XLOOKUP(E1278,Store_Dim!A:A,Store_Dim!B:B,"Not Found")</f>
        <v>North</v>
      </c>
      <c r="S1278" s="8" t="str">
        <f t="array" ref="S1278">XLOOKUP(E1278,Store_Dim!A:A,Store_Dim!D:D,"Not Found")</f>
        <v>Online</v>
      </c>
    </row>
    <row r="1279" ht="14.25" customHeight="1">
      <c r="A1279" s="8" t="s">
        <v>3232</v>
      </c>
      <c r="B1279" s="12">
        <v>46757.0</v>
      </c>
      <c r="C1279" s="8" t="s">
        <v>30</v>
      </c>
      <c r="D1279" s="8" t="s">
        <v>1562</v>
      </c>
      <c r="E1279" s="8" t="s">
        <v>1932</v>
      </c>
      <c r="F1279" s="8">
        <v>1.0</v>
      </c>
      <c r="G1279" s="8">
        <v>449.6</v>
      </c>
      <c r="H1279" s="8">
        <v>0.01</v>
      </c>
      <c r="I1279" s="8">
        <f t="shared" si="1"/>
        <v>449.6</v>
      </c>
      <c r="J1279" s="8">
        <f t="shared" si="2"/>
        <v>-4.486</v>
      </c>
      <c r="K1279" s="8" t="str">
        <f t="shared" si="3"/>
        <v>Jan</v>
      </c>
      <c r="L1279" s="8">
        <f t="shared" si="4"/>
        <v>2028</v>
      </c>
      <c r="N1279" s="8" t="str">
        <f t="array" ref="N1279">XLOOKUP(C1279,Customer_Dim!A:A,Customer_Dim!B:B,"Not Found")</f>
        <v>jeremy harris</v>
      </c>
      <c r="O1279" s="8" t="str">
        <f t="array" ref="O1279">XLOOKUP(C1279,Customer_Dim!A:A,Customer_Dim!E:E,"Not Found")</f>
        <v>Thomastown</v>
      </c>
      <c r="P1279" s="8" t="str">
        <f t="array" ref="P1279">XLOOKUP(D1279,Product_Dim!A:A,Product_Dim!B:B,"Not Found")</f>
        <v>Brother Laser Printer</v>
      </c>
      <c r="Q1279" s="8" t="str">
        <f t="array" ref="Q1279">XLOOKUP(D1279,Product_Dim!A:A,Product_Dim!C:C,"Not Found")</f>
        <v>Electronics</v>
      </c>
      <c r="R1279" s="8" t="str">
        <f t="array" ref="R1279">XLOOKUP(E1279,Store_Dim!A:A,Store_Dim!B:B,"Not Found")</f>
        <v>South</v>
      </c>
      <c r="S1279" s="8" t="str">
        <f t="array" ref="S1279">XLOOKUP(E1279,Store_Dim!A:A,Store_Dim!D:D,"Not Found")</f>
        <v>Outlet</v>
      </c>
    </row>
    <row r="1280" ht="14.25" customHeight="1">
      <c r="A1280" s="8" t="s">
        <v>3233</v>
      </c>
      <c r="B1280" s="12">
        <v>46758.0</v>
      </c>
      <c r="C1280" s="8" t="s">
        <v>1116</v>
      </c>
      <c r="D1280" s="8" t="s">
        <v>1620</v>
      </c>
      <c r="E1280" s="8" t="s">
        <v>1899</v>
      </c>
      <c r="F1280" s="8">
        <v>2.0</v>
      </c>
      <c r="G1280" s="8">
        <v>779.29</v>
      </c>
      <c r="H1280" s="8">
        <v>0.12</v>
      </c>
      <c r="I1280" s="8">
        <f t="shared" si="1"/>
        <v>1558.58</v>
      </c>
      <c r="J1280" s="8">
        <f t="shared" si="2"/>
        <v>-186.9096</v>
      </c>
      <c r="K1280" s="8" t="str">
        <f t="shared" si="3"/>
        <v>Jan</v>
      </c>
      <c r="L1280" s="8">
        <f t="shared" si="4"/>
        <v>2028</v>
      </c>
      <c r="N1280" s="8" t="str">
        <f t="array" ref="N1280">XLOOKUP(C1280,Customer_Dim!A:A,Customer_Dim!B:B,"Not Found")</f>
        <v>Jeffrey Mccarthy</v>
      </c>
      <c r="O1280" s="8" t="str">
        <f t="array" ref="O1280">XLOOKUP(C1280,Customer_Dim!A:A,Customer_Dim!E:E,"Not Found")</f>
        <v>North Samuel</v>
      </c>
      <c r="P1280" s="8" t="str">
        <f t="array" ref="P1280">XLOOKUP(D1280,Product_Dim!A:A,Product_Dim!B:B,"Not Found")</f>
        <v>Decorative Wall Mirror</v>
      </c>
      <c r="Q1280" s="8" t="str">
        <f t="array" ref="Q1280">XLOOKUP(D1280,Product_Dim!A:A,Product_Dim!C:C,"Not Found")</f>
        <v>Home</v>
      </c>
      <c r="R1280" s="8" t="str">
        <f t="array" ref="R1280">XLOOKUP(E1280,Store_Dim!A:A,Store_Dim!B:B,"Not Found")</f>
        <v>East</v>
      </c>
      <c r="S1280" s="8" t="str">
        <f t="array" ref="S1280">XLOOKUP(E1280,Store_Dim!A:A,Store_Dim!D:D,"Not Found")</f>
        <v>Flagship</v>
      </c>
    </row>
    <row r="1281" ht="14.25" customHeight="1">
      <c r="A1281" s="8" t="s">
        <v>3234</v>
      </c>
      <c r="B1281" s="12">
        <v>46759.0</v>
      </c>
      <c r="C1281" s="8" t="s">
        <v>1447</v>
      </c>
      <c r="D1281" s="8" t="s">
        <v>1821</v>
      </c>
      <c r="E1281" s="8" t="s">
        <v>1937</v>
      </c>
      <c r="F1281" s="8">
        <v>1.0</v>
      </c>
      <c r="G1281" s="8">
        <v>748.75</v>
      </c>
      <c r="H1281" s="8">
        <v>0.1</v>
      </c>
      <c r="I1281" s="8">
        <f t="shared" si="1"/>
        <v>748.75</v>
      </c>
      <c r="J1281" s="8">
        <f t="shared" si="2"/>
        <v>-74.775</v>
      </c>
      <c r="K1281" s="8" t="str">
        <f t="shared" si="3"/>
        <v>Jan</v>
      </c>
      <c r="L1281" s="8">
        <f t="shared" si="4"/>
        <v>2028</v>
      </c>
      <c r="N1281" s="8" t="str">
        <f t="array" ref="N1281">XLOOKUP(C1281,Customer_Dim!A:A,Customer_Dim!B:B,"Not Found")</f>
        <v>David Pierce</v>
      </c>
      <c r="O1281" s="8" t="str">
        <f t="array" ref="O1281">XLOOKUP(C1281,Customer_Dim!A:A,Customer_Dim!E:E,"Not Found")</f>
        <v>Grayland</v>
      </c>
      <c r="P1281" s="8" t="str">
        <f t="array" ref="P1281">XLOOKUP(D1281,Product_Dim!A:A,Product_Dim!B:B,"Not Found")</f>
        <v>WiFi Mesh Router</v>
      </c>
      <c r="Q1281" s="8" t="str">
        <f t="array" ref="Q1281">XLOOKUP(D1281,Product_Dim!A:A,Product_Dim!C:C,"Not Found")</f>
        <v>Electronics</v>
      </c>
      <c r="R1281" s="8" t="str">
        <f t="array" ref="R1281">XLOOKUP(E1281,Store_Dim!A:A,Store_Dim!B:B,"Not Found")</f>
        <v>North</v>
      </c>
      <c r="S1281" s="8" t="str">
        <f t="array" ref="S1281">XLOOKUP(E1281,Store_Dim!A:A,Store_Dim!D:D,"Not Found")</f>
        <v>Flagship</v>
      </c>
    </row>
    <row r="1282" ht="14.25" customHeight="1">
      <c r="A1282" s="8" t="s">
        <v>3235</v>
      </c>
      <c r="B1282" s="12">
        <v>46760.0</v>
      </c>
      <c r="C1282" s="8" t="s">
        <v>610</v>
      </c>
      <c r="D1282" s="8" t="s">
        <v>1857</v>
      </c>
      <c r="E1282" s="8" t="s">
        <v>1899</v>
      </c>
      <c r="F1282" s="8">
        <v>2.0</v>
      </c>
      <c r="G1282" s="8">
        <v>121.67</v>
      </c>
      <c r="H1282" s="8">
        <v>0.08</v>
      </c>
      <c r="I1282" s="8">
        <f t="shared" si="1"/>
        <v>243.34</v>
      </c>
      <c r="J1282" s="8">
        <f t="shared" si="2"/>
        <v>-19.3872</v>
      </c>
      <c r="K1282" s="8" t="str">
        <f t="shared" si="3"/>
        <v>Jan</v>
      </c>
      <c r="L1282" s="8">
        <f t="shared" si="4"/>
        <v>2028</v>
      </c>
      <c r="N1282" s="8" t="str">
        <f t="array" ref="N1282">XLOOKUP(C1282,Customer_Dim!A:A,Customer_Dim!B:B,"Not Found")</f>
        <v>Erin Ward</v>
      </c>
      <c r="O1282" s="8" t="str">
        <f t="array" ref="O1282">XLOOKUP(C1282,Customer_Dim!A:A,Customer_Dim!E:E,"Not Found")</f>
        <v>New Brianchester</v>
      </c>
      <c r="P1282" s="8" t="str">
        <f t="array" ref="P1282">XLOOKUP(D1282,Product_Dim!A:A,Product_Dim!B:B,"Not Found")</f>
        <v>Face Foundation Kit</v>
      </c>
      <c r="Q1282" s="8" t="str">
        <f t="array" ref="Q1282">XLOOKUP(D1282,Product_Dim!A:A,Product_Dim!C:C,"Not Found")</f>
        <v>Beauty</v>
      </c>
      <c r="R1282" s="8" t="str">
        <f t="array" ref="R1282">XLOOKUP(E1282,Store_Dim!A:A,Store_Dim!B:B,"Not Found")</f>
        <v>East</v>
      </c>
      <c r="S1282" s="8" t="str">
        <f t="array" ref="S1282">XLOOKUP(E1282,Store_Dim!A:A,Store_Dim!D:D,"Not Found")</f>
        <v>Flagship</v>
      </c>
    </row>
    <row r="1283" ht="14.25" customHeight="1">
      <c r="A1283" s="8" t="s">
        <v>3236</v>
      </c>
      <c r="B1283" s="12">
        <v>46761.0</v>
      </c>
      <c r="C1283" s="8" t="s">
        <v>1529</v>
      </c>
      <c r="D1283" s="8" t="s">
        <v>1735</v>
      </c>
      <c r="E1283" s="8" t="s">
        <v>1933</v>
      </c>
      <c r="F1283" s="8">
        <v>3.0</v>
      </c>
      <c r="G1283" s="8">
        <v>225.14</v>
      </c>
      <c r="H1283" s="8">
        <v>0.15</v>
      </c>
      <c r="I1283" s="8">
        <f t="shared" si="1"/>
        <v>675.42</v>
      </c>
      <c r="J1283" s="8">
        <f t="shared" si="2"/>
        <v>-101.163</v>
      </c>
      <c r="K1283" s="8" t="str">
        <f t="shared" si="3"/>
        <v>Jan</v>
      </c>
      <c r="L1283" s="8">
        <f t="shared" si="4"/>
        <v>2028</v>
      </c>
      <c r="N1283" s="8" t="str">
        <f t="array" ref="N1283">XLOOKUP(C1283,Customer_Dim!A:A,Customer_Dim!B:B,"Not Found")</f>
        <v>Darrell Miller</v>
      </c>
      <c r="O1283" s="8" t="str">
        <f t="array" ref="O1283">XLOOKUP(C1283,Customer_Dim!A:A,Customer_Dim!E:E,"Not Found")</f>
        <v>Port Carol</v>
      </c>
      <c r="P1283" s="8" t="str">
        <f t="array" ref="P1283">XLOOKUP(D1283,Product_Dim!A:A,Product_Dim!B:B,"Not Found")</f>
        <v>Men's Roll-On Perfume</v>
      </c>
      <c r="Q1283" s="8" t="str">
        <f t="array" ref="Q1283">XLOOKUP(D1283,Product_Dim!A:A,Product_Dim!C:C,"Not Found")</f>
        <v>Beauty</v>
      </c>
      <c r="R1283" s="8" t="str">
        <f t="array" ref="R1283">XLOOKUP(E1283,Store_Dim!A:A,Store_Dim!B:B,"Not Found")</f>
        <v>North</v>
      </c>
      <c r="S1283" s="8" t="str">
        <f t="array" ref="S1283">XLOOKUP(E1283,Store_Dim!A:A,Store_Dim!D:D,"Not Found")</f>
        <v>Flagship</v>
      </c>
    </row>
    <row r="1284" ht="14.25" customHeight="1">
      <c r="A1284" s="8" t="s">
        <v>3237</v>
      </c>
      <c r="B1284" s="12">
        <v>46762.0</v>
      </c>
      <c r="C1284" s="8" t="s">
        <v>1026</v>
      </c>
      <c r="D1284" s="8" t="s">
        <v>1671</v>
      </c>
      <c r="E1284" s="8" t="s">
        <v>1941</v>
      </c>
      <c r="F1284" s="8">
        <v>1.0</v>
      </c>
      <c r="G1284" s="8">
        <v>654.18</v>
      </c>
      <c r="H1284" s="8">
        <v>0.19</v>
      </c>
      <c r="I1284" s="8">
        <f t="shared" si="1"/>
        <v>654.18</v>
      </c>
      <c r="J1284" s="8">
        <f t="shared" si="2"/>
        <v>-124.1042</v>
      </c>
      <c r="K1284" s="8" t="str">
        <f t="shared" si="3"/>
        <v>Jan</v>
      </c>
      <c r="L1284" s="8">
        <f t="shared" si="4"/>
        <v>2028</v>
      </c>
      <c r="N1284" s="8" t="str">
        <f t="array" ref="N1284">XLOOKUP(C1284,Customer_Dim!A:A,Customer_Dim!B:B,"Not Found")</f>
        <v>Darren Burton</v>
      </c>
      <c r="O1284" s="8" t="str">
        <f t="array" ref="O1284">XLOOKUP(C1284,Customer_Dim!A:A,Customer_Dim!E:E,"Not Found")</f>
        <v>Lake Alice</v>
      </c>
      <c r="P1284" s="8" t="str">
        <f t="array" ref="P1284">XLOOKUP(D1284,Product_Dim!A:A,Product_Dim!B:B,"Not Found")</f>
        <v>Fabric Sofa Throw Blanket</v>
      </c>
      <c r="Q1284" s="8" t="str">
        <f t="array" ref="Q1284">XLOOKUP(D1284,Product_Dim!A:A,Product_Dim!C:C,"Not Found")</f>
        <v>Home</v>
      </c>
      <c r="R1284" s="8" t="str">
        <f t="array" ref="R1284">XLOOKUP(E1284,Store_Dim!A:A,Store_Dim!B:B,"Not Found")</f>
        <v>East</v>
      </c>
      <c r="S1284" s="8" t="str">
        <f t="array" ref="S1284">XLOOKUP(E1284,Store_Dim!A:A,Store_Dim!D:D,"Not Found")</f>
        <v>Online</v>
      </c>
    </row>
    <row r="1285" ht="14.25" customHeight="1">
      <c r="A1285" s="8" t="s">
        <v>3238</v>
      </c>
      <c r="B1285" s="12">
        <v>46763.0</v>
      </c>
      <c r="C1285" s="8" t="s">
        <v>228</v>
      </c>
      <c r="D1285" s="8" t="s">
        <v>1803</v>
      </c>
      <c r="E1285" s="8" t="s">
        <v>1915</v>
      </c>
      <c r="F1285" s="8">
        <v>2.0</v>
      </c>
      <c r="G1285" s="8">
        <v>504.98</v>
      </c>
      <c r="H1285" s="8">
        <v>0.08</v>
      </c>
      <c r="I1285" s="8">
        <f t="shared" si="1"/>
        <v>1009.96</v>
      </c>
      <c r="J1285" s="8">
        <f t="shared" si="2"/>
        <v>-80.7168</v>
      </c>
      <c r="K1285" s="8" t="str">
        <f t="shared" si="3"/>
        <v>Jan</v>
      </c>
      <c r="L1285" s="8">
        <f t="shared" si="4"/>
        <v>2028</v>
      </c>
      <c r="N1285" s="8" t="str">
        <f t="array" ref="N1285">XLOOKUP(C1285,Customer_Dim!A:A,Customer_Dim!B:B,"Not Found")</f>
        <v>Cheryl Copeland</v>
      </c>
      <c r="O1285" s="8" t="str">
        <f t="array" ref="O1285">XLOOKUP(C1285,Customer_Dim!A:A,Customer_Dim!E:E,"Not Found")</f>
        <v>Snowmouth</v>
      </c>
      <c r="P1285" s="8" t="str">
        <f t="array" ref="P1285">XLOOKUP(D1285,Product_Dim!A:A,Product_Dim!B:B,"Not Found")</f>
        <v>Hair Repair Oil Treatment</v>
      </c>
      <c r="Q1285" s="8" t="str">
        <f t="array" ref="Q1285">XLOOKUP(D1285,Product_Dim!A:A,Product_Dim!C:C,"Not Found")</f>
        <v>Beauty</v>
      </c>
      <c r="R1285" s="8" t="str">
        <f t="array" ref="R1285">XLOOKUP(E1285,Store_Dim!A:A,Store_Dim!B:B,"Not Found")</f>
        <v>North</v>
      </c>
      <c r="S1285" s="8" t="str">
        <f t="array" ref="S1285">XLOOKUP(E1285,Store_Dim!A:A,Store_Dim!D:D,"Not Found")</f>
        <v>Outlet</v>
      </c>
    </row>
    <row r="1286" ht="14.25" customHeight="1">
      <c r="A1286" s="8" t="s">
        <v>3239</v>
      </c>
      <c r="B1286" s="12">
        <v>46764.0</v>
      </c>
      <c r="C1286" s="8" t="s">
        <v>1197</v>
      </c>
      <c r="D1286" s="8" t="s">
        <v>1751</v>
      </c>
      <c r="E1286" s="8" t="s">
        <v>1921</v>
      </c>
      <c r="F1286" s="8">
        <v>2.0</v>
      </c>
      <c r="G1286" s="8">
        <v>623.2</v>
      </c>
      <c r="H1286" s="8">
        <v>0.14</v>
      </c>
      <c r="I1286" s="8">
        <f t="shared" si="1"/>
        <v>1246.4</v>
      </c>
      <c r="J1286" s="8">
        <f t="shared" si="2"/>
        <v>-174.356</v>
      </c>
      <c r="K1286" s="8" t="str">
        <f t="shared" si="3"/>
        <v>Jan</v>
      </c>
      <c r="L1286" s="8">
        <f t="shared" si="4"/>
        <v>2028</v>
      </c>
      <c r="N1286" s="8" t="str">
        <f t="array" ref="N1286">XLOOKUP(C1286,Customer_Dim!A:A,Customer_Dim!B:B,"Not Found")</f>
        <v>Frank Stewart</v>
      </c>
      <c r="O1286" s="8" t="str">
        <f t="array" ref="O1286">XLOOKUP(C1286,Customer_Dim!A:A,Customer_Dim!E:E,"Not Found")</f>
        <v>Fischerborough</v>
      </c>
      <c r="P1286" s="8" t="str">
        <f t="array" ref="P1286">XLOOKUP(D1286,Product_Dim!A:A,Product_Dim!B:B,"Not Found")</f>
        <v>Sports Stopwatch Pro</v>
      </c>
      <c r="Q1286" s="8" t="str">
        <f t="array" ref="Q1286">XLOOKUP(D1286,Product_Dim!A:A,Product_Dim!C:C,"Not Found")</f>
        <v>Sports</v>
      </c>
      <c r="R1286" s="8" t="str">
        <f t="array" ref="R1286">XLOOKUP(E1286,Store_Dim!A:A,Store_Dim!B:B,"Not Found")</f>
        <v>West</v>
      </c>
      <c r="S1286" s="8" t="str">
        <f t="array" ref="S1286">XLOOKUP(E1286,Store_Dim!A:A,Store_Dim!D:D,"Not Found")</f>
        <v>Online</v>
      </c>
    </row>
    <row r="1287" ht="14.25" customHeight="1">
      <c r="A1287" s="8" t="s">
        <v>3240</v>
      </c>
      <c r="B1287" s="12">
        <v>46765.0</v>
      </c>
      <c r="C1287" s="8" t="s">
        <v>1038</v>
      </c>
      <c r="D1287" s="8" t="s">
        <v>1583</v>
      </c>
      <c r="E1287" s="8" t="s">
        <v>1935</v>
      </c>
      <c r="F1287" s="8">
        <v>2.0</v>
      </c>
      <c r="G1287" s="8">
        <v>530.54</v>
      </c>
      <c r="H1287" s="8">
        <v>0.28</v>
      </c>
      <c r="I1287" s="8">
        <f t="shared" si="1"/>
        <v>1061.08</v>
      </c>
      <c r="J1287" s="8">
        <f t="shared" si="2"/>
        <v>-296.8224</v>
      </c>
      <c r="K1287" s="8" t="str">
        <f t="shared" si="3"/>
        <v>Jan</v>
      </c>
      <c r="L1287" s="8">
        <f t="shared" si="4"/>
        <v>2028</v>
      </c>
      <c r="N1287" s="8" t="str">
        <f t="array" ref="N1287">XLOOKUP(C1287,Customer_Dim!A:A,Customer_Dim!B:B,"Not Found")</f>
        <v>Andrew Smith</v>
      </c>
      <c r="O1287" s="8" t="str">
        <f t="array" ref="O1287">XLOOKUP(C1287,Customer_Dim!A:A,Customer_Dim!E:E,"Not Found")</f>
        <v>East Matthew</v>
      </c>
      <c r="P1287" s="8" t="str">
        <f t="array" ref="P1287">XLOOKUP(D1287,Product_Dim!A:A,Product_Dim!B:B,"Not Found")</f>
        <v>Men's Leather Belt</v>
      </c>
      <c r="Q1287" s="8" t="str">
        <f t="array" ref="Q1287">XLOOKUP(D1287,Product_Dim!A:A,Product_Dim!C:C,"Not Found")</f>
        <v>Clothing</v>
      </c>
      <c r="R1287" s="8" t="str">
        <f t="array" ref="R1287">XLOOKUP(E1287,Store_Dim!A:A,Store_Dim!B:B,"Not Found")</f>
        <v>West</v>
      </c>
      <c r="S1287" s="8" t="str">
        <f t="array" ref="S1287">XLOOKUP(E1287,Store_Dim!A:A,Store_Dim!D:D,"Not Found")</f>
        <v>Flagship</v>
      </c>
    </row>
    <row r="1288" ht="14.25" customHeight="1">
      <c r="A1288" s="8" t="s">
        <v>3241</v>
      </c>
      <c r="B1288" s="12">
        <v>46766.0</v>
      </c>
      <c r="C1288" s="8" t="s">
        <v>1158</v>
      </c>
      <c r="D1288" s="8" t="s">
        <v>1562</v>
      </c>
      <c r="E1288" s="8" t="s">
        <v>1935</v>
      </c>
      <c r="F1288" s="8">
        <v>3.0</v>
      </c>
      <c r="G1288" s="8">
        <v>279.45</v>
      </c>
      <c r="H1288" s="8">
        <v>0.15</v>
      </c>
      <c r="I1288" s="8">
        <f t="shared" si="1"/>
        <v>838.35</v>
      </c>
      <c r="J1288" s="8">
        <f t="shared" si="2"/>
        <v>-125.6025</v>
      </c>
      <c r="K1288" s="8" t="str">
        <f t="shared" si="3"/>
        <v>Jan</v>
      </c>
      <c r="L1288" s="8">
        <f t="shared" si="4"/>
        <v>2028</v>
      </c>
      <c r="N1288" s="8" t="str">
        <f t="array" ref="N1288">XLOOKUP(C1288,Customer_Dim!A:A,Customer_Dim!B:B,"Not Found")</f>
        <v>Brandon Mcbride</v>
      </c>
      <c r="O1288" s="8" t="str">
        <f t="array" ref="O1288">XLOOKUP(C1288,Customer_Dim!A:A,Customer_Dim!E:E,"Not Found")</f>
        <v>Kellyside</v>
      </c>
      <c r="P1288" s="8" t="str">
        <f t="array" ref="P1288">XLOOKUP(D1288,Product_Dim!A:A,Product_Dim!B:B,"Not Found")</f>
        <v>Brother Laser Printer</v>
      </c>
      <c r="Q1288" s="8" t="str">
        <f t="array" ref="Q1288">XLOOKUP(D1288,Product_Dim!A:A,Product_Dim!C:C,"Not Found")</f>
        <v>Electronics</v>
      </c>
      <c r="R1288" s="8" t="str">
        <f t="array" ref="R1288">XLOOKUP(E1288,Store_Dim!A:A,Store_Dim!B:B,"Not Found")</f>
        <v>West</v>
      </c>
      <c r="S1288" s="8" t="str">
        <f t="array" ref="S1288">XLOOKUP(E1288,Store_Dim!A:A,Store_Dim!D:D,"Not Found")</f>
        <v>Flagship</v>
      </c>
    </row>
    <row r="1289" ht="14.25" customHeight="1">
      <c r="A1289" s="8" t="s">
        <v>3242</v>
      </c>
      <c r="B1289" s="12">
        <v>46767.0</v>
      </c>
      <c r="C1289" s="8" t="s">
        <v>864</v>
      </c>
      <c r="D1289" s="8" t="s">
        <v>1613</v>
      </c>
      <c r="E1289" s="8" t="s">
        <v>1921</v>
      </c>
      <c r="F1289" s="8">
        <v>3.0</v>
      </c>
      <c r="G1289" s="8">
        <v>906.99</v>
      </c>
      <c r="H1289" s="8">
        <v>0.26</v>
      </c>
      <c r="I1289" s="8">
        <f t="shared" si="1"/>
        <v>2720.97</v>
      </c>
      <c r="J1289" s="8">
        <f t="shared" si="2"/>
        <v>-707.1922</v>
      </c>
      <c r="K1289" s="8" t="str">
        <f t="shared" si="3"/>
        <v>Jan</v>
      </c>
      <c r="L1289" s="8">
        <f t="shared" si="4"/>
        <v>2028</v>
      </c>
      <c r="N1289" s="8" t="str">
        <f t="array" ref="N1289">XLOOKUP(C1289,Customer_Dim!A:A,Customer_Dim!B:B,"Not Found")</f>
        <v>Cynthia Payne</v>
      </c>
      <c r="O1289" s="8" t="str">
        <f t="array" ref="O1289">XLOOKUP(C1289,Customer_Dim!A:A,Customer_Dim!E:E,"Not Found")</f>
        <v>South Gina</v>
      </c>
      <c r="P1289" s="8" t="str">
        <f t="array" ref="P1289">XLOOKUP(D1289,Product_Dim!A:A,Product_Dim!B:B,"Not Found")</f>
        <v>Hair Strengthening Shampoo</v>
      </c>
      <c r="Q1289" s="8" t="str">
        <f t="array" ref="Q1289">XLOOKUP(D1289,Product_Dim!A:A,Product_Dim!C:C,"Not Found")</f>
        <v>Beauty</v>
      </c>
      <c r="R1289" s="8" t="str">
        <f t="array" ref="R1289">XLOOKUP(E1289,Store_Dim!A:A,Store_Dim!B:B,"Not Found")</f>
        <v>West</v>
      </c>
      <c r="S1289" s="8" t="str">
        <f t="array" ref="S1289">XLOOKUP(E1289,Store_Dim!A:A,Store_Dim!D:D,"Not Found")</f>
        <v>Online</v>
      </c>
    </row>
    <row r="1290" ht="14.25" customHeight="1">
      <c r="A1290" s="8" t="s">
        <v>3243</v>
      </c>
      <c r="B1290" s="12">
        <v>46768.0</v>
      </c>
      <c r="C1290" s="8" t="s">
        <v>268</v>
      </c>
      <c r="D1290" s="8" t="s">
        <v>1830</v>
      </c>
      <c r="E1290" s="8" t="s">
        <v>1937</v>
      </c>
      <c r="F1290" s="8">
        <v>4.0</v>
      </c>
      <c r="G1290" s="8">
        <v>408.76</v>
      </c>
      <c r="H1290" s="8">
        <v>0.12</v>
      </c>
      <c r="I1290" s="8">
        <f t="shared" si="1"/>
        <v>1635.04</v>
      </c>
      <c r="J1290" s="8">
        <f t="shared" si="2"/>
        <v>-196.0848</v>
      </c>
      <c r="K1290" s="8" t="str">
        <f t="shared" si="3"/>
        <v>Jan</v>
      </c>
      <c r="L1290" s="8">
        <f t="shared" si="4"/>
        <v>2028</v>
      </c>
      <c r="N1290" s="8" t="str">
        <f t="array" ref="N1290">XLOOKUP(C1290,Customer_Dim!A:A,Customer_Dim!B:B,"Not Found")</f>
        <v>Eric Singh</v>
      </c>
      <c r="O1290" s="8" t="str">
        <f t="array" ref="O1290">XLOOKUP(C1290,Customer_Dim!A:A,Customer_Dim!E:E,"Not Found")</f>
        <v>Port Lisa</v>
      </c>
      <c r="P1290" s="8" t="str">
        <f t="array" ref="P1290">XLOOKUP(D1290,Product_Dim!A:A,Product_Dim!B:B,"Not Found")</f>
        <v>Wall-Mounted Spice Rack</v>
      </c>
      <c r="Q1290" s="8" t="str">
        <f t="array" ref="Q1290">XLOOKUP(D1290,Product_Dim!A:A,Product_Dim!C:C,"Not Found")</f>
        <v>Home</v>
      </c>
      <c r="R1290" s="8" t="str">
        <f t="array" ref="R1290">XLOOKUP(E1290,Store_Dim!A:A,Store_Dim!B:B,"Not Found")</f>
        <v>North</v>
      </c>
      <c r="S1290" s="8" t="str">
        <f t="array" ref="S1290">XLOOKUP(E1290,Store_Dim!A:A,Store_Dim!D:D,"Not Found")</f>
        <v>Flagship</v>
      </c>
    </row>
    <row r="1291" ht="14.25" customHeight="1">
      <c r="A1291" s="8" t="s">
        <v>3244</v>
      </c>
      <c r="B1291" s="12">
        <v>46769.0</v>
      </c>
      <c r="C1291" s="8" t="s">
        <v>597</v>
      </c>
      <c r="D1291" s="8" t="s">
        <v>1693</v>
      </c>
      <c r="E1291" s="8" t="s">
        <v>1924</v>
      </c>
      <c r="F1291" s="8">
        <v>2.0</v>
      </c>
      <c r="G1291" s="8">
        <v>117.34</v>
      </c>
      <c r="H1291" s="8">
        <v>0.09</v>
      </c>
      <c r="I1291" s="8">
        <f t="shared" si="1"/>
        <v>234.68</v>
      </c>
      <c r="J1291" s="8">
        <f t="shared" si="2"/>
        <v>-21.0312</v>
      </c>
      <c r="K1291" s="8" t="str">
        <f t="shared" si="3"/>
        <v>Jan</v>
      </c>
      <c r="L1291" s="8">
        <f t="shared" si="4"/>
        <v>2028</v>
      </c>
      <c r="N1291" s="8" t="str">
        <f t="array" ref="N1291">XLOOKUP(C1291,Customer_Dim!A:A,Customer_Dim!B:B,"Not Found")</f>
        <v>Curtis Lam</v>
      </c>
      <c r="O1291" s="8" t="str">
        <f t="array" ref="O1291">XLOOKUP(C1291,Customer_Dim!A:A,Customer_Dim!E:E,"Not Found")</f>
        <v>Butlerberg</v>
      </c>
      <c r="P1291" s="8" t="str">
        <f t="array" ref="P1291">XLOOKUP(D1291,Product_Dim!A:A,Product_Dim!B:B,"Not Found")</f>
        <v>Women's Summer Dress</v>
      </c>
      <c r="Q1291" s="8" t="str">
        <f t="array" ref="Q1291">XLOOKUP(D1291,Product_Dim!A:A,Product_Dim!C:C,"Not Found")</f>
        <v>Clothing</v>
      </c>
      <c r="R1291" s="8" t="str">
        <f t="array" ref="R1291">XLOOKUP(E1291,Store_Dim!A:A,Store_Dim!B:B,"Not Found")</f>
        <v>South</v>
      </c>
      <c r="S1291" s="8" t="str">
        <f t="array" ref="S1291">XLOOKUP(E1291,Store_Dim!A:A,Store_Dim!D:D,"Not Found")</f>
        <v>Flagship</v>
      </c>
    </row>
    <row r="1292" ht="14.25" customHeight="1">
      <c r="A1292" s="8" t="s">
        <v>3245</v>
      </c>
      <c r="B1292" s="12">
        <v>46770.0</v>
      </c>
      <c r="C1292" s="8" t="s">
        <v>571</v>
      </c>
      <c r="D1292" s="8" t="s">
        <v>1863</v>
      </c>
      <c r="E1292" s="8" t="s">
        <v>1932</v>
      </c>
      <c r="F1292" s="8">
        <v>3.0</v>
      </c>
      <c r="G1292" s="8">
        <v>690.27</v>
      </c>
      <c r="H1292" s="8">
        <v>0.07</v>
      </c>
      <c r="I1292" s="8">
        <f t="shared" si="1"/>
        <v>2070.81</v>
      </c>
      <c r="J1292" s="8">
        <f t="shared" si="2"/>
        <v>-144.8867</v>
      </c>
      <c r="K1292" s="8" t="str">
        <f t="shared" si="3"/>
        <v>Jan</v>
      </c>
      <c r="L1292" s="8">
        <f t="shared" si="4"/>
        <v>2028</v>
      </c>
      <c r="N1292" s="8" t="str">
        <f t="array" ref="N1292">XLOOKUP(C1292,Customer_Dim!A:A,Customer_Dim!B:B,"Not Found")</f>
        <v>Daniel Contreras</v>
      </c>
      <c r="O1292" s="8" t="str">
        <f t="array" ref="O1292">XLOOKUP(C1292,Customer_Dim!A:A,Customer_Dim!E:E,"Not Found")</f>
        <v>Robertview</v>
      </c>
      <c r="P1292" s="8" t="str">
        <f t="array" ref="P1292">XLOOKUP(D1292,Product_Dim!A:A,Product_Dim!B:B,"Not Found")</f>
        <v>Women's High Heels</v>
      </c>
      <c r="Q1292" s="8" t="str">
        <f t="array" ref="Q1292">XLOOKUP(D1292,Product_Dim!A:A,Product_Dim!C:C,"Not Found")</f>
        <v>Clothing</v>
      </c>
      <c r="R1292" s="8" t="str">
        <f t="array" ref="R1292">XLOOKUP(E1292,Store_Dim!A:A,Store_Dim!B:B,"Not Found")</f>
        <v>South</v>
      </c>
      <c r="S1292" s="8" t="str">
        <f t="array" ref="S1292">XLOOKUP(E1292,Store_Dim!A:A,Store_Dim!D:D,"Not Found")</f>
        <v>Outlet</v>
      </c>
    </row>
    <row r="1293" ht="14.25" customHeight="1">
      <c r="A1293" s="8" t="s">
        <v>3246</v>
      </c>
      <c r="B1293" s="12">
        <v>46771.0</v>
      </c>
      <c r="C1293" s="8" t="s">
        <v>391</v>
      </c>
      <c r="D1293" s="8" t="s">
        <v>1668</v>
      </c>
      <c r="E1293" s="8" t="s">
        <v>1937</v>
      </c>
      <c r="F1293" s="8">
        <v>4.0</v>
      </c>
      <c r="G1293" s="8">
        <v>377.18</v>
      </c>
      <c r="H1293" s="8">
        <v>0.24</v>
      </c>
      <c r="I1293" s="8">
        <f t="shared" si="1"/>
        <v>1508.72</v>
      </c>
      <c r="J1293" s="8">
        <f t="shared" si="2"/>
        <v>-361.8528</v>
      </c>
      <c r="K1293" s="8" t="str">
        <f t="shared" si="3"/>
        <v>Jan</v>
      </c>
      <c r="L1293" s="8">
        <f t="shared" si="4"/>
        <v>2028</v>
      </c>
      <c r="N1293" s="8" t="str">
        <f t="array" ref="N1293">XLOOKUP(C1293,Customer_Dim!A:A,Customer_Dim!B:B,"Not Found")</f>
        <v>Travis Holland</v>
      </c>
      <c r="O1293" s="8" t="str">
        <f t="array" ref="O1293">XLOOKUP(C1293,Customer_Dim!A:A,Customer_Dim!E:E,"Not Found")</f>
        <v>Webstermouth</v>
      </c>
      <c r="P1293" s="8" t="str">
        <f t="array" ref="P1293">XLOOKUP(D1293,Product_Dim!A:A,Product_Dim!B:B,"Not Found")</f>
        <v>Sports Stopwatch Timer</v>
      </c>
      <c r="Q1293" s="8" t="str">
        <f t="array" ref="Q1293">XLOOKUP(D1293,Product_Dim!A:A,Product_Dim!C:C,"Not Found")</f>
        <v>Sports</v>
      </c>
      <c r="R1293" s="8" t="str">
        <f t="array" ref="R1293">XLOOKUP(E1293,Store_Dim!A:A,Store_Dim!B:B,"Not Found")</f>
        <v>North</v>
      </c>
      <c r="S1293" s="8" t="str">
        <f t="array" ref="S1293">XLOOKUP(E1293,Store_Dim!A:A,Store_Dim!D:D,"Not Found")</f>
        <v>Flagship</v>
      </c>
    </row>
    <row r="1294" ht="14.25" customHeight="1">
      <c r="A1294" s="8" t="s">
        <v>3247</v>
      </c>
      <c r="B1294" s="12">
        <v>46772.0</v>
      </c>
      <c r="C1294" s="8" t="s">
        <v>403</v>
      </c>
      <c r="D1294" s="8" t="s">
        <v>1707</v>
      </c>
      <c r="E1294" s="8" t="s">
        <v>1899</v>
      </c>
      <c r="F1294" s="8">
        <v>1.0</v>
      </c>
      <c r="G1294" s="8">
        <v>70.52</v>
      </c>
      <c r="H1294" s="8">
        <v>0.08</v>
      </c>
      <c r="I1294" s="8">
        <f t="shared" si="1"/>
        <v>70.52</v>
      </c>
      <c r="J1294" s="8">
        <f t="shared" si="2"/>
        <v>-5.5616</v>
      </c>
      <c r="K1294" s="8" t="str">
        <f t="shared" si="3"/>
        <v>Jan</v>
      </c>
      <c r="L1294" s="8">
        <f t="shared" si="4"/>
        <v>2028</v>
      </c>
      <c r="N1294" s="8" t="str">
        <f t="array" ref="N1294">XLOOKUP(C1294,Customer_Dim!A:A,Customer_Dim!B:B,"Not Found")</f>
        <v>David Cole</v>
      </c>
      <c r="O1294" s="8" t="str">
        <f t="array" ref="O1294">XLOOKUP(C1294,Customer_Dim!A:A,Customer_Dim!E:E,"Not Found")</f>
        <v>Lake Michael</v>
      </c>
      <c r="P1294" s="8" t="str">
        <f t="array" ref="P1294">XLOOKUP(D1294,Product_Dim!A:A,Product_Dim!B:B,"Not Found")</f>
        <v>Noise-Canceling Headphones</v>
      </c>
      <c r="Q1294" s="8" t="str">
        <f t="array" ref="Q1294">XLOOKUP(D1294,Product_Dim!A:A,Product_Dim!C:C,"Not Found")</f>
        <v>Electronics</v>
      </c>
      <c r="R1294" s="8" t="str">
        <f t="array" ref="R1294">XLOOKUP(E1294,Store_Dim!A:A,Store_Dim!B:B,"Not Found")</f>
        <v>East</v>
      </c>
      <c r="S1294" s="8" t="str">
        <f t="array" ref="S1294">XLOOKUP(E1294,Store_Dim!A:A,Store_Dim!D:D,"Not Found")</f>
        <v>Flagship</v>
      </c>
    </row>
    <row r="1295" ht="14.25" customHeight="1">
      <c r="A1295" s="8" t="s">
        <v>3248</v>
      </c>
      <c r="B1295" s="12">
        <v>46773.0</v>
      </c>
      <c r="C1295" s="8" t="s">
        <v>890</v>
      </c>
      <c r="D1295" s="8" t="s">
        <v>1700</v>
      </c>
      <c r="E1295" s="8" t="s">
        <v>1924</v>
      </c>
      <c r="F1295" s="8">
        <v>1.0</v>
      </c>
      <c r="G1295" s="8">
        <v>40.25</v>
      </c>
      <c r="H1295" s="8">
        <v>0.1</v>
      </c>
      <c r="I1295" s="8">
        <f t="shared" si="1"/>
        <v>40.25</v>
      </c>
      <c r="J1295" s="8">
        <f t="shared" si="2"/>
        <v>-3.925</v>
      </c>
      <c r="K1295" s="8" t="str">
        <f t="shared" si="3"/>
        <v>Jan</v>
      </c>
      <c r="L1295" s="8">
        <f t="shared" si="4"/>
        <v>2028</v>
      </c>
      <c r="N1295" s="8" t="str">
        <f t="array" ref="N1295">XLOOKUP(C1295,Customer_Dim!A:A,Customer_Dim!B:B,"Not Found")</f>
        <v>Shannon Miller</v>
      </c>
      <c r="O1295" s="8" t="str">
        <f t="array" ref="O1295">XLOOKUP(C1295,Customer_Dim!A:A,Customer_Dim!E:E,"Not Found")</f>
        <v>North Austinport</v>
      </c>
      <c r="P1295" s="8" t="str">
        <f t="array" ref="P1295">XLOOKUP(D1295,Product_Dim!A:A,Product_Dim!B:B,"Not Found")</f>
        <v>Sports Water Hydration Pack</v>
      </c>
      <c r="Q1295" s="8" t="str">
        <f t="array" ref="Q1295">XLOOKUP(D1295,Product_Dim!A:A,Product_Dim!C:C,"Not Found")</f>
        <v>Sports</v>
      </c>
      <c r="R1295" s="8" t="str">
        <f t="array" ref="R1295">XLOOKUP(E1295,Store_Dim!A:A,Store_Dim!B:B,"Not Found")</f>
        <v>South</v>
      </c>
      <c r="S1295" s="8" t="str">
        <f t="array" ref="S1295">XLOOKUP(E1295,Store_Dim!A:A,Store_Dim!D:D,"Not Found")</f>
        <v>Flagship</v>
      </c>
    </row>
    <row r="1296" ht="14.25" customHeight="1">
      <c r="A1296" s="8" t="s">
        <v>3249</v>
      </c>
      <c r="B1296" s="12">
        <v>46774.0</v>
      </c>
      <c r="C1296" s="8" t="s">
        <v>761</v>
      </c>
      <c r="D1296" s="8" t="s">
        <v>1857</v>
      </c>
      <c r="E1296" s="8" t="s">
        <v>1928</v>
      </c>
      <c r="F1296" s="8">
        <v>3.0</v>
      </c>
      <c r="G1296" s="8">
        <v>539.44</v>
      </c>
      <c r="H1296" s="8">
        <v>0.05</v>
      </c>
      <c r="I1296" s="8">
        <f t="shared" si="1"/>
        <v>1618.32</v>
      </c>
      <c r="J1296" s="8">
        <f t="shared" si="2"/>
        <v>-80.866</v>
      </c>
      <c r="K1296" s="8" t="str">
        <f t="shared" si="3"/>
        <v>Jan</v>
      </c>
      <c r="L1296" s="8">
        <f t="shared" si="4"/>
        <v>2028</v>
      </c>
      <c r="N1296" s="8" t="str">
        <f t="array" ref="N1296">XLOOKUP(C1296,Customer_Dim!A:A,Customer_Dim!B:B,"Not Found")</f>
        <v>Christy Hill</v>
      </c>
      <c r="O1296" s="8" t="str">
        <f t="array" ref="O1296">XLOOKUP(C1296,Customer_Dim!A:A,Customer_Dim!E:E,"Not Found")</f>
        <v>Tammyton</v>
      </c>
      <c r="P1296" s="8" t="str">
        <f t="array" ref="P1296">XLOOKUP(D1296,Product_Dim!A:A,Product_Dim!B:B,"Not Found")</f>
        <v>Face Foundation Kit</v>
      </c>
      <c r="Q1296" s="8" t="str">
        <f t="array" ref="Q1296">XLOOKUP(D1296,Product_Dim!A:A,Product_Dim!C:C,"Not Found")</f>
        <v>Beauty</v>
      </c>
      <c r="R1296" s="8" t="str">
        <f t="array" ref="R1296">XLOOKUP(E1296,Store_Dim!A:A,Store_Dim!B:B,"Not Found")</f>
        <v>South</v>
      </c>
      <c r="S1296" s="8" t="str">
        <f t="array" ref="S1296">XLOOKUP(E1296,Store_Dim!A:A,Store_Dim!D:D,"Not Found")</f>
        <v>Online</v>
      </c>
    </row>
    <row r="1297" ht="14.25" customHeight="1">
      <c r="A1297" s="8" t="s">
        <v>3250</v>
      </c>
      <c r="B1297" s="12">
        <v>46775.0</v>
      </c>
      <c r="C1297" s="8" t="s">
        <v>806</v>
      </c>
      <c r="D1297" s="8" t="s">
        <v>1769</v>
      </c>
      <c r="E1297" s="8" t="s">
        <v>1912</v>
      </c>
      <c r="F1297" s="8">
        <v>3.0</v>
      </c>
      <c r="G1297" s="8">
        <v>543.49</v>
      </c>
      <c r="H1297" s="8">
        <v>0.05</v>
      </c>
      <c r="I1297" s="8">
        <f t="shared" si="1"/>
        <v>1630.47</v>
      </c>
      <c r="J1297" s="8">
        <f t="shared" si="2"/>
        <v>-81.4735</v>
      </c>
      <c r="K1297" s="8" t="str">
        <f t="shared" si="3"/>
        <v>Jan</v>
      </c>
      <c r="L1297" s="8">
        <f t="shared" si="4"/>
        <v>2028</v>
      </c>
      <c r="N1297" s="8" t="str">
        <f t="array" ref="N1297">XLOOKUP(C1297,Customer_Dim!A:A,Customer_Dim!B:B,"Not Found")</f>
        <v>Douglas Rhodes</v>
      </c>
      <c r="O1297" s="8" t="str">
        <f t="array" ref="O1297">XLOOKUP(C1297,Customer_Dim!A:A,Customer_Dim!E:E,"Not Found")</f>
        <v>Mikehaven</v>
      </c>
      <c r="P1297" s="8" t="str">
        <f t="array" ref="P1297">XLOOKUP(D1297,Product_Dim!A:A,Product_Dim!B:B,"Not Found")</f>
        <v>Luxury Perfume Spray</v>
      </c>
      <c r="Q1297" s="8" t="str">
        <f t="array" ref="Q1297">XLOOKUP(D1297,Product_Dim!A:A,Product_Dim!C:C,"Not Found")</f>
        <v>Beauty</v>
      </c>
      <c r="R1297" s="8" t="str">
        <f t="array" ref="R1297">XLOOKUP(E1297,Store_Dim!A:A,Store_Dim!B:B,"Not Found")</f>
        <v>South</v>
      </c>
      <c r="S1297" s="8" t="str">
        <f t="array" ref="S1297">XLOOKUP(E1297,Store_Dim!A:A,Store_Dim!D:D,"Not Found")</f>
        <v>Online</v>
      </c>
    </row>
    <row r="1298" ht="14.25" customHeight="1">
      <c r="A1298" s="8" t="s">
        <v>3251</v>
      </c>
      <c r="B1298" s="12">
        <v>46776.0</v>
      </c>
      <c r="C1298" s="8" t="s">
        <v>1035</v>
      </c>
      <c r="D1298" s="8" t="s">
        <v>1592</v>
      </c>
      <c r="E1298" s="8" t="s">
        <v>1917</v>
      </c>
      <c r="F1298" s="8">
        <v>4.0</v>
      </c>
      <c r="G1298" s="8">
        <v>547.21</v>
      </c>
      <c r="H1298" s="8">
        <v>0.1</v>
      </c>
      <c r="I1298" s="8">
        <f t="shared" si="1"/>
        <v>2188.84</v>
      </c>
      <c r="J1298" s="8">
        <f t="shared" si="2"/>
        <v>-218.784</v>
      </c>
      <c r="K1298" s="8" t="str">
        <f t="shared" si="3"/>
        <v>Jan</v>
      </c>
      <c r="L1298" s="8">
        <f t="shared" si="4"/>
        <v>2028</v>
      </c>
      <c r="N1298" s="8" t="str">
        <f t="array" ref="N1298">XLOOKUP(C1298,Customer_Dim!A:A,Customer_Dim!B:B,"Not Found")</f>
        <v>Alex Mann II</v>
      </c>
      <c r="O1298" s="8" t="str">
        <f t="array" ref="O1298">XLOOKUP(C1298,Customer_Dim!A:A,Customer_Dim!E:E,"Not Found")</f>
        <v>South Zacharychester</v>
      </c>
      <c r="P1298" s="8" t="str">
        <f t="array" ref="P1298">XLOOKUP(D1298,Product_Dim!A:A,Product_Dim!B:B,"Not Found")</f>
        <v>LED Table Lamp</v>
      </c>
      <c r="Q1298" s="8" t="str">
        <f t="array" ref="Q1298">XLOOKUP(D1298,Product_Dim!A:A,Product_Dim!C:C,"Not Found")</f>
        <v>Home</v>
      </c>
      <c r="R1298" s="8" t="str">
        <f t="array" ref="R1298">XLOOKUP(E1298,Store_Dim!A:A,Store_Dim!B:B,"Not Found")</f>
        <v>East</v>
      </c>
      <c r="S1298" s="8" t="str">
        <f t="array" ref="S1298">XLOOKUP(E1298,Store_Dim!A:A,Store_Dim!D:D,"Not Found")</f>
        <v>Online</v>
      </c>
    </row>
    <row r="1299" ht="14.25" customHeight="1">
      <c r="A1299" s="8" t="s">
        <v>3252</v>
      </c>
      <c r="B1299" s="12">
        <v>46777.0</v>
      </c>
      <c r="C1299" s="8" t="s">
        <v>788</v>
      </c>
      <c r="D1299" s="8" t="s">
        <v>1784</v>
      </c>
      <c r="E1299" s="8" t="s">
        <v>1903</v>
      </c>
      <c r="F1299" s="8">
        <v>2.0</v>
      </c>
      <c r="G1299" s="8">
        <v>892.46</v>
      </c>
      <c r="H1299" s="8">
        <v>0.07</v>
      </c>
      <c r="I1299" s="8">
        <f t="shared" si="1"/>
        <v>1784.92</v>
      </c>
      <c r="J1299" s="8">
        <f t="shared" si="2"/>
        <v>-124.8744</v>
      </c>
      <c r="K1299" s="8" t="str">
        <f t="shared" si="3"/>
        <v>Jan</v>
      </c>
      <c r="L1299" s="8">
        <f t="shared" si="4"/>
        <v>2028</v>
      </c>
      <c r="N1299" s="8" t="str">
        <f t="array" ref="N1299">XLOOKUP(C1299,Customer_Dim!A:A,Customer_Dim!B:B,"Not Found")</f>
        <v>Mr. William Horton</v>
      </c>
      <c r="O1299" s="8" t="str">
        <f t="array" ref="O1299">XLOOKUP(C1299,Customer_Dim!A:A,Customer_Dim!E:E,"Not Found")</f>
        <v>Dawsonchester</v>
      </c>
      <c r="P1299" s="8" t="str">
        <f t="array" ref="P1299">XLOOKUP(D1299,Product_Dim!A:A,Product_Dim!B:B,"Not Found")</f>
        <v>Adjustable Dumbbells 20kg</v>
      </c>
      <c r="Q1299" s="8" t="str">
        <f t="array" ref="Q1299">XLOOKUP(D1299,Product_Dim!A:A,Product_Dim!C:C,"Not Found")</f>
        <v>Sports</v>
      </c>
      <c r="R1299" s="8" t="str">
        <f t="array" ref="R1299">XLOOKUP(E1299,Store_Dim!A:A,Store_Dim!B:B,"Not Found")</f>
        <v>North</v>
      </c>
      <c r="S1299" s="8" t="str">
        <f t="array" ref="S1299">XLOOKUP(E1299,Store_Dim!A:A,Store_Dim!D:D,"Not Found")</f>
        <v>Flagship</v>
      </c>
    </row>
    <row r="1300" ht="14.25" customHeight="1">
      <c r="A1300" s="8" t="s">
        <v>3253</v>
      </c>
      <c r="B1300" s="12">
        <v>46778.0</v>
      </c>
      <c r="C1300" s="8" t="s">
        <v>1224</v>
      </c>
      <c r="D1300" s="8" t="s">
        <v>1662</v>
      </c>
      <c r="E1300" s="8" t="s">
        <v>1921</v>
      </c>
      <c r="F1300" s="8">
        <v>2.0</v>
      </c>
      <c r="G1300" s="8">
        <v>853.41</v>
      </c>
      <c r="H1300" s="8">
        <v>0.25</v>
      </c>
      <c r="I1300" s="8">
        <f t="shared" si="1"/>
        <v>1706.82</v>
      </c>
      <c r="J1300" s="8">
        <f t="shared" si="2"/>
        <v>-426.455</v>
      </c>
      <c r="K1300" s="8" t="str">
        <f t="shared" si="3"/>
        <v>Jan</v>
      </c>
      <c r="L1300" s="8">
        <f t="shared" si="4"/>
        <v>2028</v>
      </c>
      <c r="N1300" s="8" t="str">
        <f t="array" ref="N1300">XLOOKUP(C1300,Customer_Dim!A:A,Customer_Dim!B:B,"Not Found")</f>
        <v>Timothy Gardner</v>
      </c>
      <c r="O1300" s="8" t="str">
        <f t="array" ref="O1300">XLOOKUP(C1300,Customer_Dim!A:A,Customer_Dim!E:E,"Not Found")</f>
        <v>New Dawn</v>
      </c>
      <c r="P1300" s="8" t="str">
        <f t="array" ref="P1300">XLOOKUP(D1300,Product_Dim!A:A,Product_Dim!B:B,"Not Found")</f>
        <v>Wireless Bluetooth Speaker</v>
      </c>
      <c r="Q1300" s="8" t="str">
        <f t="array" ref="Q1300">XLOOKUP(D1300,Product_Dim!A:A,Product_Dim!C:C,"Not Found")</f>
        <v>Electronics</v>
      </c>
      <c r="R1300" s="8" t="str">
        <f t="array" ref="R1300">XLOOKUP(E1300,Store_Dim!A:A,Store_Dim!B:B,"Not Found")</f>
        <v>West</v>
      </c>
      <c r="S1300" s="8" t="str">
        <f t="array" ref="S1300">XLOOKUP(E1300,Store_Dim!A:A,Store_Dim!D:D,"Not Found")</f>
        <v>Online</v>
      </c>
    </row>
    <row r="1301" ht="14.25" customHeight="1">
      <c r="A1301" s="8" t="s">
        <v>3254</v>
      </c>
      <c r="B1301" s="12">
        <v>46779.0</v>
      </c>
      <c r="C1301" s="8" t="s">
        <v>397</v>
      </c>
      <c r="D1301" s="8" t="s">
        <v>1836</v>
      </c>
      <c r="E1301" s="8" t="s">
        <v>1919</v>
      </c>
      <c r="F1301" s="8">
        <v>1.0</v>
      </c>
      <c r="G1301" s="8">
        <v>162.14</v>
      </c>
      <c r="H1301" s="8">
        <v>0.07</v>
      </c>
      <c r="I1301" s="8">
        <f t="shared" si="1"/>
        <v>162.14</v>
      </c>
      <c r="J1301" s="8">
        <f t="shared" si="2"/>
        <v>-11.2798</v>
      </c>
      <c r="K1301" s="8" t="str">
        <f t="shared" si="3"/>
        <v>Jan</v>
      </c>
      <c r="L1301" s="8">
        <f t="shared" si="4"/>
        <v>2028</v>
      </c>
      <c r="N1301" s="8" t="str">
        <f t="array" ref="N1301">XLOOKUP(C1301,Customer_Dim!A:A,Customer_Dim!B:B,"Not Found")</f>
        <v>Ashley Griffin</v>
      </c>
      <c r="O1301" s="8" t="str">
        <f t="array" ref="O1301">XLOOKUP(C1301,Customer_Dim!A:A,Customer_Dim!E:E,"Not Found")</f>
        <v>New Dawnton</v>
      </c>
      <c r="P1301" s="8" t="str">
        <f t="array" ref="P1301">XLOOKUP(D1301,Product_Dim!A:A,Product_Dim!B:B,"Not Found")</f>
        <v>Fitness Resistance Bands</v>
      </c>
      <c r="Q1301" s="8" t="str">
        <f t="array" ref="Q1301">XLOOKUP(D1301,Product_Dim!A:A,Product_Dim!C:C,"Not Found")</f>
        <v>Sports</v>
      </c>
      <c r="R1301" s="8" t="str">
        <f t="array" ref="R1301">XLOOKUP(E1301,Store_Dim!A:A,Store_Dim!B:B,"Not Found")</f>
        <v>South</v>
      </c>
      <c r="S1301" s="8" t="str">
        <f t="array" ref="S1301">XLOOKUP(E1301,Store_Dim!A:A,Store_Dim!D:D,"Not Found")</f>
        <v>Online</v>
      </c>
    </row>
    <row r="1302" ht="14.25" customHeight="1">
      <c r="A1302" s="8" t="s">
        <v>3255</v>
      </c>
      <c r="B1302" s="12">
        <v>46780.0</v>
      </c>
      <c r="C1302" s="8" t="s">
        <v>508</v>
      </c>
      <c r="D1302" s="8" t="s">
        <v>1878</v>
      </c>
      <c r="E1302" s="8" t="s">
        <v>1935</v>
      </c>
      <c r="F1302" s="8">
        <v>1.0</v>
      </c>
      <c r="G1302" s="8">
        <v>893.14</v>
      </c>
      <c r="H1302" s="8">
        <v>0.09</v>
      </c>
      <c r="I1302" s="8">
        <f t="shared" si="1"/>
        <v>893.14</v>
      </c>
      <c r="J1302" s="8">
        <f t="shared" si="2"/>
        <v>-80.2926</v>
      </c>
      <c r="K1302" s="8" t="str">
        <f t="shared" si="3"/>
        <v>Jan</v>
      </c>
      <c r="L1302" s="8">
        <f t="shared" si="4"/>
        <v>2028</v>
      </c>
      <c r="N1302" s="8" t="str">
        <f t="array" ref="N1302">XLOOKUP(C1302,Customer_Dim!A:A,Customer_Dim!B:B,"Not Found")</f>
        <v>Rhonda Young</v>
      </c>
      <c r="O1302" s="8" t="str">
        <f t="array" ref="O1302">XLOOKUP(C1302,Customer_Dim!A:A,Customer_Dim!E:E,"Not Found")</f>
        <v>Lake Nathanfort</v>
      </c>
      <c r="P1302" s="8" t="str">
        <f t="array" ref="P1302">XLOOKUP(D1302,Product_Dim!A:A,Product_Dim!B:B,"Not Found")</f>
        <v>Women's Formal Blazer</v>
      </c>
      <c r="Q1302" s="8" t="str">
        <f t="array" ref="Q1302">XLOOKUP(D1302,Product_Dim!A:A,Product_Dim!C:C,"Not Found")</f>
        <v>Clothing</v>
      </c>
      <c r="R1302" s="8" t="str">
        <f t="array" ref="R1302">XLOOKUP(E1302,Store_Dim!A:A,Store_Dim!B:B,"Not Found")</f>
        <v>West</v>
      </c>
      <c r="S1302" s="8" t="str">
        <f t="array" ref="S1302">XLOOKUP(E1302,Store_Dim!A:A,Store_Dim!D:D,"Not Found")</f>
        <v>Flagship</v>
      </c>
    </row>
    <row r="1303" ht="14.25" customHeight="1">
      <c r="A1303" s="8" t="s">
        <v>3256</v>
      </c>
      <c r="B1303" s="12">
        <v>46781.0</v>
      </c>
      <c r="C1303" s="8" t="s">
        <v>376</v>
      </c>
      <c r="D1303" s="8" t="s">
        <v>1687</v>
      </c>
      <c r="E1303" s="8" t="s">
        <v>1921</v>
      </c>
      <c r="F1303" s="8">
        <v>4.0</v>
      </c>
      <c r="G1303" s="8">
        <v>349.07</v>
      </c>
      <c r="H1303" s="8">
        <v>0.28</v>
      </c>
      <c r="I1303" s="8">
        <f t="shared" si="1"/>
        <v>1396.28</v>
      </c>
      <c r="J1303" s="8">
        <f t="shared" si="2"/>
        <v>-390.6784</v>
      </c>
      <c r="K1303" s="8" t="str">
        <f t="shared" si="3"/>
        <v>Jan</v>
      </c>
      <c r="L1303" s="8">
        <f t="shared" si="4"/>
        <v>2028</v>
      </c>
      <c r="N1303" s="8" t="str">
        <f t="array" ref="N1303">XLOOKUP(C1303,Customer_Dim!A:A,Customer_Dim!B:B,"Not Found")</f>
        <v>Steven Stein</v>
      </c>
      <c r="O1303" s="8" t="str">
        <f t="array" ref="O1303">XLOOKUP(C1303,Customer_Dim!A:A,Customer_Dim!E:E,"Not Found")</f>
        <v>West Lauren</v>
      </c>
      <c r="P1303" s="8" t="str">
        <f t="array" ref="P1303">XLOOKUP(D1303,Product_Dim!A:A,Product_Dim!B:B,"Not Found")</f>
        <v>Gaming Mechanical Keyboard</v>
      </c>
      <c r="Q1303" s="8" t="str">
        <f t="array" ref="Q1303">XLOOKUP(D1303,Product_Dim!A:A,Product_Dim!C:C,"Not Found")</f>
        <v>Electronics</v>
      </c>
      <c r="R1303" s="8" t="str">
        <f t="array" ref="R1303">XLOOKUP(E1303,Store_Dim!A:A,Store_Dim!B:B,"Not Found")</f>
        <v>West</v>
      </c>
      <c r="S1303" s="8" t="str">
        <f t="array" ref="S1303">XLOOKUP(E1303,Store_Dim!A:A,Store_Dim!D:D,"Not Found")</f>
        <v>Online</v>
      </c>
    </row>
    <row r="1304" ht="14.25" customHeight="1">
      <c r="A1304" s="8" t="s">
        <v>3257</v>
      </c>
      <c r="B1304" s="12">
        <v>46782.0</v>
      </c>
      <c r="C1304" s="8" t="s">
        <v>914</v>
      </c>
      <c r="D1304" s="8" t="s">
        <v>1833</v>
      </c>
      <c r="E1304" s="8" t="s">
        <v>1931</v>
      </c>
      <c r="F1304" s="8">
        <v>1.0</v>
      </c>
      <c r="G1304" s="8">
        <v>747.9</v>
      </c>
      <c r="H1304" s="8">
        <v>0.21</v>
      </c>
      <c r="I1304" s="8">
        <f t="shared" si="1"/>
        <v>747.9</v>
      </c>
      <c r="J1304" s="8">
        <f t="shared" si="2"/>
        <v>-156.849</v>
      </c>
      <c r="K1304" s="8" t="str">
        <f t="shared" si="3"/>
        <v>Jan</v>
      </c>
      <c r="L1304" s="8">
        <f t="shared" si="4"/>
        <v>2028</v>
      </c>
      <c r="N1304" s="8" t="str">
        <f t="array" ref="N1304">XLOOKUP(C1304,Customer_Dim!A:A,Customer_Dim!B:B,"Not Found")</f>
        <v>Bryan Garcia</v>
      </c>
      <c r="O1304" s="8" t="str">
        <f t="array" ref="O1304">XLOOKUP(C1304,Customer_Dim!A:A,Customer_Dim!E:E,"Not Found")</f>
        <v>Garciaborough</v>
      </c>
      <c r="P1304" s="8" t="str">
        <f t="array" ref="P1304">XLOOKUP(D1304,Product_Dim!A:A,Product_Dim!B:B,"Not Found")</f>
        <v>Badminton Racket Set</v>
      </c>
      <c r="Q1304" s="8" t="str">
        <f t="array" ref="Q1304">XLOOKUP(D1304,Product_Dim!A:A,Product_Dim!C:C,"Not Found")</f>
        <v>Sports</v>
      </c>
      <c r="R1304" s="8" t="str">
        <f t="array" ref="R1304">XLOOKUP(E1304,Store_Dim!A:A,Store_Dim!B:B,"Not Found")</f>
        <v>East</v>
      </c>
      <c r="S1304" s="8" t="str">
        <f t="array" ref="S1304">XLOOKUP(E1304,Store_Dim!A:A,Store_Dim!D:D,"Not Found")</f>
        <v>Flagship</v>
      </c>
    </row>
    <row r="1305" ht="14.25" customHeight="1">
      <c r="A1305" s="8" t="s">
        <v>3258</v>
      </c>
      <c r="B1305" s="12">
        <v>46783.0</v>
      </c>
      <c r="C1305" s="8" t="s">
        <v>137</v>
      </c>
      <c r="D1305" s="8" t="s">
        <v>1833</v>
      </c>
      <c r="E1305" s="8" t="s">
        <v>1917</v>
      </c>
      <c r="F1305" s="8">
        <v>3.0</v>
      </c>
      <c r="G1305" s="8">
        <v>438.92</v>
      </c>
      <c r="H1305" s="8">
        <v>0.21</v>
      </c>
      <c r="I1305" s="8">
        <f t="shared" si="1"/>
        <v>1316.76</v>
      </c>
      <c r="J1305" s="8">
        <f t="shared" si="2"/>
        <v>-276.3096</v>
      </c>
      <c r="K1305" s="8" t="str">
        <f t="shared" si="3"/>
        <v>Jan</v>
      </c>
      <c r="L1305" s="8">
        <f t="shared" si="4"/>
        <v>2028</v>
      </c>
      <c r="N1305" s="8" t="str">
        <f t="array" ref="N1305">XLOOKUP(C1305,Customer_Dim!A:A,Customer_Dim!B:B,"Not Found")</f>
        <v>Sarah Vance</v>
      </c>
      <c r="O1305" s="8" t="str">
        <f t="array" ref="O1305">XLOOKUP(C1305,Customer_Dim!A:A,Customer_Dim!E:E,"Not Found")</f>
        <v>Johnsonville</v>
      </c>
      <c r="P1305" s="8" t="str">
        <f t="array" ref="P1305">XLOOKUP(D1305,Product_Dim!A:A,Product_Dim!B:B,"Not Found")</f>
        <v>Badminton Racket Set</v>
      </c>
      <c r="Q1305" s="8" t="str">
        <f t="array" ref="Q1305">XLOOKUP(D1305,Product_Dim!A:A,Product_Dim!C:C,"Not Found")</f>
        <v>Sports</v>
      </c>
      <c r="R1305" s="8" t="str">
        <f t="array" ref="R1305">XLOOKUP(E1305,Store_Dim!A:A,Store_Dim!B:B,"Not Found")</f>
        <v>East</v>
      </c>
      <c r="S1305" s="8" t="str">
        <f t="array" ref="S1305">XLOOKUP(E1305,Store_Dim!A:A,Store_Dim!D:D,"Not Found")</f>
        <v>Online</v>
      </c>
    </row>
    <row r="1306" ht="14.25" customHeight="1">
      <c r="A1306" s="8" t="s">
        <v>3259</v>
      </c>
      <c r="B1306" s="12">
        <v>46784.0</v>
      </c>
      <c r="C1306" s="8" t="s">
        <v>436</v>
      </c>
      <c r="D1306" s="8" t="s">
        <v>1821</v>
      </c>
      <c r="E1306" s="8" t="s">
        <v>1912</v>
      </c>
      <c r="F1306" s="8">
        <v>4.0</v>
      </c>
      <c r="G1306" s="8">
        <v>665.38</v>
      </c>
      <c r="H1306" s="8">
        <v>0.18</v>
      </c>
      <c r="I1306" s="8">
        <f t="shared" si="1"/>
        <v>2661.52</v>
      </c>
      <c r="J1306" s="8">
        <f t="shared" si="2"/>
        <v>-478.8936</v>
      </c>
      <c r="K1306" s="8" t="str">
        <f t="shared" si="3"/>
        <v>Feb</v>
      </c>
      <c r="L1306" s="8">
        <f t="shared" si="4"/>
        <v>2028</v>
      </c>
      <c r="N1306" s="8" t="str">
        <f t="array" ref="N1306">XLOOKUP(C1306,Customer_Dim!A:A,Customer_Dim!B:B,"Not Found")</f>
        <v>Erin Hopkins</v>
      </c>
      <c r="O1306" s="8" t="str">
        <f t="array" ref="O1306">XLOOKUP(C1306,Customer_Dim!A:A,Customer_Dim!E:E,"Not Found")</f>
        <v>North Sabrina</v>
      </c>
      <c r="P1306" s="8" t="str">
        <f t="array" ref="P1306">XLOOKUP(D1306,Product_Dim!A:A,Product_Dim!B:B,"Not Found")</f>
        <v>WiFi Mesh Router</v>
      </c>
      <c r="Q1306" s="8" t="str">
        <f t="array" ref="Q1306">XLOOKUP(D1306,Product_Dim!A:A,Product_Dim!C:C,"Not Found")</f>
        <v>Electronics</v>
      </c>
      <c r="R1306" s="8" t="str">
        <f t="array" ref="R1306">XLOOKUP(E1306,Store_Dim!A:A,Store_Dim!B:B,"Not Found")</f>
        <v>South</v>
      </c>
      <c r="S1306" s="8" t="str">
        <f t="array" ref="S1306">XLOOKUP(E1306,Store_Dim!A:A,Store_Dim!D:D,"Not Found")</f>
        <v>Online</v>
      </c>
    </row>
    <row r="1307" ht="14.25" customHeight="1">
      <c r="A1307" s="8" t="s">
        <v>3260</v>
      </c>
      <c r="B1307" s="12">
        <v>46785.0</v>
      </c>
      <c r="C1307" s="8" t="s">
        <v>30</v>
      </c>
      <c r="D1307" s="8" t="s">
        <v>1769</v>
      </c>
      <c r="E1307" s="8" t="s">
        <v>1939</v>
      </c>
      <c r="F1307" s="8">
        <v>1.0</v>
      </c>
      <c r="G1307" s="8">
        <v>146.49</v>
      </c>
      <c r="H1307" s="8">
        <v>0.28</v>
      </c>
      <c r="I1307" s="8">
        <f t="shared" si="1"/>
        <v>146.49</v>
      </c>
      <c r="J1307" s="8">
        <f t="shared" si="2"/>
        <v>-40.7372</v>
      </c>
      <c r="K1307" s="8" t="str">
        <f t="shared" si="3"/>
        <v>Feb</v>
      </c>
      <c r="L1307" s="8">
        <f t="shared" si="4"/>
        <v>2028</v>
      </c>
      <c r="N1307" s="8" t="str">
        <f t="array" ref="N1307">XLOOKUP(C1307,Customer_Dim!A:A,Customer_Dim!B:B,"Not Found")</f>
        <v>jeremy harris</v>
      </c>
      <c r="O1307" s="8" t="str">
        <f t="array" ref="O1307">XLOOKUP(C1307,Customer_Dim!A:A,Customer_Dim!E:E,"Not Found")</f>
        <v>Thomastown</v>
      </c>
      <c r="P1307" s="8" t="str">
        <f t="array" ref="P1307">XLOOKUP(D1307,Product_Dim!A:A,Product_Dim!B:B,"Not Found")</f>
        <v>Luxury Perfume Spray</v>
      </c>
      <c r="Q1307" s="8" t="str">
        <f t="array" ref="Q1307">XLOOKUP(D1307,Product_Dim!A:A,Product_Dim!C:C,"Not Found")</f>
        <v>Beauty</v>
      </c>
      <c r="R1307" s="8" t="str">
        <f t="array" ref="R1307">XLOOKUP(E1307,Store_Dim!A:A,Store_Dim!B:B,"Not Found")</f>
        <v>East</v>
      </c>
      <c r="S1307" s="8" t="str">
        <f t="array" ref="S1307">XLOOKUP(E1307,Store_Dim!A:A,Store_Dim!D:D,"Not Found")</f>
        <v>Flagship</v>
      </c>
    </row>
    <row r="1308" ht="14.25" customHeight="1">
      <c r="A1308" s="8" t="s">
        <v>3261</v>
      </c>
      <c r="B1308" s="12">
        <v>46786.0</v>
      </c>
      <c r="C1308" s="8" t="s">
        <v>484</v>
      </c>
      <c r="D1308" s="8" t="s">
        <v>1700</v>
      </c>
      <c r="E1308" s="8" t="s">
        <v>1933</v>
      </c>
      <c r="F1308" s="8">
        <v>2.0</v>
      </c>
      <c r="G1308" s="8">
        <v>235.39</v>
      </c>
      <c r="H1308" s="8">
        <v>0.27</v>
      </c>
      <c r="I1308" s="8">
        <f t="shared" si="1"/>
        <v>470.78</v>
      </c>
      <c r="J1308" s="8">
        <f t="shared" si="2"/>
        <v>-126.8406</v>
      </c>
      <c r="K1308" s="8" t="str">
        <f t="shared" si="3"/>
        <v>Feb</v>
      </c>
      <c r="L1308" s="8">
        <f t="shared" si="4"/>
        <v>2028</v>
      </c>
      <c r="N1308" s="8" t="str">
        <f t="array" ref="N1308">XLOOKUP(C1308,Customer_Dim!A:A,Customer_Dim!B:B,"Not Found")</f>
        <v>Brian Holder</v>
      </c>
      <c r="O1308" s="8" t="str">
        <f t="array" ref="O1308">XLOOKUP(C1308,Customer_Dim!A:A,Customer_Dim!E:E,"Not Found")</f>
        <v>Port Travis</v>
      </c>
      <c r="P1308" s="8" t="str">
        <f t="array" ref="P1308">XLOOKUP(D1308,Product_Dim!A:A,Product_Dim!B:B,"Not Found")</f>
        <v>Sports Water Hydration Pack</v>
      </c>
      <c r="Q1308" s="8" t="str">
        <f t="array" ref="Q1308">XLOOKUP(D1308,Product_Dim!A:A,Product_Dim!C:C,"Not Found")</f>
        <v>Sports</v>
      </c>
      <c r="R1308" s="8" t="str">
        <f t="array" ref="R1308">XLOOKUP(E1308,Store_Dim!A:A,Store_Dim!B:B,"Not Found")</f>
        <v>North</v>
      </c>
      <c r="S1308" s="8" t="str">
        <f t="array" ref="S1308">XLOOKUP(E1308,Store_Dim!A:A,Store_Dim!D:D,"Not Found")</f>
        <v>Flagship</v>
      </c>
    </row>
    <row r="1309" ht="14.25" customHeight="1">
      <c r="A1309" s="8" t="s">
        <v>3262</v>
      </c>
      <c r="B1309" s="12">
        <v>46787.0</v>
      </c>
      <c r="C1309" s="8" t="s">
        <v>128</v>
      </c>
      <c r="D1309" s="8" t="s">
        <v>1772</v>
      </c>
      <c r="E1309" s="8" t="s">
        <v>1915</v>
      </c>
      <c r="F1309" s="8">
        <v>3.0</v>
      </c>
      <c r="G1309" s="8">
        <v>38.07</v>
      </c>
      <c r="H1309" s="8">
        <v>0.09</v>
      </c>
      <c r="I1309" s="8">
        <f t="shared" si="1"/>
        <v>114.21</v>
      </c>
      <c r="J1309" s="8">
        <f t="shared" si="2"/>
        <v>-10.1889</v>
      </c>
      <c r="K1309" s="8" t="str">
        <f t="shared" si="3"/>
        <v>Feb</v>
      </c>
      <c r="L1309" s="8">
        <f t="shared" si="4"/>
        <v>2028</v>
      </c>
      <c r="N1309" s="8" t="str">
        <f t="array" ref="N1309">XLOOKUP(C1309,Customer_Dim!A:A,Customer_Dim!B:B,"Not Found")</f>
        <v>Joshua Ryan</v>
      </c>
      <c r="O1309" s="8" t="str">
        <f t="array" ref="O1309">XLOOKUP(C1309,Customer_Dim!A:A,Customer_Dim!E:E,"Not Found")</f>
        <v>New David</v>
      </c>
      <c r="P1309" s="8" t="str">
        <f t="array" ref="P1309">XLOOKUP(D1309,Product_Dim!A:A,Product_Dim!B:B,"Not Found")</f>
        <v>Tennis Ball 3-Pack</v>
      </c>
      <c r="Q1309" s="8" t="str">
        <f t="array" ref="Q1309">XLOOKUP(D1309,Product_Dim!A:A,Product_Dim!C:C,"Not Found")</f>
        <v>Sports</v>
      </c>
      <c r="R1309" s="8" t="str">
        <f t="array" ref="R1309">XLOOKUP(E1309,Store_Dim!A:A,Store_Dim!B:B,"Not Found")</f>
        <v>North</v>
      </c>
      <c r="S1309" s="8" t="str">
        <f t="array" ref="S1309">XLOOKUP(E1309,Store_Dim!A:A,Store_Dim!D:D,"Not Found")</f>
        <v>Outlet</v>
      </c>
    </row>
    <row r="1310" ht="14.25" customHeight="1">
      <c r="A1310" s="8" t="s">
        <v>3263</v>
      </c>
      <c r="B1310" s="12">
        <v>46788.0</v>
      </c>
      <c r="C1310" s="8" t="s">
        <v>1270</v>
      </c>
      <c r="D1310" s="8" t="s">
        <v>1687</v>
      </c>
      <c r="E1310" s="8" t="s">
        <v>1912</v>
      </c>
      <c r="F1310" s="8">
        <v>2.0</v>
      </c>
      <c r="G1310" s="8">
        <v>511.7</v>
      </c>
      <c r="H1310" s="8">
        <v>0.12</v>
      </c>
      <c r="I1310" s="8">
        <f t="shared" si="1"/>
        <v>1023.4</v>
      </c>
      <c r="J1310" s="8">
        <f t="shared" si="2"/>
        <v>-122.688</v>
      </c>
      <c r="K1310" s="8" t="str">
        <f t="shared" si="3"/>
        <v>Feb</v>
      </c>
      <c r="L1310" s="8">
        <f t="shared" si="4"/>
        <v>2028</v>
      </c>
      <c r="N1310" s="8" t="str">
        <f t="array" ref="N1310">XLOOKUP(C1310,Customer_Dim!A:A,Customer_Dim!B:B,"Not Found")</f>
        <v>Justin Ingram</v>
      </c>
      <c r="O1310" s="8" t="str">
        <f t="array" ref="O1310">XLOOKUP(C1310,Customer_Dim!A:A,Customer_Dim!E:E,"Not Found")</f>
        <v>Lake Lisaland</v>
      </c>
      <c r="P1310" s="8" t="str">
        <f t="array" ref="P1310">XLOOKUP(D1310,Product_Dim!A:A,Product_Dim!B:B,"Not Found")</f>
        <v>Gaming Mechanical Keyboard</v>
      </c>
      <c r="Q1310" s="8" t="str">
        <f t="array" ref="Q1310">XLOOKUP(D1310,Product_Dim!A:A,Product_Dim!C:C,"Not Found")</f>
        <v>Electronics</v>
      </c>
      <c r="R1310" s="8" t="str">
        <f t="array" ref="R1310">XLOOKUP(E1310,Store_Dim!A:A,Store_Dim!B:B,"Not Found")</f>
        <v>South</v>
      </c>
      <c r="S1310" s="8" t="str">
        <f t="array" ref="S1310">XLOOKUP(E1310,Store_Dim!A:A,Store_Dim!D:D,"Not Found")</f>
        <v>Online</v>
      </c>
    </row>
    <row r="1311" ht="14.25" customHeight="1">
      <c r="A1311" s="8" t="s">
        <v>3264</v>
      </c>
      <c r="B1311" s="12">
        <v>46789.0</v>
      </c>
      <c r="C1311" s="8" t="s">
        <v>342</v>
      </c>
      <c r="D1311" s="8" t="s">
        <v>1815</v>
      </c>
      <c r="E1311" s="8" t="s">
        <v>1921</v>
      </c>
      <c r="F1311" s="8">
        <v>4.0</v>
      </c>
      <c r="G1311" s="8">
        <v>488.72</v>
      </c>
      <c r="H1311" s="8">
        <v>0.23</v>
      </c>
      <c r="I1311" s="8">
        <f t="shared" si="1"/>
        <v>1954.88</v>
      </c>
      <c r="J1311" s="8">
        <f t="shared" si="2"/>
        <v>-449.3924</v>
      </c>
      <c r="K1311" s="8" t="str">
        <f t="shared" si="3"/>
        <v>Feb</v>
      </c>
      <c r="L1311" s="8">
        <f t="shared" si="4"/>
        <v>2028</v>
      </c>
      <c r="N1311" s="8" t="str">
        <f t="array" ref="N1311">XLOOKUP(C1311,Customer_Dim!A:A,Customer_Dim!B:B,"Not Found")</f>
        <v>Robert Jackson</v>
      </c>
      <c r="O1311" s="8" t="str">
        <f t="array" ref="O1311">XLOOKUP(C1311,Customer_Dim!A:A,Customer_Dim!E:E,"Not Found")</f>
        <v>Lake Brandy</v>
      </c>
      <c r="P1311" s="8" t="str">
        <f t="array" ref="P1311">XLOOKUP(D1311,Product_Dim!A:A,Product_Dim!B:B,"Not Found")</f>
        <v>Women's Ankle Boots</v>
      </c>
      <c r="Q1311" s="8" t="str">
        <f t="array" ref="Q1311">XLOOKUP(D1311,Product_Dim!A:A,Product_Dim!C:C,"Not Found")</f>
        <v>Clothing</v>
      </c>
      <c r="R1311" s="8" t="str">
        <f t="array" ref="R1311">XLOOKUP(E1311,Store_Dim!A:A,Store_Dim!B:B,"Not Found")</f>
        <v>West</v>
      </c>
      <c r="S1311" s="8" t="str">
        <f t="array" ref="S1311">XLOOKUP(E1311,Store_Dim!A:A,Store_Dim!D:D,"Not Found")</f>
        <v>Online</v>
      </c>
    </row>
    <row r="1312" ht="14.25" customHeight="1">
      <c r="A1312" s="8" t="s">
        <v>3265</v>
      </c>
      <c r="B1312" s="12">
        <v>46790.0</v>
      </c>
      <c r="C1312" s="8" t="s">
        <v>1236</v>
      </c>
      <c r="D1312" s="8" t="s">
        <v>1739</v>
      </c>
      <c r="E1312" s="8" t="s">
        <v>1929</v>
      </c>
      <c r="F1312" s="8">
        <v>2.0</v>
      </c>
      <c r="G1312" s="8">
        <v>520.45</v>
      </c>
      <c r="H1312" s="8">
        <v>0.11</v>
      </c>
      <c r="I1312" s="8">
        <f t="shared" si="1"/>
        <v>1040.9</v>
      </c>
      <c r="J1312" s="8">
        <f t="shared" si="2"/>
        <v>-114.389</v>
      </c>
      <c r="K1312" s="8" t="str">
        <f t="shared" si="3"/>
        <v>Feb</v>
      </c>
      <c r="L1312" s="8">
        <f t="shared" si="4"/>
        <v>2028</v>
      </c>
      <c r="N1312" s="8" t="str">
        <f t="array" ref="N1312">XLOOKUP(C1312,Customer_Dim!A:A,Customer_Dim!B:B,"Not Found")</f>
        <v>Heidi Tyler</v>
      </c>
      <c r="O1312" s="8" t="str">
        <f t="array" ref="O1312">XLOOKUP(C1312,Customer_Dim!A:A,Customer_Dim!E:E,"Not Found")</f>
        <v>Dawnstad</v>
      </c>
      <c r="P1312" s="8" t="str">
        <f t="array" ref="P1312">XLOOKUP(D1312,Product_Dim!A:A,Product_Dim!B:B,"Not Found")</f>
        <v>Boxing Hand Wraps</v>
      </c>
      <c r="Q1312" s="8" t="str">
        <f t="array" ref="Q1312">XLOOKUP(D1312,Product_Dim!A:A,Product_Dim!C:C,"Not Found")</f>
        <v>Sports</v>
      </c>
      <c r="R1312" s="8" t="str">
        <f t="array" ref="R1312">XLOOKUP(E1312,Store_Dim!A:A,Store_Dim!B:B,"Not Found")</f>
        <v>North</v>
      </c>
      <c r="S1312" s="8" t="str">
        <f t="array" ref="S1312">XLOOKUP(E1312,Store_Dim!A:A,Store_Dim!D:D,"Not Found")</f>
        <v>Online</v>
      </c>
    </row>
    <row r="1313" ht="14.25" customHeight="1">
      <c r="A1313" s="8" t="s">
        <v>3266</v>
      </c>
      <c r="B1313" s="12">
        <v>46791.0</v>
      </c>
      <c r="C1313" s="8" t="s">
        <v>1356</v>
      </c>
      <c r="D1313" s="8" t="s">
        <v>1732</v>
      </c>
      <c r="E1313" s="8" t="s">
        <v>1915</v>
      </c>
      <c r="F1313" s="8">
        <v>1.0</v>
      </c>
      <c r="G1313" s="8">
        <v>340.9</v>
      </c>
      <c r="H1313" s="8">
        <v>0.29</v>
      </c>
      <c r="I1313" s="8">
        <f t="shared" si="1"/>
        <v>340.9</v>
      </c>
      <c r="J1313" s="8">
        <f t="shared" si="2"/>
        <v>-98.571</v>
      </c>
      <c r="K1313" s="8" t="str">
        <f t="shared" si="3"/>
        <v>Feb</v>
      </c>
      <c r="L1313" s="8">
        <f t="shared" si="4"/>
        <v>2028</v>
      </c>
      <c r="N1313" s="8" t="str">
        <f t="array" ref="N1313">XLOOKUP(C1313,Customer_Dim!A:A,Customer_Dim!B:B,"Not Found")</f>
        <v>Summer Weiss</v>
      </c>
      <c r="O1313" s="8" t="str">
        <f t="array" ref="O1313">XLOOKUP(C1313,Customer_Dim!A:A,Customer_Dim!E:E,"Not Found")</f>
        <v>Phyllisport</v>
      </c>
      <c r="P1313" s="8" t="str">
        <f t="array" ref="P1313">XLOOKUP(D1313,Product_Dim!A:A,Product_Dim!B:B,"Not Found")</f>
        <v>Car Dashboard Phone Holder</v>
      </c>
      <c r="Q1313" s="8" t="str">
        <f t="array" ref="Q1313">XLOOKUP(D1313,Product_Dim!A:A,Product_Dim!C:C,"Not Found")</f>
        <v>Electronics</v>
      </c>
      <c r="R1313" s="8" t="str">
        <f t="array" ref="R1313">XLOOKUP(E1313,Store_Dim!A:A,Store_Dim!B:B,"Not Found")</f>
        <v>North</v>
      </c>
      <c r="S1313" s="8" t="str">
        <f t="array" ref="S1313">XLOOKUP(E1313,Store_Dim!A:A,Store_Dim!D:D,"Not Found")</f>
        <v>Outlet</v>
      </c>
    </row>
    <row r="1314" ht="14.25" customHeight="1">
      <c r="A1314" s="8" t="s">
        <v>3267</v>
      </c>
      <c r="B1314" s="12">
        <v>46792.0</v>
      </c>
      <c r="C1314" s="8" t="s">
        <v>1101</v>
      </c>
      <c r="D1314" s="8" t="s">
        <v>1677</v>
      </c>
      <c r="E1314" s="8" t="s">
        <v>1921</v>
      </c>
      <c r="F1314" s="8">
        <v>3.0</v>
      </c>
      <c r="G1314" s="8">
        <v>653.59</v>
      </c>
      <c r="H1314" s="8">
        <v>0.17</v>
      </c>
      <c r="I1314" s="8">
        <f t="shared" si="1"/>
        <v>1960.77</v>
      </c>
      <c r="J1314" s="8">
        <f t="shared" si="2"/>
        <v>-333.1609</v>
      </c>
      <c r="K1314" s="8" t="str">
        <f t="shared" si="3"/>
        <v>Feb</v>
      </c>
      <c r="L1314" s="8">
        <f t="shared" si="4"/>
        <v>2028</v>
      </c>
      <c r="N1314" s="8" t="str">
        <f t="array" ref="N1314">XLOOKUP(C1314,Customer_Dim!A:A,Customer_Dim!B:B,"Not Found")</f>
        <v>John Jordan</v>
      </c>
      <c r="O1314" s="8" t="str">
        <f t="array" ref="O1314">XLOOKUP(C1314,Customer_Dim!A:A,Customer_Dim!E:E,"Not Found")</f>
        <v>Port Crystalberg</v>
      </c>
      <c r="P1314" s="8" t="str">
        <f t="array" ref="P1314">XLOOKUP(D1314,Product_Dim!A:A,Product_Dim!B:B,"Not Found")</f>
        <v>Basketball</v>
      </c>
      <c r="Q1314" s="8" t="str">
        <f t="array" ref="Q1314">XLOOKUP(D1314,Product_Dim!A:A,Product_Dim!C:C,"Not Found")</f>
        <v>Sports</v>
      </c>
      <c r="R1314" s="8" t="str">
        <f t="array" ref="R1314">XLOOKUP(E1314,Store_Dim!A:A,Store_Dim!B:B,"Not Found")</f>
        <v>West</v>
      </c>
      <c r="S1314" s="8" t="str">
        <f t="array" ref="S1314">XLOOKUP(E1314,Store_Dim!A:A,Store_Dim!D:D,"Not Found")</f>
        <v>Online</v>
      </c>
    </row>
    <row r="1315" ht="14.25" customHeight="1">
      <c r="A1315" s="8" t="s">
        <v>3268</v>
      </c>
      <c r="B1315" s="12">
        <v>46793.0</v>
      </c>
      <c r="C1315" s="8" t="s">
        <v>102</v>
      </c>
      <c r="D1315" s="8" t="s">
        <v>1662</v>
      </c>
      <c r="E1315" s="8" t="s">
        <v>1939</v>
      </c>
      <c r="F1315" s="8">
        <v>1.0</v>
      </c>
      <c r="G1315" s="8">
        <v>179.77</v>
      </c>
      <c r="H1315" s="8">
        <v>0.23</v>
      </c>
      <c r="I1315" s="8">
        <f t="shared" si="1"/>
        <v>179.77</v>
      </c>
      <c r="J1315" s="8">
        <f t="shared" si="2"/>
        <v>-41.1171</v>
      </c>
      <c r="K1315" s="8" t="str">
        <f t="shared" si="3"/>
        <v>Feb</v>
      </c>
      <c r="L1315" s="8">
        <f t="shared" si="4"/>
        <v>2028</v>
      </c>
      <c r="N1315" s="8" t="str">
        <f t="array" ref="N1315">XLOOKUP(C1315,Customer_Dim!A:A,Customer_Dim!B:B,"Not Found")</f>
        <v>Jeff Martinez</v>
      </c>
      <c r="O1315" s="8" t="str">
        <f t="array" ref="O1315">XLOOKUP(C1315,Customer_Dim!A:A,Customer_Dim!E:E,"Not Found")</f>
        <v>Smithburgh</v>
      </c>
      <c r="P1315" s="8" t="str">
        <f t="array" ref="P1315">XLOOKUP(D1315,Product_Dim!A:A,Product_Dim!B:B,"Not Found")</f>
        <v>Wireless Bluetooth Speaker</v>
      </c>
      <c r="Q1315" s="8" t="str">
        <f t="array" ref="Q1315">XLOOKUP(D1315,Product_Dim!A:A,Product_Dim!C:C,"Not Found")</f>
        <v>Electronics</v>
      </c>
      <c r="R1315" s="8" t="str">
        <f t="array" ref="R1315">XLOOKUP(E1315,Store_Dim!A:A,Store_Dim!B:B,"Not Found")</f>
        <v>East</v>
      </c>
      <c r="S1315" s="8" t="str">
        <f t="array" ref="S1315">XLOOKUP(E1315,Store_Dim!A:A,Store_Dim!D:D,"Not Found")</f>
        <v>Flagship</v>
      </c>
    </row>
    <row r="1316" ht="14.25" customHeight="1">
      <c r="A1316" s="8" t="s">
        <v>3269</v>
      </c>
      <c r="B1316" s="12">
        <v>46794.0</v>
      </c>
      <c r="C1316" s="8" t="s">
        <v>52</v>
      </c>
      <c r="D1316" s="8" t="s">
        <v>1562</v>
      </c>
      <c r="E1316" s="8" t="s">
        <v>1924</v>
      </c>
      <c r="F1316" s="8">
        <v>2.0</v>
      </c>
      <c r="G1316" s="8">
        <v>943.8</v>
      </c>
      <c r="H1316" s="8">
        <v>0.06</v>
      </c>
      <c r="I1316" s="8">
        <f t="shared" si="1"/>
        <v>1887.6</v>
      </c>
      <c r="J1316" s="8">
        <f t="shared" si="2"/>
        <v>-113.196</v>
      </c>
      <c r="K1316" s="8" t="str">
        <f t="shared" si="3"/>
        <v>Feb</v>
      </c>
      <c r="L1316" s="8">
        <f t="shared" si="4"/>
        <v>2028</v>
      </c>
      <c r="N1316" s="8" t="str">
        <f t="array" ref="N1316">XLOOKUP(C1316,Customer_Dim!A:A,Customer_Dim!B:B,"Not Found")</f>
        <v>Melissa Howard</v>
      </c>
      <c r="O1316" s="8" t="str">
        <f t="array" ref="O1316">XLOOKUP(C1316,Customer_Dim!A:A,Customer_Dim!E:E,"Not Found")</f>
        <v>Maynardton</v>
      </c>
      <c r="P1316" s="8" t="str">
        <f t="array" ref="P1316">XLOOKUP(D1316,Product_Dim!A:A,Product_Dim!B:B,"Not Found")</f>
        <v>Brother Laser Printer</v>
      </c>
      <c r="Q1316" s="8" t="str">
        <f t="array" ref="Q1316">XLOOKUP(D1316,Product_Dim!A:A,Product_Dim!C:C,"Not Found")</f>
        <v>Electronics</v>
      </c>
      <c r="R1316" s="8" t="str">
        <f t="array" ref="R1316">XLOOKUP(E1316,Store_Dim!A:A,Store_Dim!B:B,"Not Found")</f>
        <v>South</v>
      </c>
      <c r="S1316" s="8" t="str">
        <f t="array" ref="S1316">XLOOKUP(E1316,Store_Dim!A:A,Store_Dim!D:D,"Not Found")</f>
        <v>Flagship</v>
      </c>
    </row>
    <row r="1317" ht="14.25" customHeight="1">
      <c r="A1317" s="8" t="s">
        <v>3270</v>
      </c>
      <c r="B1317" s="12">
        <v>46795.0</v>
      </c>
      <c r="C1317" s="8" t="s">
        <v>1288</v>
      </c>
      <c r="D1317" s="8" t="s">
        <v>1803</v>
      </c>
      <c r="E1317" s="8" t="s">
        <v>1933</v>
      </c>
      <c r="F1317" s="8">
        <v>2.0</v>
      </c>
      <c r="G1317" s="8">
        <v>985.0</v>
      </c>
      <c r="H1317" s="8">
        <v>0.25</v>
      </c>
      <c r="I1317" s="8">
        <f t="shared" si="1"/>
        <v>1970</v>
      </c>
      <c r="J1317" s="8">
        <f t="shared" si="2"/>
        <v>-492.25</v>
      </c>
      <c r="K1317" s="8" t="str">
        <f t="shared" si="3"/>
        <v>Feb</v>
      </c>
      <c r="L1317" s="8">
        <f t="shared" si="4"/>
        <v>2028</v>
      </c>
      <c r="N1317" s="8" t="str">
        <f t="array" ref="N1317">XLOOKUP(C1317,Customer_Dim!A:A,Customer_Dim!B:B,"Not Found")</f>
        <v>Sarah Smith</v>
      </c>
      <c r="O1317" s="8" t="str">
        <f t="array" ref="O1317">XLOOKUP(C1317,Customer_Dim!A:A,Customer_Dim!E:E,"Not Found")</f>
        <v>Kathleenport</v>
      </c>
      <c r="P1317" s="8" t="str">
        <f t="array" ref="P1317">XLOOKUP(D1317,Product_Dim!A:A,Product_Dim!B:B,"Not Found")</f>
        <v>Hair Repair Oil Treatment</v>
      </c>
      <c r="Q1317" s="8" t="str">
        <f t="array" ref="Q1317">XLOOKUP(D1317,Product_Dim!A:A,Product_Dim!C:C,"Not Found")</f>
        <v>Beauty</v>
      </c>
      <c r="R1317" s="8" t="str">
        <f t="array" ref="R1317">XLOOKUP(E1317,Store_Dim!A:A,Store_Dim!B:B,"Not Found")</f>
        <v>North</v>
      </c>
      <c r="S1317" s="8" t="str">
        <f t="array" ref="S1317">XLOOKUP(E1317,Store_Dim!A:A,Store_Dim!D:D,"Not Found")</f>
        <v>Flagship</v>
      </c>
    </row>
    <row r="1318" ht="14.25" customHeight="1">
      <c r="A1318" s="8" t="s">
        <v>3271</v>
      </c>
      <c r="B1318" s="12">
        <v>46796.0</v>
      </c>
      <c r="C1318" s="8" t="s">
        <v>1508</v>
      </c>
      <c r="D1318" s="8" t="s">
        <v>1854</v>
      </c>
      <c r="E1318" s="8" t="s">
        <v>1926</v>
      </c>
      <c r="F1318" s="8">
        <v>4.0</v>
      </c>
      <c r="G1318" s="8">
        <v>216.81</v>
      </c>
      <c r="H1318" s="8">
        <v>0.29</v>
      </c>
      <c r="I1318" s="8">
        <f t="shared" si="1"/>
        <v>867.24</v>
      </c>
      <c r="J1318" s="8">
        <f t="shared" si="2"/>
        <v>-251.2096</v>
      </c>
      <c r="K1318" s="8" t="str">
        <f t="shared" si="3"/>
        <v>Feb</v>
      </c>
      <c r="L1318" s="8">
        <f t="shared" si="4"/>
        <v>2028</v>
      </c>
      <c r="N1318" s="8" t="str">
        <f t="array" ref="N1318">XLOOKUP(C1318,Customer_Dim!A:A,Customer_Dim!B:B,"Not Found")</f>
        <v>Sara Ingram</v>
      </c>
      <c r="O1318" s="8" t="str">
        <f t="array" ref="O1318">XLOOKUP(C1318,Customer_Dim!A:A,Customer_Dim!E:E,"Not Found")</f>
        <v>East Dillonview</v>
      </c>
      <c r="P1318" s="8" t="str">
        <f t="array" ref="P1318">XLOOKUP(D1318,Product_Dim!A:A,Product_Dim!B:B,"Not Found")</f>
        <v>Sports Wrist Sweatbands</v>
      </c>
      <c r="Q1318" s="8" t="str">
        <f t="array" ref="Q1318">XLOOKUP(D1318,Product_Dim!A:A,Product_Dim!C:C,"Not Found")</f>
        <v>Sports</v>
      </c>
      <c r="R1318" s="8" t="str">
        <f t="array" ref="R1318">XLOOKUP(E1318,Store_Dim!A:A,Store_Dim!B:B,"Not Found")</f>
        <v>East</v>
      </c>
      <c r="S1318" s="8" t="str">
        <f t="array" ref="S1318">XLOOKUP(E1318,Store_Dim!A:A,Store_Dim!D:D,"Not Found")</f>
        <v>Online</v>
      </c>
    </row>
    <row r="1319" ht="14.25" customHeight="1">
      <c r="A1319" s="8" t="s">
        <v>3272</v>
      </c>
      <c r="B1319" s="12">
        <v>46797.0</v>
      </c>
      <c r="C1319" s="8" t="s">
        <v>418</v>
      </c>
      <c r="D1319" s="8" t="s">
        <v>1781</v>
      </c>
      <c r="E1319" s="8" t="s">
        <v>1906</v>
      </c>
      <c r="F1319" s="8">
        <v>4.0</v>
      </c>
      <c r="G1319" s="8">
        <v>950.21</v>
      </c>
      <c r="H1319" s="8">
        <v>0.27</v>
      </c>
      <c r="I1319" s="8">
        <f t="shared" si="1"/>
        <v>3800.84</v>
      </c>
      <c r="J1319" s="8">
        <f t="shared" si="2"/>
        <v>-1025.9568</v>
      </c>
      <c r="K1319" s="8" t="str">
        <f t="shared" si="3"/>
        <v>Feb</v>
      </c>
      <c r="L1319" s="8">
        <f t="shared" si="4"/>
        <v>2028</v>
      </c>
      <c r="N1319" s="8" t="str">
        <f t="array" ref="N1319">XLOOKUP(C1319,Customer_Dim!A:A,Customer_Dim!B:B,"Not Found")</f>
        <v>Colleen Mccarthy</v>
      </c>
      <c r="O1319" s="8" t="str">
        <f t="array" ref="O1319">XLOOKUP(C1319,Customer_Dim!A:A,Customer_Dim!E:E,"Not Found")</f>
        <v>North Katherine</v>
      </c>
      <c r="P1319" s="8" t="str">
        <f t="array" ref="P1319">XLOOKUP(D1319,Product_Dim!A:A,Product_Dim!B:B,"Not Found")</f>
        <v>Matte Lipstick Set</v>
      </c>
      <c r="Q1319" s="8" t="str">
        <f t="array" ref="Q1319">XLOOKUP(D1319,Product_Dim!A:A,Product_Dim!C:C,"Not Found")</f>
        <v>Beauty</v>
      </c>
      <c r="R1319" s="8" t="str">
        <f t="array" ref="R1319">XLOOKUP(E1319,Store_Dim!A:A,Store_Dim!B:B,"Not Found")</f>
        <v>South</v>
      </c>
      <c r="S1319" s="8" t="str">
        <f t="array" ref="S1319">XLOOKUP(E1319,Store_Dim!A:A,Store_Dim!D:D,"Not Found")</f>
        <v>Outlet</v>
      </c>
    </row>
    <row r="1320" ht="14.25" customHeight="1">
      <c r="A1320" s="8" t="s">
        <v>3273</v>
      </c>
      <c r="B1320" s="12">
        <v>46798.0</v>
      </c>
      <c r="C1320" s="8" t="s">
        <v>833</v>
      </c>
      <c r="D1320" s="8" t="s">
        <v>1732</v>
      </c>
      <c r="E1320" s="8" t="s">
        <v>1919</v>
      </c>
      <c r="F1320" s="8">
        <v>2.0</v>
      </c>
      <c r="G1320" s="8">
        <v>271.4</v>
      </c>
      <c r="H1320" s="8">
        <v>0.17</v>
      </c>
      <c r="I1320" s="8">
        <f t="shared" si="1"/>
        <v>542.8</v>
      </c>
      <c r="J1320" s="8">
        <f t="shared" si="2"/>
        <v>-92.106</v>
      </c>
      <c r="K1320" s="8" t="str">
        <f t="shared" si="3"/>
        <v>Feb</v>
      </c>
      <c r="L1320" s="8">
        <f t="shared" si="4"/>
        <v>2028</v>
      </c>
      <c r="N1320" s="8" t="str">
        <f t="array" ref="N1320">XLOOKUP(C1320,Customer_Dim!A:A,Customer_Dim!B:B,"Not Found")</f>
        <v>Kristen Fischer</v>
      </c>
      <c r="O1320" s="8" t="str">
        <f t="array" ref="O1320">XLOOKUP(C1320,Customer_Dim!A:A,Customer_Dim!E:E,"Not Found")</f>
        <v>Lake Christopher</v>
      </c>
      <c r="P1320" s="8" t="str">
        <f t="array" ref="P1320">XLOOKUP(D1320,Product_Dim!A:A,Product_Dim!B:B,"Not Found")</f>
        <v>Car Dashboard Phone Holder</v>
      </c>
      <c r="Q1320" s="8" t="str">
        <f t="array" ref="Q1320">XLOOKUP(D1320,Product_Dim!A:A,Product_Dim!C:C,"Not Found")</f>
        <v>Electronics</v>
      </c>
      <c r="R1320" s="8" t="str">
        <f t="array" ref="R1320">XLOOKUP(E1320,Store_Dim!A:A,Store_Dim!B:B,"Not Found")</f>
        <v>South</v>
      </c>
      <c r="S1320" s="8" t="str">
        <f t="array" ref="S1320">XLOOKUP(E1320,Store_Dim!A:A,Store_Dim!D:D,"Not Found")</f>
        <v>Online</v>
      </c>
    </row>
    <row r="1321" ht="14.25" customHeight="1">
      <c r="A1321" s="8" t="s">
        <v>3274</v>
      </c>
      <c r="B1321" s="12">
        <v>46799.0</v>
      </c>
      <c r="C1321" s="8" t="s">
        <v>571</v>
      </c>
      <c r="D1321" s="8" t="s">
        <v>1703</v>
      </c>
      <c r="E1321" s="8" t="s">
        <v>1921</v>
      </c>
      <c r="F1321" s="8">
        <v>4.0</v>
      </c>
      <c r="G1321" s="8">
        <v>708.19</v>
      </c>
      <c r="H1321" s="8">
        <v>0.1</v>
      </c>
      <c r="I1321" s="8">
        <f t="shared" si="1"/>
        <v>2832.76</v>
      </c>
      <c r="J1321" s="8">
        <f t="shared" si="2"/>
        <v>-283.176</v>
      </c>
      <c r="K1321" s="8" t="str">
        <f t="shared" si="3"/>
        <v>Feb</v>
      </c>
      <c r="L1321" s="8">
        <f t="shared" si="4"/>
        <v>2028</v>
      </c>
      <c r="N1321" s="8" t="str">
        <f t="array" ref="N1321">XLOOKUP(C1321,Customer_Dim!A:A,Customer_Dim!B:B,"Not Found")</f>
        <v>Daniel Contreras</v>
      </c>
      <c r="O1321" s="8" t="str">
        <f t="array" ref="O1321">XLOOKUP(C1321,Customer_Dim!A:A,Customer_Dim!E:E,"Not Found")</f>
        <v>Robertview</v>
      </c>
      <c r="P1321" s="8" t="str">
        <f t="array" ref="P1321">XLOOKUP(D1321,Product_Dim!A:A,Product_Dim!B:B,"Not Found")</f>
        <v>Portable Power Bank</v>
      </c>
      <c r="Q1321" s="8" t="str">
        <f t="array" ref="Q1321">XLOOKUP(D1321,Product_Dim!A:A,Product_Dim!C:C,"Not Found")</f>
        <v>Electronics</v>
      </c>
      <c r="R1321" s="8" t="str">
        <f t="array" ref="R1321">XLOOKUP(E1321,Store_Dim!A:A,Store_Dim!B:B,"Not Found")</f>
        <v>West</v>
      </c>
      <c r="S1321" s="8" t="str">
        <f t="array" ref="S1321">XLOOKUP(E1321,Store_Dim!A:A,Store_Dim!D:D,"Not Found")</f>
        <v>Online</v>
      </c>
    </row>
    <row r="1322" ht="14.25" customHeight="1">
      <c r="A1322" s="8" t="s">
        <v>3275</v>
      </c>
      <c r="B1322" s="12">
        <v>46800.0</v>
      </c>
      <c r="C1322" s="8" t="s">
        <v>1390</v>
      </c>
      <c r="D1322" s="8" t="s">
        <v>1751</v>
      </c>
      <c r="E1322" s="8" t="s">
        <v>1910</v>
      </c>
      <c r="F1322" s="8">
        <v>3.0</v>
      </c>
      <c r="G1322" s="8">
        <v>477.05</v>
      </c>
      <c r="H1322" s="8">
        <v>0.05</v>
      </c>
      <c r="I1322" s="8">
        <f t="shared" si="1"/>
        <v>1431.15</v>
      </c>
      <c r="J1322" s="8">
        <f t="shared" si="2"/>
        <v>-71.5075</v>
      </c>
      <c r="K1322" s="8" t="str">
        <f t="shared" si="3"/>
        <v>Feb</v>
      </c>
      <c r="L1322" s="8">
        <f t="shared" si="4"/>
        <v>2028</v>
      </c>
      <c r="N1322" s="8" t="str">
        <f t="array" ref="N1322">XLOOKUP(C1322,Customer_Dim!A:A,Customer_Dim!B:B,"Not Found")</f>
        <v>Cheryl Carr</v>
      </c>
      <c r="O1322" s="8" t="str">
        <f t="array" ref="O1322">XLOOKUP(C1322,Customer_Dim!A:A,Customer_Dim!E:E,"Not Found")</f>
        <v>Jessicaland</v>
      </c>
      <c r="P1322" s="8" t="str">
        <f t="array" ref="P1322">XLOOKUP(D1322,Product_Dim!A:A,Product_Dim!B:B,"Not Found")</f>
        <v>Sports Stopwatch Pro</v>
      </c>
      <c r="Q1322" s="8" t="str">
        <f t="array" ref="Q1322">XLOOKUP(D1322,Product_Dim!A:A,Product_Dim!C:C,"Not Found")</f>
        <v>Sports</v>
      </c>
      <c r="R1322" s="8" t="str">
        <f t="array" ref="R1322">XLOOKUP(E1322,Store_Dim!A:A,Store_Dim!B:B,"Not Found")</f>
        <v>North</v>
      </c>
      <c r="S1322" s="8" t="str">
        <f t="array" ref="S1322">XLOOKUP(E1322,Store_Dim!A:A,Store_Dim!D:D,"Not Found")</f>
        <v>Outlet</v>
      </c>
    </row>
    <row r="1323" ht="14.25" customHeight="1">
      <c r="A1323" s="8" t="s">
        <v>3276</v>
      </c>
      <c r="B1323" s="12">
        <v>46801.0</v>
      </c>
      <c r="C1323" s="8" t="s">
        <v>984</v>
      </c>
      <c r="D1323" s="8" t="s">
        <v>1812</v>
      </c>
      <c r="E1323" s="8" t="s">
        <v>1924</v>
      </c>
      <c r="F1323" s="8">
        <v>3.0</v>
      </c>
      <c r="G1323" s="8">
        <v>627.29</v>
      </c>
      <c r="H1323" s="8">
        <v>0.27</v>
      </c>
      <c r="I1323" s="8">
        <f t="shared" si="1"/>
        <v>1881.87</v>
      </c>
      <c r="J1323" s="8">
        <f t="shared" si="2"/>
        <v>-507.8349</v>
      </c>
      <c r="K1323" s="8" t="str">
        <f t="shared" si="3"/>
        <v>Feb</v>
      </c>
      <c r="L1323" s="8">
        <f t="shared" si="4"/>
        <v>2028</v>
      </c>
      <c r="N1323" s="8" t="str">
        <f t="array" ref="N1323">XLOOKUP(C1323,Customer_Dim!A:A,Customer_Dim!B:B,"Not Found")</f>
        <v>Brandy Thompson</v>
      </c>
      <c r="O1323" s="8" t="str">
        <f t="array" ref="O1323">XLOOKUP(C1323,Customer_Dim!A:A,Customer_Dim!E:E,"Not Found")</f>
        <v>West Patriciaview</v>
      </c>
      <c r="P1323" s="8" t="str">
        <f t="array" ref="P1323">XLOOKUP(D1323,Product_Dim!A:A,Product_Dim!B:B,"Not Found")</f>
        <v>Bluetooth Car Audio System</v>
      </c>
      <c r="Q1323" s="8" t="str">
        <f t="array" ref="Q1323">XLOOKUP(D1323,Product_Dim!A:A,Product_Dim!C:C,"Not Found")</f>
        <v>Electronics</v>
      </c>
      <c r="R1323" s="8" t="str">
        <f t="array" ref="R1323">XLOOKUP(E1323,Store_Dim!A:A,Store_Dim!B:B,"Not Found")</f>
        <v>South</v>
      </c>
      <c r="S1323" s="8" t="str">
        <f t="array" ref="S1323">XLOOKUP(E1323,Store_Dim!A:A,Store_Dim!D:D,"Not Found")</f>
        <v>Flagship</v>
      </c>
    </row>
    <row r="1324" ht="14.25" customHeight="1">
      <c r="A1324" s="8" t="s">
        <v>3277</v>
      </c>
      <c r="B1324" s="12">
        <v>46802.0</v>
      </c>
      <c r="C1324" s="8" t="s">
        <v>975</v>
      </c>
      <c r="D1324" s="8" t="s">
        <v>1872</v>
      </c>
      <c r="E1324" s="8" t="s">
        <v>1928</v>
      </c>
      <c r="F1324" s="8">
        <v>3.0</v>
      </c>
      <c r="G1324" s="8">
        <v>206.84</v>
      </c>
      <c r="H1324" s="8">
        <v>0.19</v>
      </c>
      <c r="I1324" s="8">
        <f t="shared" si="1"/>
        <v>620.52</v>
      </c>
      <c r="J1324" s="8">
        <f t="shared" si="2"/>
        <v>-117.7088</v>
      </c>
      <c r="K1324" s="8" t="str">
        <f t="shared" si="3"/>
        <v>Feb</v>
      </c>
      <c r="L1324" s="8">
        <f t="shared" si="4"/>
        <v>2028</v>
      </c>
      <c r="N1324" s="8" t="str">
        <f t="array" ref="N1324">XLOOKUP(C1324,Customer_Dim!A:A,Customer_Dim!B:B,"Not Found")</f>
        <v>Miss Alexandria Li DVM</v>
      </c>
      <c r="O1324" s="8" t="str">
        <f t="array" ref="O1324">XLOOKUP(C1324,Customer_Dim!A:A,Customer_Dim!E:E,"Not Found")</f>
        <v>Port Jenniferton</v>
      </c>
      <c r="P1324" s="8" t="str">
        <f t="array" ref="P1324">XLOOKUP(D1324,Product_Dim!A:A,Product_Dim!B:B,"Not Found")</f>
        <v>Vitamin E Body Lotion</v>
      </c>
      <c r="Q1324" s="8" t="str">
        <f t="array" ref="Q1324">XLOOKUP(D1324,Product_Dim!A:A,Product_Dim!C:C,"Not Found")</f>
        <v>Beauty</v>
      </c>
      <c r="R1324" s="8" t="str">
        <f t="array" ref="R1324">XLOOKUP(E1324,Store_Dim!A:A,Store_Dim!B:B,"Not Found")</f>
        <v>South</v>
      </c>
      <c r="S1324" s="8" t="str">
        <f t="array" ref="S1324">XLOOKUP(E1324,Store_Dim!A:A,Store_Dim!D:D,"Not Found")</f>
        <v>Online</v>
      </c>
    </row>
    <row r="1325" ht="14.25" customHeight="1">
      <c r="A1325" s="8" t="s">
        <v>3278</v>
      </c>
      <c r="B1325" s="12">
        <v>46803.0</v>
      </c>
      <c r="C1325" s="8" t="s">
        <v>818</v>
      </c>
      <c r="D1325" s="8" t="s">
        <v>1674</v>
      </c>
      <c r="E1325" s="8" t="s">
        <v>1903</v>
      </c>
      <c r="F1325" s="8">
        <v>4.0</v>
      </c>
      <c r="G1325" s="8">
        <v>629.05</v>
      </c>
      <c r="H1325" s="8">
        <v>0.26</v>
      </c>
      <c r="I1325" s="8">
        <f t="shared" si="1"/>
        <v>2516.2</v>
      </c>
      <c r="J1325" s="8">
        <f t="shared" si="2"/>
        <v>-653.952</v>
      </c>
      <c r="K1325" s="8" t="str">
        <f t="shared" si="3"/>
        <v>Feb</v>
      </c>
      <c r="L1325" s="8">
        <f t="shared" si="4"/>
        <v>2028</v>
      </c>
      <c r="N1325" s="8" t="str">
        <f t="array" ref="N1325">XLOOKUP(C1325,Customer_Dim!A:A,Customer_Dim!B:B,"Not Found")</f>
        <v>Tyler Garner</v>
      </c>
      <c r="O1325" s="8" t="str">
        <f t="array" ref="O1325">XLOOKUP(C1325,Customer_Dim!A:A,Customer_Dim!E:E,"Not Found")</f>
        <v>Port Coreyfort</v>
      </c>
      <c r="P1325" s="8" t="str">
        <f t="array" ref="P1325">XLOOKUP(D1325,Product_Dim!A:A,Product_Dim!B:B,"Not Found")</f>
        <v>Stainless Steel Cutlery Set</v>
      </c>
      <c r="Q1325" s="8" t="str">
        <f t="array" ref="Q1325">XLOOKUP(D1325,Product_Dim!A:A,Product_Dim!C:C,"Not Found")</f>
        <v>Home</v>
      </c>
      <c r="R1325" s="8" t="str">
        <f t="array" ref="R1325">XLOOKUP(E1325,Store_Dim!A:A,Store_Dim!B:B,"Not Found")</f>
        <v>North</v>
      </c>
      <c r="S1325" s="8" t="str">
        <f t="array" ref="S1325">XLOOKUP(E1325,Store_Dim!A:A,Store_Dim!D:D,"Not Found")</f>
        <v>Flagship</v>
      </c>
    </row>
    <row r="1326" ht="14.25" customHeight="1">
      <c r="A1326" s="8" t="s">
        <v>3279</v>
      </c>
      <c r="B1326" s="12">
        <v>46804.0</v>
      </c>
      <c r="C1326" s="8" t="s">
        <v>1373</v>
      </c>
      <c r="D1326" s="8" t="s">
        <v>1812</v>
      </c>
      <c r="E1326" s="8" t="s">
        <v>1937</v>
      </c>
      <c r="F1326" s="8">
        <v>4.0</v>
      </c>
      <c r="G1326" s="8">
        <v>529.04</v>
      </c>
      <c r="H1326" s="8">
        <v>0.1</v>
      </c>
      <c r="I1326" s="8">
        <f t="shared" si="1"/>
        <v>2116.16</v>
      </c>
      <c r="J1326" s="8">
        <f t="shared" si="2"/>
        <v>-211.516</v>
      </c>
      <c r="K1326" s="8" t="str">
        <f t="shared" si="3"/>
        <v>Feb</v>
      </c>
      <c r="L1326" s="8">
        <f t="shared" si="4"/>
        <v>2028</v>
      </c>
      <c r="N1326" s="8" t="str">
        <f t="array" ref="N1326">XLOOKUP(C1326,Customer_Dim!A:A,Customer_Dim!B:B,"Not Found")</f>
        <v>Monica Flynn</v>
      </c>
      <c r="O1326" s="8" t="str">
        <f t="array" ref="O1326">XLOOKUP(C1326,Customer_Dim!A:A,Customer_Dim!E:E,"Not Found")</f>
        <v>Amberburgh</v>
      </c>
      <c r="P1326" s="8" t="str">
        <f t="array" ref="P1326">XLOOKUP(D1326,Product_Dim!A:A,Product_Dim!B:B,"Not Found")</f>
        <v>Bluetooth Car Audio System</v>
      </c>
      <c r="Q1326" s="8" t="str">
        <f t="array" ref="Q1326">XLOOKUP(D1326,Product_Dim!A:A,Product_Dim!C:C,"Not Found")</f>
        <v>Electronics</v>
      </c>
      <c r="R1326" s="8" t="str">
        <f t="array" ref="R1326">XLOOKUP(E1326,Store_Dim!A:A,Store_Dim!B:B,"Not Found")</f>
        <v>North</v>
      </c>
      <c r="S1326" s="8" t="str">
        <f t="array" ref="S1326">XLOOKUP(E1326,Store_Dim!A:A,Store_Dim!D:D,"Not Found")</f>
        <v>Flagship</v>
      </c>
    </row>
    <row r="1327" ht="14.25" customHeight="1">
      <c r="A1327" s="8" t="s">
        <v>3280</v>
      </c>
      <c r="B1327" s="12">
        <v>46805.0</v>
      </c>
      <c r="C1327" s="8" t="s">
        <v>1110</v>
      </c>
      <c r="D1327" s="8" t="s">
        <v>1674</v>
      </c>
      <c r="E1327" s="8" t="s">
        <v>1937</v>
      </c>
      <c r="F1327" s="8">
        <v>1.0</v>
      </c>
      <c r="G1327" s="8">
        <v>350.67</v>
      </c>
      <c r="H1327" s="8">
        <v>0.22</v>
      </c>
      <c r="I1327" s="8">
        <f t="shared" si="1"/>
        <v>350.67</v>
      </c>
      <c r="J1327" s="8">
        <f t="shared" si="2"/>
        <v>-76.9274</v>
      </c>
      <c r="K1327" s="8" t="str">
        <f t="shared" si="3"/>
        <v>Feb</v>
      </c>
      <c r="L1327" s="8">
        <f t="shared" si="4"/>
        <v>2028</v>
      </c>
      <c r="N1327" s="8" t="str">
        <f t="array" ref="N1327">XLOOKUP(C1327,Customer_Dim!A:A,Customer_Dim!B:B,"Not Found")</f>
        <v>Heather Valenzuela</v>
      </c>
      <c r="O1327" s="8" t="str">
        <f t="array" ref="O1327">XLOOKUP(C1327,Customer_Dim!A:A,Customer_Dim!E:E,"Not Found")</f>
        <v>New Angiefurt</v>
      </c>
      <c r="P1327" s="8" t="str">
        <f t="array" ref="P1327">XLOOKUP(D1327,Product_Dim!A:A,Product_Dim!B:B,"Not Found")</f>
        <v>Stainless Steel Cutlery Set</v>
      </c>
      <c r="Q1327" s="8" t="str">
        <f t="array" ref="Q1327">XLOOKUP(D1327,Product_Dim!A:A,Product_Dim!C:C,"Not Found")</f>
        <v>Home</v>
      </c>
      <c r="R1327" s="8" t="str">
        <f t="array" ref="R1327">XLOOKUP(E1327,Store_Dim!A:A,Store_Dim!B:B,"Not Found")</f>
        <v>North</v>
      </c>
      <c r="S1327" s="8" t="str">
        <f t="array" ref="S1327">XLOOKUP(E1327,Store_Dim!A:A,Store_Dim!D:D,"Not Found")</f>
        <v>Flagship</v>
      </c>
    </row>
    <row r="1328" ht="14.25" customHeight="1">
      <c r="A1328" s="8" t="s">
        <v>3281</v>
      </c>
      <c r="B1328" s="12">
        <v>46806.0</v>
      </c>
      <c r="C1328" s="8" t="s">
        <v>1176</v>
      </c>
      <c r="D1328" s="8" t="s">
        <v>1875</v>
      </c>
      <c r="E1328" s="8" t="s">
        <v>1903</v>
      </c>
      <c r="F1328" s="8">
        <v>1.0</v>
      </c>
      <c r="G1328" s="8">
        <v>128.93</v>
      </c>
      <c r="H1328" s="8">
        <v>0.26</v>
      </c>
      <c r="I1328" s="8">
        <f t="shared" si="1"/>
        <v>128.93</v>
      </c>
      <c r="J1328" s="8">
        <f t="shared" si="2"/>
        <v>-33.2618</v>
      </c>
      <c r="K1328" s="8" t="str">
        <f t="shared" si="3"/>
        <v>Feb</v>
      </c>
      <c r="L1328" s="8">
        <f t="shared" si="4"/>
        <v>2028</v>
      </c>
      <c r="N1328" s="8" t="str">
        <f t="array" ref="N1328">XLOOKUP(C1328,Customer_Dim!A:A,Customer_Dim!B:B,"Not Found")</f>
        <v>Michael Garner</v>
      </c>
      <c r="O1328" s="8" t="str">
        <f t="array" ref="O1328">XLOOKUP(C1328,Customer_Dim!A:A,Customer_Dim!E:E,"Not Found")</f>
        <v>Port Crystal</v>
      </c>
      <c r="P1328" s="8" t="str">
        <f t="array" ref="P1328">XLOOKUP(D1328,Product_Dim!A:A,Product_Dim!B:B,"Not Found")</f>
        <v>Sports Stopwatch Basic</v>
      </c>
      <c r="Q1328" s="8" t="str">
        <f t="array" ref="Q1328">XLOOKUP(D1328,Product_Dim!A:A,Product_Dim!C:C,"Not Found")</f>
        <v>Sports</v>
      </c>
      <c r="R1328" s="8" t="str">
        <f t="array" ref="R1328">XLOOKUP(E1328,Store_Dim!A:A,Store_Dim!B:B,"Not Found")</f>
        <v>North</v>
      </c>
      <c r="S1328" s="8" t="str">
        <f t="array" ref="S1328">XLOOKUP(E1328,Store_Dim!A:A,Store_Dim!D:D,"Not Found")</f>
        <v>Flagship</v>
      </c>
    </row>
    <row r="1329" ht="14.25" customHeight="1">
      <c r="A1329" s="8" t="s">
        <v>3282</v>
      </c>
      <c r="B1329" s="12">
        <v>46807.0</v>
      </c>
      <c r="C1329" s="8" t="s">
        <v>502</v>
      </c>
      <c r="D1329" s="8" t="s">
        <v>1848</v>
      </c>
      <c r="E1329" s="8" t="s">
        <v>1933</v>
      </c>
      <c r="F1329" s="8">
        <v>2.0</v>
      </c>
      <c r="G1329" s="8">
        <v>384.92</v>
      </c>
      <c r="H1329" s="8">
        <v>0.09</v>
      </c>
      <c r="I1329" s="8">
        <f t="shared" si="1"/>
        <v>769.84</v>
      </c>
      <c r="J1329" s="8">
        <f t="shared" si="2"/>
        <v>-69.1956</v>
      </c>
      <c r="K1329" s="8" t="str">
        <f t="shared" si="3"/>
        <v>Feb</v>
      </c>
      <c r="L1329" s="8">
        <f t="shared" si="4"/>
        <v>2028</v>
      </c>
      <c r="N1329" s="8" t="str">
        <f t="array" ref="N1329">XLOOKUP(C1329,Customer_Dim!A:A,Customer_Dim!B:B,"Not Found")</f>
        <v>Cameron Simpson</v>
      </c>
      <c r="O1329" s="8" t="str">
        <f t="array" ref="O1329">XLOOKUP(C1329,Customer_Dim!A:A,Customer_Dim!E:E,"Not Found")</f>
        <v>Michaelfort</v>
      </c>
      <c r="P1329" s="8" t="str">
        <f t="array" ref="P1329">XLOOKUP(D1329,Product_Dim!A:A,Product_Dim!B:B,"Not Found")</f>
        <v>Kitchen Cutting Board</v>
      </c>
      <c r="Q1329" s="8" t="str">
        <f t="array" ref="Q1329">XLOOKUP(D1329,Product_Dim!A:A,Product_Dim!C:C,"Not Found")</f>
        <v>Home</v>
      </c>
      <c r="R1329" s="8" t="str">
        <f t="array" ref="R1329">XLOOKUP(E1329,Store_Dim!A:A,Store_Dim!B:B,"Not Found")</f>
        <v>North</v>
      </c>
      <c r="S1329" s="8" t="str">
        <f t="array" ref="S1329">XLOOKUP(E1329,Store_Dim!A:A,Store_Dim!D:D,"Not Found")</f>
        <v>Flagship</v>
      </c>
    </row>
    <row r="1330" ht="14.25" customHeight="1">
      <c r="A1330" s="8" t="s">
        <v>3283</v>
      </c>
      <c r="B1330" s="12">
        <v>46808.0</v>
      </c>
      <c r="C1330" s="8" t="s">
        <v>1065</v>
      </c>
      <c r="D1330" s="8" t="s">
        <v>1583</v>
      </c>
      <c r="E1330" s="8" t="s">
        <v>1921</v>
      </c>
      <c r="F1330" s="8">
        <v>3.0</v>
      </c>
      <c r="G1330" s="8">
        <v>120.77</v>
      </c>
      <c r="H1330" s="8">
        <v>0.29</v>
      </c>
      <c r="I1330" s="8">
        <f t="shared" si="1"/>
        <v>362.31</v>
      </c>
      <c r="J1330" s="8">
        <f t="shared" si="2"/>
        <v>-104.7799</v>
      </c>
      <c r="K1330" s="8" t="str">
        <f t="shared" si="3"/>
        <v>Feb</v>
      </c>
      <c r="L1330" s="8">
        <f t="shared" si="4"/>
        <v>2028</v>
      </c>
      <c r="N1330" s="8" t="str">
        <f t="array" ref="N1330">XLOOKUP(C1330,Customer_Dim!A:A,Customer_Dim!B:B,"Not Found")</f>
        <v>Mr. Christopher Sims</v>
      </c>
      <c r="O1330" s="8" t="str">
        <f t="array" ref="O1330">XLOOKUP(C1330,Customer_Dim!A:A,Customer_Dim!E:E,"Not Found")</f>
        <v>Donaldsontown</v>
      </c>
      <c r="P1330" s="8" t="str">
        <f t="array" ref="P1330">XLOOKUP(D1330,Product_Dim!A:A,Product_Dim!B:B,"Not Found")</f>
        <v>Men's Leather Belt</v>
      </c>
      <c r="Q1330" s="8" t="str">
        <f t="array" ref="Q1330">XLOOKUP(D1330,Product_Dim!A:A,Product_Dim!C:C,"Not Found")</f>
        <v>Clothing</v>
      </c>
      <c r="R1330" s="8" t="str">
        <f t="array" ref="R1330">XLOOKUP(E1330,Store_Dim!A:A,Store_Dim!B:B,"Not Found")</f>
        <v>West</v>
      </c>
      <c r="S1330" s="8" t="str">
        <f t="array" ref="S1330">XLOOKUP(E1330,Store_Dim!A:A,Store_Dim!D:D,"Not Found")</f>
        <v>Online</v>
      </c>
    </row>
    <row r="1331" ht="14.25" customHeight="1">
      <c r="A1331" s="8" t="s">
        <v>3284</v>
      </c>
      <c r="B1331" s="12">
        <v>46809.0</v>
      </c>
      <c r="C1331" s="8" t="s">
        <v>733</v>
      </c>
      <c r="D1331" s="8" t="s">
        <v>1818</v>
      </c>
      <c r="E1331" s="8" t="s">
        <v>1937</v>
      </c>
      <c r="F1331" s="8">
        <v>4.0</v>
      </c>
      <c r="G1331" s="8">
        <v>661.39</v>
      </c>
      <c r="H1331" s="8">
        <v>0.07</v>
      </c>
      <c r="I1331" s="8">
        <f t="shared" si="1"/>
        <v>2645.56</v>
      </c>
      <c r="J1331" s="8">
        <f t="shared" si="2"/>
        <v>-185.1192</v>
      </c>
      <c r="K1331" s="8" t="str">
        <f t="shared" si="3"/>
        <v>Feb</v>
      </c>
      <c r="L1331" s="8">
        <f t="shared" si="4"/>
        <v>2028</v>
      </c>
      <c r="N1331" s="8" t="str">
        <f t="array" ref="N1331">XLOOKUP(C1331,Customer_Dim!A:A,Customer_Dim!B:B,"Not Found")</f>
        <v>Alejandro Doyle</v>
      </c>
      <c r="O1331" s="8" t="str">
        <f t="array" ref="O1331">XLOOKUP(C1331,Customer_Dim!A:A,Customer_Dim!E:E,"Not Found")</f>
        <v>East Crystalton</v>
      </c>
      <c r="P1331" s="8" t="str">
        <f t="array" ref="P1331">XLOOKUP(D1331,Product_Dim!A:A,Product_Dim!B:B,"Not Found")</f>
        <v>Wireless Mouse</v>
      </c>
      <c r="Q1331" s="8" t="str">
        <f t="array" ref="Q1331">XLOOKUP(D1331,Product_Dim!A:A,Product_Dim!C:C,"Not Found")</f>
        <v>Electronics</v>
      </c>
      <c r="R1331" s="8" t="str">
        <f t="array" ref="R1331">XLOOKUP(E1331,Store_Dim!A:A,Store_Dim!B:B,"Not Found")</f>
        <v>North</v>
      </c>
      <c r="S1331" s="8" t="str">
        <f t="array" ref="S1331">XLOOKUP(E1331,Store_Dim!A:A,Store_Dim!D:D,"Not Found")</f>
        <v>Flagship</v>
      </c>
    </row>
    <row r="1332" ht="14.25" customHeight="1">
      <c r="A1332" s="8" t="s">
        <v>3285</v>
      </c>
      <c r="B1332" s="12">
        <v>46810.0</v>
      </c>
      <c r="C1332" s="8" t="s">
        <v>1405</v>
      </c>
      <c r="D1332" s="8" t="s">
        <v>1775</v>
      </c>
      <c r="E1332" s="8" t="s">
        <v>1906</v>
      </c>
      <c r="F1332" s="8">
        <v>1.0</v>
      </c>
      <c r="G1332" s="8">
        <v>195.24</v>
      </c>
      <c r="H1332" s="8">
        <v>0.27</v>
      </c>
      <c r="I1332" s="8">
        <f t="shared" si="1"/>
        <v>195.24</v>
      </c>
      <c r="J1332" s="8">
        <f t="shared" si="2"/>
        <v>-52.4448</v>
      </c>
      <c r="K1332" s="8" t="str">
        <f t="shared" si="3"/>
        <v>Feb</v>
      </c>
      <c r="L1332" s="8">
        <f t="shared" si="4"/>
        <v>2028</v>
      </c>
      <c r="N1332" s="8" t="str">
        <f t="array" ref="N1332">XLOOKUP(C1332,Customer_Dim!A:A,Customer_Dim!B:B,"Not Found")</f>
        <v>William Cortez</v>
      </c>
      <c r="O1332" s="8" t="str">
        <f t="array" ref="O1332">XLOOKUP(C1332,Customer_Dim!A:A,Customer_Dim!E:E,"Not Found")</f>
        <v>Port Hannahport</v>
      </c>
      <c r="P1332" s="8" t="str">
        <f t="array" ref="P1332">XLOOKUP(D1332,Product_Dim!A:A,Product_Dim!B:B,"Not Found")</f>
        <v>Laptop Cooling Pad</v>
      </c>
      <c r="Q1332" s="8" t="str">
        <f t="array" ref="Q1332">XLOOKUP(D1332,Product_Dim!A:A,Product_Dim!C:C,"Not Found")</f>
        <v>Electronics</v>
      </c>
      <c r="R1332" s="8" t="str">
        <f t="array" ref="R1332">XLOOKUP(E1332,Store_Dim!A:A,Store_Dim!B:B,"Not Found")</f>
        <v>South</v>
      </c>
      <c r="S1332" s="8" t="str">
        <f t="array" ref="S1332">XLOOKUP(E1332,Store_Dim!A:A,Store_Dim!D:D,"Not Found")</f>
        <v>Outlet</v>
      </c>
    </row>
    <row r="1333" ht="14.25" customHeight="1">
      <c r="A1333" s="8" t="s">
        <v>3286</v>
      </c>
      <c r="B1333" s="12">
        <v>46811.0</v>
      </c>
      <c r="C1333" s="8" t="s">
        <v>35</v>
      </c>
      <c r="D1333" s="8" t="s">
        <v>1866</v>
      </c>
      <c r="E1333" s="8" t="s">
        <v>1939</v>
      </c>
      <c r="F1333" s="8">
        <v>2.0</v>
      </c>
      <c r="G1333" s="8">
        <v>177.4</v>
      </c>
      <c r="H1333" s="8">
        <v>0.19</v>
      </c>
      <c r="I1333" s="8">
        <f t="shared" si="1"/>
        <v>354.8</v>
      </c>
      <c r="J1333" s="8">
        <f t="shared" si="2"/>
        <v>-67.222</v>
      </c>
      <c r="K1333" s="8" t="str">
        <f t="shared" si="3"/>
        <v>Feb</v>
      </c>
      <c r="L1333" s="8">
        <f t="shared" si="4"/>
        <v>2028</v>
      </c>
      <c r="N1333" s="8" t="str">
        <f t="array" ref="N1333">XLOOKUP(C1333,Customer_Dim!A:A,Customer_Dim!B:B,"Not Found")</f>
        <v>Caroline Collins</v>
      </c>
      <c r="O1333" s="8" t="str">
        <f t="array" ref="O1333">XLOOKUP(C1333,Customer_Dim!A:A,Customer_Dim!E:E,"Not Found")</f>
        <v>Nicholasshire</v>
      </c>
      <c r="P1333" s="8" t="str">
        <f t="array" ref="P1333">XLOOKUP(D1333,Product_Dim!A:A,Product_Dim!B:B,"Not Found")</f>
        <v>Microwave Oven</v>
      </c>
      <c r="Q1333" s="8" t="str">
        <f t="array" ref="Q1333">XLOOKUP(D1333,Product_Dim!A:A,Product_Dim!C:C,"Not Found")</f>
        <v>Home</v>
      </c>
      <c r="R1333" s="8" t="str">
        <f t="array" ref="R1333">XLOOKUP(E1333,Store_Dim!A:A,Store_Dim!B:B,"Not Found")</f>
        <v>East</v>
      </c>
      <c r="S1333" s="8" t="str">
        <f t="array" ref="S1333">XLOOKUP(E1333,Store_Dim!A:A,Store_Dim!D:D,"Not Found")</f>
        <v>Flagship</v>
      </c>
    </row>
    <row r="1334" ht="14.25" customHeight="1">
      <c r="A1334" s="8" t="s">
        <v>3287</v>
      </c>
      <c r="B1334" s="12">
        <v>46812.0</v>
      </c>
      <c r="C1334" s="8" t="s">
        <v>224</v>
      </c>
      <c r="D1334" s="8" t="s">
        <v>1884</v>
      </c>
      <c r="E1334" s="8" t="s">
        <v>1928</v>
      </c>
      <c r="F1334" s="8">
        <v>4.0</v>
      </c>
      <c r="G1334" s="8">
        <v>862.67</v>
      </c>
      <c r="H1334" s="8">
        <v>0.2</v>
      </c>
      <c r="I1334" s="8">
        <f t="shared" si="1"/>
        <v>3450.68</v>
      </c>
      <c r="J1334" s="8">
        <f t="shared" si="2"/>
        <v>-689.936</v>
      </c>
      <c r="K1334" s="8" t="str">
        <f t="shared" si="3"/>
        <v>Feb</v>
      </c>
      <c r="L1334" s="8">
        <f t="shared" si="4"/>
        <v>2028</v>
      </c>
      <c r="N1334" s="8" t="str">
        <f t="array" ref="N1334">XLOOKUP(C1334,Customer_Dim!A:A,Customer_Dim!B:B,"Not Found")</f>
        <v>Jay Patel</v>
      </c>
      <c r="O1334" s="8" t="str">
        <f t="array" ref="O1334">XLOOKUP(C1334,Customer_Dim!A:A,Customer_Dim!E:E,"Not Found")</f>
        <v>Morrisbury</v>
      </c>
      <c r="P1334" s="8" t="str">
        <f t="array" ref="P1334">XLOOKUP(D1334,Product_Dim!A:A,Product_Dim!B:B,"Not Found")</f>
        <v>Portable Bluetooth Speaker</v>
      </c>
      <c r="Q1334" s="8" t="str">
        <f t="array" ref="Q1334">XLOOKUP(D1334,Product_Dim!A:A,Product_Dim!C:C,"Not Found")</f>
        <v>Electronics</v>
      </c>
      <c r="R1334" s="8" t="str">
        <f t="array" ref="R1334">XLOOKUP(E1334,Store_Dim!A:A,Store_Dim!B:B,"Not Found")</f>
        <v>South</v>
      </c>
      <c r="S1334" s="8" t="str">
        <f t="array" ref="S1334">XLOOKUP(E1334,Store_Dim!A:A,Store_Dim!D:D,"Not Found")</f>
        <v>Online</v>
      </c>
    </row>
    <row r="1335" ht="14.25" customHeight="1">
      <c r="A1335" s="8" t="s">
        <v>3288</v>
      </c>
      <c r="B1335" s="12">
        <v>46813.0</v>
      </c>
      <c r="C1335" s="8" t="s">
        <v>1390</v>
      </c>
      <c r="D1335" s="8" t="s">
        <v>1632</v>
      </c>
      <c r="E1335" s="8" t="s">
        <v>1917</v>
      </c>
      <c r="F1335" s="8">
        <v>1.0</v>
      </c>
      <c r="G1335" s="8">
        <v>55.04</v>
      </c>
      <c r="H1335" s="8">
        <v>0.01</v>
      </c>
      <c r="I1335" s="8">
        <f t="shared" si="1"/>
        <v>55.04</v>
      </c>
      <c r="J1335" s="8">
        <f t="shared" si="2"/>
        <v>-0.5404</v>
      </c>
      <c r="K1335" s="8" t="str">
        <f t="shared" si="3"/>
        <v>Mar</v>
      </c>
      <c r="L1335" s="8">
        <f t="shared" si="4"/>
        <v>2028</v>
      </c>
      <c r="N1335" s="8" t="str">
        <f t="array" ref="N1335">XLOOKUP(C1335,Customer_Dim!A:A,Customer_Dim!B:B,"Not Found")</f>
        <v>Cheryl Carr</v>
      </c>
      <c r="O1335" s="8" t="str">
        <f t="array" ref="O1335">XLOOKUP(C1335,Customer_Dim!A:A,Customer_Dim!E:E,"Not Found")</f>
        <v>Jessicaland</v>
      </c>
      <c r="P1335" s="8" t="str">
        <f t="array" ref="P1335">XLOOKUP(D1335,Product_Dim!A:A,Product_Dim!B:B,"Not Found")</f>
        <v>Soccer Training Cone Set</v>
      </c>
      <c r="Q1335" s="8" t="str">
        <f t="array" ref="Q1335">XLOOKUP(D1335,Product_Dim!A:A,Product_Dim!C:C,"Not Found")</f>
        <v>Sports</v>
      </c>
      <c r="R1335" s="8" t="str">
        <f t="array" ref="R1335">XLOOKUP(E1335,Store_Dim!A:A,Store_Dim!B:B,"Not Found")</f>
        <v>East</v>
      </c>
      <c r="S1335" s="8" t="str">
        <f t="array" ref="S1335">XLOOKUP(E1335,Store_Dim!A:A,Store_Dim!D:D,"Not Found")</f>
        <v>Online</v>
      </c>
    </row>
    <row r="1336" ht="14.25" customHeight="1">
      <c r="A1336" s="8" t="s">
        <v>3289</v>
      </c>
      <c r="B1336" s="12">
        <v>46814.0</v>
      </c>
      <c r="C1336" s="8" t="s">
        <v>198</v>
      </c>
      <c r="D1336" s="8" t="s">
        <v>1722</v>
      </c>
      <c r="E1336" s="8" t="s">
        <v>1899</v>
      </c>
      <c r="F1336" s="8">
        <v>2.0</v>
      </c>
      <c r="G1336" s="8">
        <v>905.47</v>
      </c>
      <c r="H1336" s="8">
        <v>0.2</v>
      </c>
      <c r="I1336" s="8">
        <f t="shared" si="1"/>
        <v>1810.94</v>
      </c>
      <c r="J1336" s="8">
        <f t="shared" si="2"/>
        <v>-361.988</v>
      </c>
      <c r="K1336" s="8" t="str">
        <f t="shared" si="3"/>
        <v>Mar</v>
      </c>
      <c r="L1336" s="8">
        <f t="shared" si="4"/>
        <v>2028</v>
      </c>
      <c r="N1336" s="8" t="str">
        <f t="array" ref="N1336">XLOOKUP(C1336,Customer_Dim!A:A,Customer_Dim!B:B,"Not Found")</f>
        <v>Timothy Weaver</v>
      </c>
      <c r="O1336" s="8" t="str">
        <f t="array" ref="O1336">XLOOKUP(C1336,Customer_Dim!A:A,Customer_Dim!E:E,"Not Found")</f>
        <v>New Amy</v>
      </c>
      <c r="P1336" s="8" t="str">
        <f t="array" ref="P1336">XLOOKUP(D1336,Product_Dim!A:A,Product_Dim!B:B,"Not Found")</f>
        <v>High-Grip Football</v>
      </c>
      <c r="Q1336" s="8" t="str">
        <f t="array" ref="Q1336">XLOOKUP(D1336,Product_Dim!A:A,Product_Dim!C:C,"Not Found")</f>
        <v>Sports</v>
      </c>
      <c r="R1336" s="8" t="str">
        <f t="array" ref="R1336">XLOOKUP(E1336,Store_Dim!A:A,Store_Dim!B:B,"Not Found")</f>
        <v>East</v>
      </c>
      <c r="S1336" s="8" t="str">
        <f t="array" ref="S1336">XLOOKUP(E1336,Store_Dim!A:A,Store_Dim!D:D,"Not Found")</f>
        <v>Flagship</v>
      </c>
    </row>
    <row r="1337" ht="14.25" customHeight="1">
      <c r="A1337" s="8" t="s">
        <v>3290</v>
      </c>
      <c r="B1337" s="12">
        <v>46815.0</v>
      </c>
      <c r="C1337" s="8" t="s">
        <v>1438</v>
      </c>
      <c r="D1337" s="8" t="s">
        <v>1778</v>
      </c>
      <c r="E1337" s="8" t="s">
        <v>1931</v>
      </c>
      <c r="F1337" s="8">
        <v>3.0</v>
      </c>
      <c r="G1337" s="8">
        <v>217.13</v>
      </c>
      <c r="H1337" s="8">
        <v>0.28</v>
      </c>
      <c r="I1337" s="8">
        <f t="shared" si="1"/>
        <v>651.39</v>
      </c>
      <c r="J1337" s="8">
        <f t="shared" si="2"/>
        <v>-182.1092</v>
      </c>
      <c r="K1337" s="8" t="str">
        <f t="shared" si="3"/>
        <v>Mar</v>
      </c>
      <c r="L1337" s="8">
        <f t="shared" si="4"/>
        <v>2028</v>
      </c>
      <c r="N1337" s="8" t="str">
        <f t="array" ref="N1337">XLOOKUP(C1337,Customer_Dim!A:A,Customer_Dim!B:B,"Not Found")</f>
        <v>Paul Cox</v>
      </c>
      <c r="O1337" s="8" t="str">
        <f t="array" ref="O1337">XLOOKUP(C1337,Customer_Dim!A:A,Customer_Dim!E:E,"Not Found")</f>
        <v>East Julie</v>
      </c>
      <c r="P1337" s="8" t="str">
        <f t="array" ref="P1337">XLOOKUP(D1337,Product_Dim!A:A,Product_Dim!B:B,"Not Found")</f>
        <v>Organic Sunscreen Lotion</v>
      </c>
      <c r="Q1337" s="8" t="str">
        <f t="array" ref="Q1337">XLOOKUP(D1337,Product_Dim!A:A,Product_Dim!C:C,"Not Found")</f>
        <v>Beauty</v>
      </c>
      <c r="R1337" s="8" t="str">
        <f t="array" ref="R1337">XLOOKUP(E1337,Store_Dim!A:A,Store_Dim!B:B,"Not Found")</f>
        <v>East</v>
      </c>
      <c r="S1337" s="8" t="str">
        <f t="array" ref="S1337">XLOOKUP(E1337,Store_Dim!A:A,Store_Dim!D:D,"Not Found")</f>
        <v>Flagship</v>
      </c>
    </row>
    <row r="1338" ht="14.25" customHeight="1">
      <c r="A1338" s="8" t="s">
        <v>3291</v>
      </c>
      <c r="B1338" s="12">
        <v>46816.0</v>
      </c>
      <c r="C1338" s="8" t="s">
        <v>1230</v>
      </c>
      <c r="D1338" s="8" t="s">
        <v>1815</v>
      </c>
      <c r="E1338" s="8" t="s">
        <v>1899</v>
      </c>
      <c r="F1338" s="8">
        <v>3.0</v>
      </c>
      <c r="G1338" s="8">
        <v>580.45</v>
      </c>
      <c r="H1338" s="8">
        <v>0.0</v>
      </c>
      <c r="I1338" s="8">
        <f t="shared" si="1"/>
        <v>1741.35</v>
      </c>
      <c r="J1338" s="8">
        <f t="shared" si="2"/>
        <v>0</v>
      </c>
      <c r="K1338" s="8" t="str">
        <f t="shared" si="3"/>
        <v>Mar</v>
      </c>
      <c r="L1338" s="8">
        <f t="shared" si="4"/>
        <v>2028</v>
      </c>
      <c r="N1338" s="8" t="str">
        <f t="array" ref="N1338">XLOOKUP(C1338,Customer_Dim!A:A,Customer_Dim!B:B,"Not Found")</f>
        <v>Cynthia Lopez</v>
      </c>
      <c r="O1338" s="8" t="str">
        <f t="array" ref="O1338">XLOOKUP(C1338,Customer_Dim!A:A,Customer_Dim!E:E,"Not Found")</f>
        <v>Joseland</v>
      </c>
      <c r="P1338" s="8" t="str">
        <f t="array" ref="P1338">XLOOKUP(D1338,Product_Dim!A:A,Product_Dim!B:B,"Not Found")</f>
        <v>Women's Ankle Boots</v>
      </c>
      <c r="Q1338" s="8" t="str">
        <f t="array" ref="Q1338">XLOOKUP(D1338,Product_Dim!A:A,Product_Dim!C:C,"Not Found")</f>
        <v>Clothing</v>
      </c>
      <c r="R1338" s="8" t="str">
        <f t="array" ref="R1338">XLOOKUP(E1338,Store_Dim!A:A,Store_Dim!B:B,"Not Found")</f>
        <v>East</v>
      </c>
      <c r="S1338" s="8" t="str">
        <f t="array" ref="S1338">XLOOKUP(E1338,Store_Dim!A:A,Store_Dim!D:D,"Not Found")</f>
        <v>Flagship</v>
      </c>
    </row>
    <row r="1339" ht="14.25" customHeight="1">
      <c r="A1339" s="8" t="s">
        <v>3292</v>
      </c>
      <c r="B1339" s="12">
        <v>46817.0</v>
      </c>
      <c r="C1339" s="8" t="s">
        <v>376</v>
      </c>
      <c r="D1339" s="8" t="s">
        <v>1579</v>
      </c>
      <c r="E1339" s="8" t="s">
        <v>1937</v>
      </c>
      <c r="F1339" s="8">
        <v>2.0</v>
      </c>
      <c r="G1339" s="8">
        <v>892.88</v>
      </c>
      <c r="H1339" s="8">
        <v>0.17</v>
      </c>
      <c r="I1339" s="8">
        <f t="shared" si="1"/>
        <v>1785.76</v>
      </c>
      <c r="J1339" s="8">
        <f t="shared" si="2"/>
        <v>-303.4092</v>
      </c>
      <c r="K1339" s="8" t="str">
        <f t="shared" si="3"/>
        <v>Mar</v>
      </c>
      <c r="L1339" s="8">
        <f t="shared" si="4"/>
        <v>2028</v>
      </c>
      <c r="N1339" s="8" t="str">
        <f t="array" ref="N1339">XLOOKUP(C1339,Customer_Dim!A:A,Customer_Dim!B:B,"Not Found")</f>
        <v>Steven Stein</v>
      </c>
      <c r="O1339" s="8" t="str">
        <f t="array" ref="O1339">XLOOKUP(C1339,Customer_Dim!A:A,Customer_Dim!E:E,"Not Found")</f>
        <v>West Lauren</v>
      </c>
      <c r="P1339" s="8" t="str">
        <f t="array" ref="P1339">XLOOKUP(D1339,Product_Dim!A:A,Product_Dim!B:B,"Not Found")</f>
        <v>Women's Yoga Pants</v>
      </c>
      <c r="Q1339" s="8" t="str">
        <f t="array" ref="Q1339">XLOOKUP(D1339,Product_Dim!A:A,Product_Dim!C:C,"Not Found")</f>
        <v>Clothing</v>
      </c>
      <c r="R1339" s="8" t="str">
        <f t="array" ref="R1339">XLOOKUP(E1339,Store_Dim!A:A,Store_Dim!B:B,"Not Found")</f>
        <v>North</v>
      </c>
      <c r="S1339" s="8" t="str">
        <f t="array" ref="S1339">XLOOKUP(E1339,Store_Dim!A:A,Store_Dim!D:D,"Not Found")</f>
        <v>Flagship</v>
      </c>
    </row>
    <row r="1340" ht="14.25" customHeight="1">
      <c r="A1340" s="8" t="s">
        <v>3293</v>
      </c>
      <c r="B1340" s="12">
        <v>46818.0</v>
      </c>
      <c r="C1340" s="8" t="s">
        <v>339</v>
      </c>
      <c r="D1340" s="8" t="s">
        <v>1707</v>
      </c>
      <c r="E1340" s="8" t="s">
        <v>1939</v>
      </c>
      <c r="F1340" s="8">
        <v>2.0</v>
      </c>
      <c r="G1340" s="8">
        <v>356.28</v>
      </c>
      <c r="H1340" s="8">
        <v>0.11</v>
      </c>
      <c r="I1340" s="8">
        <f t="shared" si="1"/>
        <v>712.56</v>
      </c>
      <c r="J1340" s="8">
        <f t="shared" si="2"/>
        <v>-78.2716</v>
      </c>
      <c r="K1340" s="8" t="str">
        <f t="shared" si="3"/>
        <v>Mar</v>
      </c>
      <c r="L1340" s="8">
        <f t="shared" si="4"/>
        <v>2028</v>
      </c>
      <c r="N1340" s="8" t="str">
        <f t="array" ref="N1340">XLOOKUP(C1340,Customer_Dim!A:A,Customer_Dim!B:B,"Not Found")</f>
        <v>Donna Gregory</v>
      </c>
      <c r="O1340" s="8" t="str">
        <f t="array" ref="O1340">XLOOKUP(C1340,Customer_Dim!A:A,Customer_Dim!E:E,"Not Found")</f>
        <v>South Amandahaven</v>
      </c>
      <c r="P1340" s="8" t="str">
        <f t="array" ref="P1340">XLOOKUP(D1340,Product_Dim!A:A,Product_Dim!B:B,"Not Found")</f>
        <v>Noise-Canceling Headphones</v>
      </c>
      <c r="Q1340" s="8" t="str">
        <f t="array" ref="Q1340">XLOOKUP(D1340,Product_Dim!A:A,Product_Dim!C:C,"Not Found")</f>
        <v>Electronics</v>
      </c>
      <c r="R1340" s="8" t="str">
        <f t="array" ref="R1340">XLOOKUP(E1340,Store_Dim!A:A,Store_Dim!B:B,"Not Found")</f>
        <v>East</v>
      </c>
      <c r="S1340" s="8" t="str">
        <f t="array" ref="S1340">XLOOKUP(E1340,Store_Dim!A:A,Store_Dim!D:D,"Not Found")</f>
        <v>Flagship</v>
      </c>
    </row>
    <row r="1341" ht="14.25" customHeight="1">
      <c r="A1341" s="8" t="s">
        <v>3294</v>
      </c>
      <c r="B1341" s="12">
        <v>46819.0</v>
      </c>
      <c r="C1341" s="8" t="s">
        <v>1215</v>
      </c>
      <c r="D1341" s="8" t="s">
        <v>1830</v>
      </c>
      <c r="E1341" s="8" t="s">
        <v>1906</v>
      </c>
      <c r="F1341" s="8">
        <v>4.0</v>
      </c>
      <c r="G1341" s="8">
        <v>806.99</v>
      </c>
      <c r="H1341" s="8">
        <v>0.06</v>
      </c>
      <c r="I1341" s="8">
        <f t="shared" si="1"/>
        <v>3227.96</v>
      </c>
      <c r="J1341" s="8">
        <f t="shared" si="2"/>
        <v>-193.6176</v>
      </c>
      <c r="K1341" s="8" t="str">
        <f t="shared" si="3"/>
        <v>Mar</v>
      </c>
      <c r="L1341" s="8">
        <f t="shared" si="4"/>
        <v>2028</v>
      </c>
      <c r="N1341" s="8" t="str">
        <f t="array" ref="N1341">XLOOKUP(C1341,Customer_Dim!A:A,Customer_Dim!B:B,"Not Found")</f>
        <v>Andrew Mason</v>
      </c>
      <c r="O1341" s="8" t="str">
        <f t="array" ref="O1341">XLOOKUP(C1341,Customer_Dim!A:A,Customer_Dim!E:E,"Not Found")</f>
        <v>North Michael</v>
      </c>
      <c r="P1341" s="8" t="str">
        <f t="array" ref="P1341">XLOOKUP(D1341,Product_Dim!A:A,Product_Dim!B:B,"Not Found")</f>
        <v>Wall-Mounted Spice Rack</v>
      </c>
      <c r="Q1341" s="8" t="str">
        <f t="array" ref="Q1341">XLOOKUP(D1341,Product_Dim!A:A,Product_Dim!C:C,"Not Found")</f>
        <v>Home</v>
      </c>
      <c r="R1341" s="8" t="str">
        <f t="array" ref="R1341">XLOOKUP(E1341,Store_Dim!A:A,Store_Dim!B:B,"Not Found")</f>
        <v>South</v>
      </c>
      <c r="S1341" s="8" t="str">
        <f t="array" ref="S1341">XLOOKUP(E1341,Store_Dim!A:A,Store_Dim!D:D,"Not Found")</f>
        <v>Outlet</v>
      </c>
    </row>
    <row r="1342" ht="14.25" customHeight="1">
      <c r="A1342" s="8" t="s">
        <v>3295</v>
      </c>
      <c r="B1342" s="12">
        <v>46820.0</v>
      </c>
      <c r="C1342" s="8" t="s">
        <v>1376</v>
      </c>
      <c r="D1342" s="8" t="s">
        <v>1642</v>
      </c>
      <c r="E1342" s="8" t="s">
        <v>1903</v>
      </c>
      <c r="F1342" s="8">
        <v>3.0</v>
      </c>
      <c r="G1342" s="8">
        <v>684.22</v>
      </c>
      <c r="H1342" s="8">
        <v>0.09</v>
      </c>
      <c r="I1342" s="8">
        <f t="shared" si="1"/>
        <v>2052.66</v>
      </c>
      <c r="J1342" s="8">
        <f t="shared" si="2"/>
        <v>-184.6494</v>
      </c>
      <c r="K1342" s="8" t="str">
        <f t="shared" si="3"/>
        <v>Mar</v>
      </c>
      <c r="L1342" s="8">
        <f t="shared" si="4"/>
        <v>2028</v>
      </c>
      <c r="N1342" s="8" t="str">
        <f t="array" ref="N1342">XLOOKUP(C1342,Customer_Dim!A:A,Customer_Dim!B:B,"Not Found")</f>
        <v>John Compton</v>
      </c>
      <c r="O1342" s="8" t="str">
        <f t="array" ref="O1342">XLOOKUP(C1342,Customer_Dim!A:A,Customer_Dim!E:E,"Not Found")</f>
        <v>North Daniel</v>
      </c>
      <c r="P1342" s="8" t="str">
        <f t="array" ref="P1342">XLOOKUP(D1342,Product_Dim!A:A,Product_Dim!B:B,"Not Found")</f>
        <v>Outdoor Sports Water Bottle</v>
      </c>
      <c r="Q1342" s="8" t="str">
        <f t="array" ref="Q1342">XLOOKUP(D1342,Product_Dim!A:A,Product_Dim!C:C,"Not Found")</f>
        <v>Sports</v>
      </c>
      <c r="R1342" s="8" t="str">
        <f t="array" ref="R1342">XLOOKUP(E1342,Store_Dim!A:A,Store_Dim!B:B,"Not Found")</f>
        <v>North</v>
      </c>
      <c r="S1342" s="8" t="str">
        <f t="array" ref="S1342">XLOOKUP(E1342,Store_Dim!A:A,Store_Dim!D:D,"Not Found")</f>
        <v>Flagship</v>
      </c>
    </row>
    <row r="1343" ht="14.25" customHeight="1">
      <c r="A1343" s="8" t="s">
        <v>3296</v>
      </c>
      <c r="B1343" s="12">
        <v>46821.0</v>
      </c>
      <c r="C1343" s="8" t="s">
        <v>1387</v>
      </c>
      <c r="D1343" s="8" t="s">
        <v>1869</v>
      </c>
      <c r="E1343" s="8" t="s">
        <v>1919</v>
      </c>
      <c r="F1343" s="8">
        <v>4.0</v>
      </c>
      <c r="G1343" s="8">
        <v>763.34</v>
      </c>
      <c r="H1343" s="8">
        <v>0.07</v>
      </c>
      <c r="I1343" s="8">
        <f t="shared" si="1"/>
        <v>3053.36</v>
      </c>
      <c r="J1343" s="8">
        <f t="shared" si="2"/>
        <v>-213.6652</v>
      </c>
      <c r="K1343" s="8" t="str">
        <f t="shared" si="3"/>
        <v>Mar</v>
      </c>
      <c r="L1343" s="8">
        <f t="shared" si="4"/>
        <v>2028</v>
      </c>
      <c r="N1343" s="8" t="str">
        <f t="array" ref="N1343">XLOOKUP(C1343,Customer_Dim!A:A,Customer_Dim!B:B,"Not Found")</f>
        <v>Adam Castro</v>
      </c>
      <c r="O1343" s="8" t="str">
        <f t="array" ref="O1343">XLOOKUP(C1343,Customer_Dim!A:A,Customer_Dim!E:E,"Not Found")</f>
        <v>New Donnabury</v>
      </c>
      <c r="P1343" s="8" t="str">
        <f t="array" ref="P1343">XLOOKUP(D1343,Product_Dim!A:A,Product_Dim!B:B,"Not Found")</f>
        <v>USB-C Laptop Charger</v>
      </c>
      <c r="Q1343" s="8" t="str">
        <f t="array" ref="Q1343">XLOOKUP(D1343,Product_Dim!A:A,Product_Dim!C:C,"Not Found")</f>
        <v>Electronics</v>
      </c>
      <c r="R1343" s="8" t="str">
        <f t="array" ref="R1343">XLOOKUP(E1343,Store_Dim!A:A,Store_Dim!B:B,"Not Found")</f>
        <v>South</v>
      </c>
      <c r="S1343" s="8" t="str">
        <f t="array" ref="S1343">XLOOKUP(E1343,Store_Dim!A:A,Store_Dim!D:D,"Not Found")</f>
        <v>Online</v>
      </c>
    </row>
    <row r="1344" ht="14.25" customHeight="1">
      <c r="A1344" s="8" t="s">
        <v>3297</v>
      </c>
      <c r="B1344" s="12">
        <v>46822.0</v>
      </c>
      <c r="C1344" s="8" t="s">
        <v>1146</v>
      </c>
      <c r="D1344" s="8" t="s">
        <v>1739</v>
      </c>
      <c r="E1344" s="8" t="s">
        <v>1910</v>
      </c>
      <c r="F1344" s="8">
        <v>3.0</v>
      </c>
      <c r="G1344" s="8">
        <v>721.94</v>
      </c>
      <c r="H1344" s="8">
        <v>0.26</v>
      </c>
      <c r="I1344" s="8">
        <f t="shared" si="1"/>
        <v>2165.82</v>
      </c>
      <c r="J1344" s="8">
        <f t="shared" si="2"/>
        <v>-562.8532</v>
      </c>
      <c r="K1344" s="8" t="str">
        <f t="shared" si="3"/>
        <v>Mar</v>
      </c>
      <c r="L1344" s="8">
        <f t="shared" si="4"/>
        <v>2028</v>
      </c>
      <c r="N1344" s="8" t="str">
        <f t="array" ref="N1344">XLOOKUP(C1344,Customer_Dim!A:A,Customer_Dim!B:B,"Not Found")</f>
        <v>Natalie Johnson</v>
      </c>
      <c r="O1344" s="8" t="str">
        <f t="array" ref="O1344">XLOOKUP(C1344,Customer_Dim!A:A,Customer_Dim!E:E,"Not Found")</f>
        <v>New Jessechester</v>
      </c>
      <c r="P1344" s="8" t="str">
        <f t="array" ref="P1344">XLOOKUP(D1344,Product_Dim!A:A,Product_Dim!B:B,"Not Found")</f>
        <v>Boxing Hand Wraps</v>
      </c>
      <c r="Q1344" s="8" t="str">
        <f t="array" ref="Q1344">XLOOKUP(D1344,Product_Dim!A:A,Product_Dim!C:C,"Not Found")</f>
        <v>Sports</v>
      </c>
      <c r="R1344" s="8" t="str">
        <f t="array" ref="R1344">XLOOKUP(E1344,Store_Dim!A:A,Store_Dim!B:B,"Not Found")</f>
        <v>North</v>
      </c>
      <c r="S1344" s="8" t="str">
        <f t="array" ref="S1344">XLOOKUP(E1344,Store_Dim!A:A,Store_Dim!D:D,"Not Found")</f>
        <v>Outlet</v>
      </c>
    </row>
    <row r="1345" ht="14.25" customHeight="1">
      <c r="A1345" s="8" t="s">
        <v>3298</v>
      </c>
      <c r="B1345" s="12">
        <v>46823.0</v>
      </c>
      <c r="C1345" s="8" t="s">
        <v>1279</v>
      </c>
      <c r="D1345" s="8" t="s">
        <v>1881</v>
      </c>
      <c r="E1345" s="8" t="s">
        <v>1903</v>
      </c>
      <c r="F1345" s="8">
        <v>3.0</v>
      </c>
      <c r="G1345" s="8">
        <v>760.38</v>
      </c>
      <c r="H1345" s="8">
        <v>0.0</v>
      </c>
      <c r="I1345" s="8">
        <f t="shared" si="1"/>
        <v>2281.14</v>
      </c>
      <c r="J1345" s="8">
        <f t="shared" si="2"/>
        <v>0</v>
      </c>
      <c r="K1345" s="8" t="str">
        <f t="shared" si="3"/>
        <v>Mar</v>
      </c>
      <c r="L1345" s="8">
        <f t="shared" si="4"/>
        <v>2028</v>
      </c>
      <c r="N1345" s="8" t="str">
        <f t="array" ref="N1345">XLOOKUP(C1345,Customer_Dim!A:A,Customer_Dim!B:B,"Not Found")</f>
        <v>David Lozano</v>
      </c>
      <c r="O1345" s="8" t="str">
        <f t="array" ref="O1345">XLOOKUP(C1345,Customer_Dim!A:A,Customer_Dim!E:E,"Not Found")</f>
        <v>North Michaelfurt</v>
      </c>
      <c r="P1345" s="8" t="str">
        <f t="array" ref="P1345">XLOOKUP(D1345,Product_Dim!A:A,Product_Dim!B:B,"Not Found")</f>
        <v>Cricket Bat</v>
      </c>
      <c r="Q1345" s="8" t="str">
        <f t="array" ref="Q1345">XLOOKUP(D1345,Product_Dim!A:A,Product_Dim!C:C,"Not Found")</f>
        <v>Sports</v>
      </c>
      <c r="R1345" s="8" t="str">
        <f t="array" ref="R1345">XLOOKUP(E1345,Store_Dim!A:A,Store_Dim!B:B,"Not Found")</f>
        <v>North</v>
      </c>
      <c r="S1345" s="8" t="str">
        <f t="array" ref="S1345">XLOOKUP(E1345,Store_Dim!A:A,Store_Dim!D:D,"Not Found")</f>
        <v>Flagship</v>
      </c>
    </row>
    <row r="1346" ht="14.25" customHeight="1">
      <c r="A1346" s="8" t="s">
        <v>3299</v>
      </c>
      <c r="B1346" s="12">
        <v>46824.0</v>
      </c>
      <c r="C1346" s="8" t="s">
        <v>957</v>
      </c>
      <c r="D1346" s="8" t="s">
        <v>1881</v>
      </c>
      <c r="E1346" s="8" t="s">
        <v>1917</v>
      </c>
      <c r="F1346" s="8">
        <v>3.0</v>
      </c>
      <c r="G1346" s="8">
        <v>612.53</v>
      </c>
      <c r="H1346" s="8">
        <v>0.21</v>
      </c>
      <c r="I1346" s="8">
        <f t="shared" si="1"/>
        <v>1837.59</v>
      </c>
      <c r="J1346" s="8">
        <f t="shared" si="2"/>
        <v>-385.6839</v>
      </c>
      <c r="K1346" s="8" t="str">
        <f t="shared" si="3"/>
        <v>Mar</v>
      </c>
      <c r="L1346" s="8">
        <f t="shared" si="4"/>
        <v>2028</v>
      </c>
      <c r="N1346" s="8" t="str">
        <f t="array" ref="N1346">XLOOKUP(C1346,Customer_Dim!A:A,Customer_Dim!B:B,"Not Found")</f>
        <v>Tracy Stephens</v>
      </c>
      <c r="O1346" s="8" t="str">
        <f t="array" ref="O1346">XLOOKUP(C1346,Customer_Dim!A:A,Customer_Dim!E:E,"Not Found")</f>
        <v>New Joshuatown</v>
      </c>
      <c r="P1346" s="8" t="str">
        <f t="array" ref="P1346">XLOOKUP(D1346,Product_Dim!A:A,Product_Dim!B:B,"Not Found")</f>
        <v>Cricket Bat</v>
      </c>
      <c r="Q1346" s="8" t="str">
        <f t="array" ref="Q1346">XLOOKUP(D1346,Product_Dim!A:A,Product_Dim!C:C,"Not Found")</f>
        <v>Sports</v>
      </c>
      <c r="R1346" s="8" t="str">
        <f t="array" ref="R1346">XLOOKUP(E1346,Store_Dim!A:A,Store_Dim!B:B,"Not Found")</f>
        <v>East</v>
      </c>
      <c r="S1346" s="8" t="str">
        <f t="array" ref="S1346">XLOOKUP(E1346,Store_Dim!A:A,Store_Dim!D:D,"Not Found")</f>
        <v>Online</v>
      </c>
    </row>
    <row r="1347" ht="14.25" customHeight="1">
      <c r="A1347" s="8" t="s">
        <v>3300</v>
      </c>
      <c r="B1347" s="12">
        <v>46825.0</v>
      </c>
      <c r="C1347" s="8" t="s">
        <v>170</v>
      </c>
      <c r="D1347" s="8" t="s">
        <v>1778</v>
      </c>
      <c r="E1347" s="8" t="s">
        <v>1935</v>
      </c>
      <c r="F1347" s="8">
        <v>3.0</v>
      </c>
      <c r="G1347" s="8">
        <v>841.37</v>
      </c>
      <c r="H1347" s="8">
        <v>0.29</v>
      </c>
      <c r="I1347" s="8">
        <f t="shared" si="1"/>
        <v>2524.11</v>
      </c>
      <c r="J1347" s="8">
        <f t="shared" si="2"/>
        <v>-731.7019</v>
      </c>
      <c r="K1347" s="8" t="str">
        <f t="shared" si="3"/>
        <v>Mar</v>
      </c>
      <c r="L1347" s="8">
        <f t="shared" si="4"/>
        <v>2028</v>
      </c>
      <c r="N1347" s="8" t="str">
        <f t="array" ref="N1347">XLOOKUP(C1347,Customer_Dim!A:A,Customer_Dim!B:B,"Not Found")</f>
        <v>James Gibbs</v>
      </c>
      <c r="O1347" s="8" t="str">
        <f t="array" ref="O1347">XLOOKUP(C1347,Customer_Dim!A:A,Customer_Dim!E:E,"Not Found")</f>
        <v>Mooneyshire</v>
      </c>
      <c r="P1347" s="8" t="str">
        <f t="array" ref="P1347">XLOOKUP(D1347,Product_Dim!A:A,Product_Dim!B:B,"Not Found")</f>
        <v>Organic Sunscreen Lotion</v>
      </c>
      <c r="Q1347" s="8" t="str">
        <f t="array" ref="Q1347">XLOOKUP(D1347,Product_Dim!A:A,Product_Dim!C:C,"Not Found")</f>
        <v>Beauty</v>
      </c>
      <c r="R1347" s="8" t="str">
        <f t="array" ref="R1347">XLOOKUP(E1347,Store_Dim!A:A,Store_Dim!B:B,"Not Found")</f>
        <v>West</v>
      </c>
      <c r="S1347" s="8" t="str">
        <f t="array" ref="S1347">XLOOKUP(E1347,Store_Dim!A:A,Store_Dim!D:D,"Not Found")</f>
        <v>Flagship</v>
      </c>
    </row>
    <row r="1348" ht="14.25" customHeight="1">
      <c r="A1348" s="8" t="s">
        <v>3301</v>
      </c>
      <c r="B1348" s="12">
        <v>46826.0</v>
      </c>
      <c r="C1348" s="8" t="s">
        <v>848</v>
      </c>
      <c r="D1348" s="8" t="s">
        <v>1732</v>
      </c>
      <c r="E1348" s="8" t="s">
        <v>1924</v>
      </c>
      <c r="F1348" s="8">
        <v>2.0</v>
      </c>
      <c r="G1348" s="8">
        <v>636.51</v>
      </c>
      <c r="H1348" s="8">
        <v>0.25</v>
      </c>
      <c r="I1348" s="8">
        <f t="shared" si="1"/>
        <v>1273.02</v>
      </c>
      <c r="J1348" s="8">
        <f t="shared" si="2"/>
        <v>-318.005</v>
      </c>
      <c r="K1348" s="8" t="str">
        <f t="shared" si="3"/>
        <v>Mar</v>
      </c>
      <c r="L1348" s="8">
        <f t="shared" si="4"/>
        <v>2028</v>
      </c>
      <c r="N1348" s="8" t="str">
        <f t="array" ref="N1348">XLOOKUP(C1348,Customer_Dim!A:A,Customer_Dim!B:B,"Not Found")</f>
        <v>Carol Bishop</v>
      </c>
      <c r="O1348" s="8" t="str">
        <f t="array" ref="O1348">XLOOKUP(C1348,Customer_Dim!A:A,Customer_Dim!E:E,"Not Found")</f>
        <v>Lake Saramouth</v>
      </c>
      <c r="P1348" s="8" t="str">
        <f t="array" ref="P1348">XLOOKUP(D1348,Product_Dim!A:A,Product_Dim!B:B,"Not Found")</f>
        <v>Car Dashboard Phone Holder</v>
      </c>
      <c r="Q1348" s="8" t="str">
        <f t="array" ref="Q1348">XLOOKUP(D1348,Product_Dim!A:A,Product_Dim!C:C,"Not Found")</f>
        <v>Electronics</v>
      </c>
      <c r="R1348" s="8" t="str">
        <f t="array" ref="R1348">XLOOKUP(E1348,Store_Dim!A:A,Store_Dim!B:B,"Not Found")</f>
        <v>South</v>
      </c>
      <c r="S1348" s="8" t="str">
        <f t="array" ref="S1348">XLOOKUP(E1348,Store_Dim!A:A,Store_Dim!D:D,"Not Found")</f>
        <v>Flagship</v>
      </c>
    </row>
    <row r="1349" ht="14.25" customHeight="1">
      <c r="A1349" s="8" t="s">
        <v>3302</v>
      </c>
      <c r="B1349" s="12">
        <v>46827.0</v>
      </c>
      <c r="C1349" s="8" t="s">
        <v>339</v>
      </c>
      <c r="D1349" s="8" t="s">
        <v>1722</v>
      </c>
      <c r="E1349" s="8" t="s">
        <v>1921</v>
      </c>
      <c r="F1349" s="8">
        <v>2.0</v>
      </c>
      <c r="G1349" s="8">
        <v>732.37</v>
      </c>
      <c r="H1349" s="8">
        <v>0.22</v>
      </c>
      <c r="I1349" s="8">
        <f t="shared" si="1"/>
        <v>1464.74</v>
      </c>
      <c r="J1349" s="8">
        <f t="shared" si="2"/>
        <v>-322.0228</v>
      </c>
      <c r="K1349" s="8" t="str">
        <f t="shared" si="3"/>
        <v>Mar</v>
      </c>
      <c r="L1349" s="8">
        <f t="shared" si="4"/>
        <v>2028</v>
      </c>
      <c r="N1349" s="8" t="str">
        <f t="array" ref="N1349">XLOOKUP(C1349,Customer_Dim!A:A,Customer_Dim!B:B,"Not Found")</f>
        <v>Donna Gregory</v>
      </c>
      <c r="O1349" s="8" t="str">
        <f t="array" ref="O1349">XLOOKUP(C1349,Customer_Dim!A:A,Customer_Dim!E:E,"Not Found")</f>
        <v>South Amandahaven</v>
      </c>
      <c r="P1349" s="8" t="str">
        <f t="array" ref="P1349">XLOOKUP(D1349,Product_Dim!A:A,Product_Dim!B:B,"Not Found")</f>
        <v>High-Grip Football</v>
      </c>
      <c r="Q1349" s="8" t="str">
        <f t="array" ref="Q1349">XLOOKUP(D1349,Product_Dim!A:A,Product_Dim!C:C,"Not Found")</f>
        <v>Sports</v>
      </c>
      <c r="R1349" s="8" t="str">
        <f t="array" ref="R1349">XLOOKUP(E1349,Store_Dim!A:A,Store_Dim!B:B,"Not Found")</f>
        <v>West</v>
      </c>
      <c r="S1349" s="8" t="str">
        <f t="array" ref="S1349">XLOOKUP(E1349,Store_Dim!A:A,Store_Dim!D:D,"Not Found")</f>
        <v>Online</v>
      </c>
    </row>
    <row r="1350" ht="14.25" customHeight="1">
      <c r="A1350" s="8" t="s">
        <v>3303</v>
      </c>
      <c r="B1350" s="12">
        <v>46828.0</v>
      </c>
      <c r="C1350" s="8" t="s">
        <v>559</v>
      </c>
      <c r="D1350" s="8" t="s">
        <v>1751</v>
      </c>
      <c r="E1350" s="8" t="s">
        <v>1935</v>
      </c>
      <c r="F1350" s="8">
        <v>3.0</v>
      </c>
      <c r="G1350" s="8">
        <v>183.44</v>
      </c>
      <c r="H1350" s="8">
        <v>0.28</v>
      </c>
      <c r="I1350" s="8">
        <f t="shared" si="1"/>
        <v>550.32</v>
      </c>
      <c r="J1350" s="8">
        <f t="shared" si="2"/>
        <v>-153.8096</v>
      </c>
      <c r="K1350" s="8" t="str">
        <f t="shared" si="3"/>
        <v>Mar</v>
      </c>
      <c r="L1350" s="8">
        <f t="shared" si="4"/>
        <v>2028</v>
      </c>
      <c r="N1350" s="8" t="str">
        <f t="array" ref="N1350">XLOOKUP(C1350,Customer_Dim!A:A,Customer_Dim!B:B,"Not Found")</f>
        <v>Daniel Rivas</v>
      </c>
      <c r="O1350" s="8" t="str">
        <f t="array" ref="O1350">XLOOKUP(C1350,Customer_Dim!A:A,Customer_Dim!E:E,"Not Found")</f>
        <v>Dominiquefort</v>
      </c>
      <c r="P1350" s="8" t="str">
        <f t="array" ref="P1350">XLOOKUP(D1350,Product_Dim!A:A,Product_Dim!B:B,"Not Found")</f>
        <v>Sports Stopwatch Pro</v>
      </c>
      <c r="Q1350" s="8" t="str">
        <f t="array" ref="Q1350">XLOOKUP(D1350,Product_Dim!A:A,Product_Dim!C:C,"Not Found")</f>
        <v>Sports</v>
      </c>
      <c r="R1350" s="8" t="str">
        <f t="array" ref="R1350">XLOOKUP(E1350,Store_Dim!A:A,Store_Dim!B:B,"Not Found")</f>
        <v>West</v>
      </c>
      <c r="S1350" s="8" t="str">
        <f t="array" ref="S1350">XLOOKUP(E1350,Store_Dim!A:A,Store_Dim!D:D,"Not Found")</f>
        <v>Flagship</v>
      </c>
    </row>
    <row r="1351" ht="14.25" customHeight="1">
      <c r="A1351" s="8" t="s">
        <v>3304</v>
      </c>
      <c r="B1351" s="12">
        <v>46829.0</v>
      </c>
      <c r="C1351" s="8" t="s">
        <v>251</v>
      </c>
      <c r="D1351" s="8" t="s">
        <v>1610</v>
      </c>
      <c r="E1351" s="8" t="s">
        <v>1931</v>
      </c>
      <c r="F1351" s="8">
        <v>4.0</v>
      </c>
      <c r="G1351" s="8">
        <v>898.58</v>
      </c>
      <c r="H1351" s="8">
        <v>0.16</v>
      </c>
      <c r="I1351" s="8">
        <f t="shared" si="1"/>
        <v>3594.32</v>
      </c>
      <c r="J1351" s="8">
        <f t="shared" si="2"/>
        <v>-574.9312</v>
      </c>
      <c r="K1351" s="8" t="str">
        <f t="shared" si="3"/>
        <v>Mar</v>
      </c>
      <c r="L1351" s="8">
        <f t="shared" si="4"/>
        <v>2028</v>
      </c>
      <c r="N1351" s="8" t="str">
        <f t="array" ref="N1351">XLOOKUP(C1351,Customer_Dim!A:A,Customer_Dim!B:B,"Not Found")</f>
        <v>Michael Thomas</v>
      </c>
      <c r="O1351" s="8" t="str">
        <f t="array" ref="O1351">XLOOKUP(C1351,Customer_Dim!A:A,Customer_Dim!E:E,"Not Found")</f>
        <v>Woodmouth</v>
      </c>
      <c r="P1351" s="8" t="str">
        <f t="array" ref="P1351">XLOOKUP(D1351,Product_Dim!A:A,Product_Dim!B:B,"Not Found")</f>
        <v>HD Smart TV Stick</v>
      </c>
      <c r="Q1351" s="8" t="str">
        <f t="array" ref="Q1351">XLOOKUP(D1351,Product_Dim!A:A,Product_Dim!C:C,"Not Found")</f>
        <v>Electronics</v>
      </c>
      <c r="R1351" s="8" t="str">
        <f t="array" ref="R1351">XLOOKUP(E1351,Store_Dim!A:A,Store_Dim!B:B,"Not Found")</f>
        <v>East</v>
      </c>
      <c r="S1351" s="8" t="str">
        <f t="array" ref="S1351">XLOOKUP(E1351,Store_Dim!A:A,Store_Dim!D:D,"Not Found")</f>
        <v>Flagship</v>
      </c>
    </row>
    <row r="1352" ht="14.25" customHeight="1">
      <c r="A1352" s="8" t="s">
        <v>3305</v>
      </c>
      <c r="B1352" s="12">
        <v>46830.0</v>
      </c>
      <c r="C1352" s="8" t="s">
        <v>1233</v>
      </c>
      <c r="D1352" s="8" t="s">
        <v>1652</v>
      </c>
      <c r="E1352" s="8" t="s">
        <v>1906</v>
      </c>
      <c r="F1352" s="8">
        <v>3.0</v>
      </c>
      <c r="G1352" s="8">
        <v>152.41</v>
      </c>
      <c r="H1352" s="8">
        <v>0.25</v>
      </c>
      <c r="I1352" s="8">
        <f t="shared" si="1"/>
        <v>457.23</v>
      </c>
      <c r="J1352" s="8">
        <f t="shared" si="2"/>
        <v>-114.0575</v>
      </c>
      <c r="K1352" s="8" t="str">
        <f t="shared" si="3"/>
        <v>Mar</v>
      </c>
      <c r="L1352" s="8">
        <f t="shared" si="4"/>
        <v>2028</v>
      </c>
      <c r="N1352" s="8" t="str">
        <f t="array" ref="N1352">XLOOKUP(C1352,Customer_Dim!A:A,Customer_Dim!B:B,"Not Found")</f>
        <v>Daniel Bell</v>
      </c>
      <c r="O1352" s="8" t="str">
        <f t="array" ref="O1352">XLOOKUP(C1352,Customer_Dim!A:A,Customer_Dim!E:E,"Not Found")</f>
        <v>Deniseberg</v>
      </c>
      <c r="P1352" s="8" t="str">
        <f t="array" ref="P1352">XLOOKUP(D1352,Product_Dim!A:A,Product_Dim!B:B,"Not Found")</f>
        <v>Men's Formal Shirt</v>
      </c>
      <c r="Q1352" s="8" t="str">
        <f t="array" ref="Q1352">XLOOKUP(D1352,Product_Dim!A:A,Product_Dim!C:C,"Not Found")</f>
        <v>Clothing</v>
      </c>
      <c r="R1352" s="8" t="str">
        <f t="array" ref="R1352">XLOOKUP(E1352,Store_Dim!A:A,Store_Dim!B:B,"Not Found")</f>
        <v>South</v>
      </c>
      <c r="S1352" s="8" t="str">
        <f t="array" ref="S1352">XLOOKUP(E1352,Store_Dim!A:A,Store_Dim!D:D,"Not Found")</f>
        <v>Outlet</v>
      </c>
    </row>
    <row r="1353" ht="14.25" customHeight="1">
      <c r="A1353" s="8" t="s">
        <v>3306</v>
      </c>
      <c r="B1353" s="12">
        <v>46831.0</v>
      </c>
      <c r="C1353" s="8" t="s">
        <v>736</v>
      </c>
      <c r="D1353" s="8" t="s">
        <v>1866</v>
      </c>
      <c r="E1353" s="8" t="s">
        <v>1932</v>
      </c>
      <c r="F1353" s="8">
        <v>3.0</v>
      </c>
      <c r="G1353" s="8">
        <v>972.58</v>
      </c>
      <c r="H1353" s="8">
        <v>0.28</v>
      </c>
      <c r="I1353" s="8">
        <f t="shared" si="1"/>
        <v>2917.74</v>
      </c>
      <c r="J1353" s="8">
        <f t="shared" si="2"/>
        <v>-816.6872</v>
      </c>
      <c r="K1353" s="8" t="str">
        <f t="shared" si="3"/>
        <v>Mar</v>
      </c>
      <c r="L1353" s="8">
        <f t="shared" si="4"/>
        <v>2028</v>
      </c>
      <c r="N1353" s="8" t="str">
        <f t="array" ref="N1353">XLOOKUP(C1353,Customer_Dim!A:A,Customer_Dim!B:B,"Not Found")</f>
        <v>Robert Harris</v>
      </c>
      <c r="O1353" s="8" t="str">
        <f t="array" ref="O1353">XLOOKUP(C1353,Customer_Dim!A:A,Customer_Dim!E:E,"Not Found")</f>
        <v>East jeremy</v>
      </c>
      <c r="P1353" s="8" t="str">
        <f t="array" ref="P1353">XLOOKUP(D1353,Product_Dim!A:A,Product_Dim!B:B,"Not Found")</f>
        <v>Microwave Oven</v>
      </c>
      <c r="Q1353" s="8" t="str">
        <f t="array" ref="Q1353">XLOOKUP(D1353,Product_Dim!A:A,Product_Dim!C:C,"Not Found")</f>
        <v>Home</v>
      </c>
      <c r="R1353" s="8" t="str">
        <f t="array" ref="R1353">XLOOKUP(E1353,Store_Dim!A:A,Store_Dim!B:B,"Not Found")</f>
        <v>South</v>
      </c>
      <c r="S1353" s="8" t="str">
        <f t="array" ref="S1353">XLOOKUP(E1353,Store_Dim!A:A,Store_Dim!D:D,"Not Found")</f>
        <v>Outlet</v>
      </c>
    </row>
    <row r="1354" ht="14.25" customHeight="1">
      <c r="A1354" s="8" t="s">
        <v>3307</v>
      </c>
      <c r="B1354" s="12">
        <v>46832.0</v>
      </c>
      <c r="C1354" s="8" t="s">
        <v>1453</v>
      </c>
      <c r="D1354" s="8" t="s">
        <v>1797</v>
      </c>
      <c r="E1354" s="8" t="s">
        <v>1928</v>
      </c>
      <c r="F1354" s="8">
        <v>4.0</v>
      </c>
      <c r="G1354" s="8">
        <v>136.4</v>
      </c>
      <c r="H1354" s="8">
        <v>0.04</v>
      </c>
      <c r="I1354" s="8">
        <f t="shared" si="1"/>
        <v>545.6</v>
      </c>
      <c r="J1354" s="8">
        <f t="shared" si="2"/>
        <v>-21.784</v>
      </c>
      <c r="K1354" s="8" t="str">
        <f t="shared" si="3"/>
        <v>Mar</v>
      </c>
      <c r="L1354" s="8">
        <f t="shared" si="4"/>
        <v>2028</v>
      </c>
      <c r="N1354" s="8" t="str">
        <f t="array" ref="N1354">XLOOKUP(C1354,Customer_Dim!A:A,Customer_Dim!B:B,"Not Found")</f>
        <v>Cynthia Parrish</v>
      </c>
      <c r="O1354" s="8" t="str">
        <f t="array" ref="O1354">XLOOKUP(C1354,Customer_Dim!A:A,Customer_Dim!E:E,"Not Found")</f>
        <v>Espinozaberg</v>
      </c>
      <c r="P1354" s="8" t="str">
        <f t="array" ref="P1354">XLOOKUP(D1354,Product_Dim!A:A,Product_Dim!B:B,"Not Found")</f>
        <v>Men's Sports Shorts</v>
      </c>
      <c r="Q1354" s="8" t="str">
        <f t="array" ref="Q1354">XLOOKUP(D1354,Product_Dim!A:A,Product_Dim!C:C,"Not Found")</f>
        <v>Clothing</v>
      </c>
      <c r="R1354" s="8" t="str">
        <f t="array" ref="R1354">XLOOKUP(E1354,Store_Dim!A:A,Store_Dim!B:B,"Not Found")</f>
        <v>South</v>
      </c>
      <c r="S1354" s="8" t="str">
        <f t="array" ref="S1354">XLOOKUP(E1354,Store_Dim!A:A,Store_Dim!D:D,"Not Found")</f>
        <v>Online</v>
      </c>
    </row>
    <row r="1355" ht="14.25" customHeight="1">
      <c r="A1355" s="8" t="s">
        <v>3308</v>
      </c>
      <c r="B1355" s="12">
        <v>46833.0</v>
      </c>
      <c r="C1355" s="8" t="s">
        <v>1262</v>
      </c>
      <c r="D1355" s="8" t="s">
        <v>1872</v>
      </c>
      <c r="E1355" s="8" t="s">
        <v>1933</v>
      </c>
      <c r="F1355" s="8">
        <v>1.0</v>
      </c>
      <c r="G1355" s="8">
        <v>509.63</v>
      </c>
      <c r="H1355" s="8">
        <v>0.27</v>
      </c>
      <c r="I1355" s="8">
        <f t="shared" si="1"/>
        <v>509.63</v>
      </c>
      <c r="J1355" s="8">
        <f t="shared" si="2"/>
        <v>-137.3301</v>
      </c>
      <c r="K1355" s="8" t="str">
        <f t="shared" si="3"/>
        <v>Mar</v>
      </c>
      <c r="L1355" s="8">
        <f t="shared" si="4"/>
        <v>2028</v>
      </c>
      <c r="N1355" s="8" t="str">
        <f t="array" ref="N1355">XLOOKUP(C1355,Customer_Dim!A:A,Customer_Dim!B:B,"Not Found")</f>
        <v>Mark Rogers</v>
      </c>
      <c r="O1355" s="8" t="str">
        <f t="array" ref="O1355">XLOOKUP(C1355,Customer_Dim!A:A,Customer_Dim!E:E,"Not Found")</f>
        <v>Bookertown</v>
      </c>
      <c r="P1355" s="8" t="str">
        <f t="array" ref="P1355">XLOOKUP(D1355,Product_Dim!A:A,Product_Dim!B:B,"Not Found")</f>
        <v>Vitamin E Body Lotion</v>
      </c>
      <c r="Q1355" s="8" t="str">
        <f t="array" ref="Q1355">XLOOKUP(D1355,Product_Dim!A:A,Product_Dim!C:C,"Not Found")</f>
        <v>Beauty</v>
      </c>
      <c r="R1355" s="8" t="str">
        <f t="array" ref="R1355">XLOOKUP(E1355,Store_Dim!A:A,Store_Dim!B:B,"Not Found")</f>
        <v>North</v>
      </c>
      <c r="S1355" s="8" t="str">
        <f t="array" ref="S1355">XLOOKUP(E1355,Store_Dim!A:A,Store_Dim!D:D,"Not Found")</f>
        <v>Flagship</v>
      </c>
    </row>
    <row r="1356" ht="14.25" customHeight="1">
      <c r="A1356" s="8" t="s">
        <v>3309</v>
      </c>
      <c r="B1356" s="12">
        <v>46834.0</v>
      </c>
      <c r="C1356" s="8" t="s">
        <v>30</v>
      </c>
      <c r="D1356" s="8" t="s">
        <v>1881</v>
      </c>
      <c r="E1356" s="8" t="s">
        <v>1910</v>
      </c>
      <c r="F1356" s="8">
        <v>4.0</v>
      </c>
      <c r="G1356" s="8">
        <v>360.28</v>
      </c>
      <c r="H1356" s="8">
        <v>0.09</v>
      </c>
      <c r="I1356" s="8">
        <f t="shared" si="1"/>
        <v>1441.12</v>
      </c>
      <c r="J1356" s="8">
        <f t="shared" si="2"/>
        <v>-129.6108</v>
      </c>
      <c r="K1356" s="8" t="str">
        <f t="shared" si="3"/>
        <v>Mar</v>
      </c>
      <c r="L1356" s="8">
        <f t="shared" si="4"/>
        <v>2028</v>
      </c>
      <c r="N1356" s="8" t="str">
        <f t="array" ref="N1356">XLOOKUP(C1356,Customer_Dim!A:A,Customer_Dim!B:B,"Not Found")</f>
        <v>jeremy harris</v>
      </c>
      <c r="O1356" s="8" t="str">
        <f t="array" ref="O1356">XLOOKUP(C1356,Customer_Dim!A:A,Customer_Dim!E:E,"Not Found")</f>
        <v>Thomastown</v>
      </c>
      <c r="P1356" s="8" t="str">
        <f t="array" ref="P1356">XLOOKUP(D1356,Product_Dim!A:A,Product_Dim!B:B,"Not Found")</f>
        <v>Cricket Bat</v>
      </c>
      <c r="Q1356" s="8" t="str">
        <f t="array" ref="Q1356">XLOOKUP(D1356,Product_Dim!A:A,Product_Dim!C:C,"Not Found")</f>
        <v>Sports</v>
      </c>
      <c r="R1356" s="8" t="str">
        <f t="array" ref="R1356">XLOOKUP(E1356,Store_Dim!A:A,Store_Dim!B:B,"Not Found")</f>
        <v>North</v>
      </c>
      <c r="S1356" s="8" t="str">
        <f t="array" ref="S1356">XLOOKUP(E1356,Store_Dim!A:A,Store_Dim!D:D,"Not Found")</f>
        <v>Outlet</v>
      </c>
    </row>
    <row r="1357" ht="14.25" customHeight="1">
      <c r="A1357" s="8" t="s">
        <v>3310</v>
      </c>
      <c r="B1357" s="12">
        <v>46835.0</v>
      </c>
      <c r="C1357" s="8" t="s">
        <v>302</v>
      </c>
      <c r="D1357" s="8" t="s">
        <v>1857</v>
      </c>
      <c r="E1357" s="8" t="s">
        <v>1933</v>
      </c>
      <c r="F1357" s="8">
        <v>3.0</v>
      </c>
      <c r="G1357" s="8">
        <v>882.05</v>
      </c>
      <c r="H1357" s="8">
        <v>0.06</v>
      </c>
      <c r="I1357" s="8">
        <f t="shared" si="1"/>
        <v>2646.15</v>
      </c>
      <c r="J1357" s="8">
        <f t="shared" si="2"/>
        <v>-158.709</v>
      </c>
      <c r="K1357" s="8" t="str">
        <f t="shared" si="3"/>
        <v>Mar</v>
      </c>
      <c r="L1357" s="8">
        <f t="shared" si="4"/>
        <v>2028</v>
      </c>
      <c r="N1357" s="8" t="str">
        <f t="array" ref="N1357">XLOOKUP(C1357,Customer_Dim!A:A,Customer_Dim!B:B,"Not Found")</f>
        <v>Jennifer Garcia</v>
      </c>
      <c r="O1357" s="8" t="str">
        <f t="array" ref="O1357">XLOOKUP(C1357,Customer_Dim!A:A,Customer_Dim!E:E,"Not Found")</f>
        <v>New Sean</v>
      </c>
      <c r="P1357" s="8" t="str">
        <f t="array" ref="P1357">XLOOKUP(D1357,Product_Dim!A:A,Product_Dim!B:B,"Not Found")</f>
        <v>Face Foundation Kit</v>
      </c>
      <c r="Q1357" s="8" t="str">
        <f t="array" ref="Q1357">XLOOKUP(D1357,Product_Dim!A:A,Product_Dim!C:C,"Not Found")</f>
        <v>Beauty</v>
      </c>
      <c r="R1357" s="8" t="str">
        <f t="array" ref="R1357">XLOOKUP(E1357,Store_Dim!A:A,Store_Dim!B:B,"Not Found")</f>
        <v>North</v>
      </c>
      <c r="S1357" s="8" t="str">
        <f t="array" ref="S1357">XLOOKUP(E1357,Store_Dim!A:A,Store_Dim!D:D,"Not Found")</f>
        <v>Flagship</v>
      </c>
    </row>
    <row r="1358" ht="14.25" customHeight="1">
      <c r="A1358" s="8" t="s">
        <v>3311</v>
      </c>
      <c r="B1358" s="12">
        <v>46836.0</v>
      </c>
      <c r="C1358" s="8" t="s">
        <v>652</v>
      </c>
      <c r="D1358" s="8" t="s">
        <v>1827</v>
      </c>
      <c r="E1358" s="8" t="s">
        <v>1921</v>
      </c>
      <c r="F1358" s="8">
        <v>3.0</v>
      </c>
      <c r="G1358" s="8">
        <v>141.54</v>
      </c>
      <c r="H1358" s="8">
        <v>0.12</v>
      </c>
      <c r="I1358" s="8">
        <f t="shared" si="1"/>
        <v>424.62</v>
      </c>
      <c r="J1358" s="8">
        <f t="shared" si="2"/>
        <v>-50.8344</v>
      </c>
      <c r="K1358" s="8" t="str">
        <f t="shared" si="3"/>
        <v>Mar</v>
      </c>
      <c r="L1358" s="8">
        <f t="shared" si="4"/>
        <v>2028</v>
      </c>
      <c r="N1358" s="8" t="str">
        <f t="array" ref="N1358">XLOOKUP(C1358,Customer_Dim!A:A,Customer_Dim!B:B,"Not Found")</f>
        <v>Anthony Garcia</v>
      </c>
      <c r="O1358" s="8" t="str">
        <f t="array" ref="O1358">XLOOKUP(C1358,Customer_Dim!A:A,Customer_Dim!E:E,"Not Found")</f>
        <v>Taraberg</v>
      </c>
      <c r="P1358" s="8" t="str">
        <f t="array" ref="P1358">XLOOKUP(D1358,Product_Dim!A:A,Product_Dim!B:B,"Not Found")</f>
        <v>Decorative Lamp Shade</v>
      </c>
      <c r="Q1358" s="8" t="str">
        <f t="array" ref="Q1358">XLOOKUP(D1358,Product_Dim!A:A,Product_Dim!C:C,"Not Found")</f>
        <v>Home</v>
      </c>
      <c r="R1358" s="8" t="str">
        <f t="array" ref="R1358">XLOOKUP(E1358,Store_Dim!A:A,Store_Dim!B:B,"Not Found")</f>
        <v>West</v>
      </c>
      <c r="S1358" s="8" t="str">
        <f t="array" ref="S1358">XLOOKUP(E1358,Store_Dim!A:A,Store_Dim!D:D,"Not Found")</f>
        <v>Online</v>
      </c>
    </row>
    <row r="1359" ht="14.25" customHeight="1">
      <c r="A1359" s="8" t="s">
        <v>3312</v>
      </c>
      <c r="B1359" s="12">
        <v>46837.0</v>
      </c>
      <c r="C1359" s="8" t="s">
        <v>178</v>
      </c>
      <c r="D1359" s="8" t="s">
        <v>1624</v>
      </c>
      <c r="E1359" s="8" t="s">
        <v>1912</v>
      </c>
      <c r="F1359" s="8">
        <v>3.0</v>
      </c>
      <c r="G1359" s="8">
        <v>83.5</v>
      </c>
      <c r="H1359" s="8">
        <v>0.23</v>
      </c>
      <c r="I1359" s="8">
        <f t="shared" si="1"/>
        <v>250.5</v>
      </c>
      <c r="J1359" s="8">
        <f t="shared" si="2"/>
        <v>-57.385</v>
      </c>
      <c r="K1359" s="8" t="str">
        <f t="shared" si="3"/>
        <v>Mar</v>
      </c>
      <c r="L1359" s="8">
        <f t="shared" si="4"/>
        <v>2028</v>
      </c>
      <c r="N1359" s="8" t="str">
        <f t="array" ref="N1359">XLOOKUP(C1359,Customer_Dim!A:A,Customer_Dim!B:B,"Not Found")</f>
        <v>Joseph Snow</v>
      </c>
      <c r="O1359" s="8" t="str">
        <f t="array" ref="O1359">XLOOKUP(C1359,Customer_Dim!A:A,Customer_Dim!E:E,"Not Found")</f>
        <v>South Michaelfort</v>
      </c>
      <c r="P1359" s="8" t="str">
        <f t="array" ref="P1359">XLOOKUP(D1359,Product_Dim!A:A,Product_Dim!B:B,"Not Found")</f>
        <v>4K Home Projector</v>
      </c>
      <c r="Q1359" s="8" t="str">
        <f t="array" ref="Q1359">XLOOKUP(D1359,Product_Dim!A:A,Product_Dim!C:C,"Not Found")</f>
        <v>Electronics</v>
      </c>
      <c r="R1359" s="8" t="str">
        <f t="array" ref="R1359">XLOOKUP(E1359,Store_Dim!A:A,Store_Dim!B:B,"Not Found")</f>
        <v>South</v>
      </c>
      <c r="S1359" s="8" t="str">
        <f t="array" ref="S1359">XLOOKUP(E1359,Store_Dim!A:A,Store_Dim!D:D,"Not Found")</f>
        <v>Online</v>
      </c>
    </row>
    <row r="1360" ht="14.25" customHeight="1">
      <c r="A1360" s="8" t="s">
        <v>3313</v>
      </c>
      <c r="B1360" s="12">
        <v>46838.0</v>
      </c>
      <c r="C1360" s="8" t="s">
        <v>436</v>
      </c>
      <c r="D1360" s="8" t="s">
        <v>1620</v>
      </c>
      <c r="E1360" s="8" t="s">
        <v>1917</v>
      </c>
      <c r="F1360" s="8">
        <v>2.0</v>
      </c>
      <c r="G1360" s="8">
        <v>629.73</v>
      </c>
      <c r="H1360" s="8">
        <v>0.07</v>
      </c>
      <c r="I1360" s="8">
        <f t="shared" si="1"/>
        <v>1259.46</v>
      </c>
      <c r="J1360" s="8">
        <f t="shared" si="2"/>
        <v>-88.0922</v>
      </c>
      <c r="K1360" s="8" t="str">
        <f t="shared" si="3"/>
        <v>Mar</v>
      </c>
      <c r="L1360" s="8">
        <f t="shared" si="4"/>
        <v>2028</v>
      </c>
      <c r="N1360" s="8" t="str">
        <f t="array" ref="N1360">XLOOKUP(C1360,Customer_Dim!A:A,Customer_Dim!B:B,"Not Found")</f>
        <v>Erin Hopkins</v>
      </c>
      <c r="O1360" s="8" t="str">
        <f t="array" ref="O1360">XLOOKUP(C1360,Customer_Dim!A:A,Customer_Dim!E:E,"Not Found")</f>
        <v>North Sabrina</v>
      </c>
      <c r="P1360" s="8" t="str">
        <f t="array" ref="P1360">XLOOKUP(D1360,Product_Dim!A:A,Product_Dim!B:B,"Not Found")</f>
        <v>Decorative Wall Mirror</v>
      </c>
      <c r="Q1360" s="8" t="str">
        <f t="array" ref="Q1360">XLOOKUP(D1360,Product_Dim!A:A,Product_Dim!C:C,"Not Found")</f>
        <v>Home</v>
      </c>
      <c r="R1360" s="8" t="str">
        <f t="array" ref="R1360">XLOOKUP(E1360,Store_Dim!A:A,Store_Dim!B:B,"Not Found")</f>
        <v>East</v>
      </c>
      <c r="S1360" s="8" t="str">
        <f t="array" ref="S1360">XLOOKUP(E1360,Store_Dim!A:A,Store_Dim!D:D,"Not Found")</f>
        <v>Online</v>
      </c>
    </row>
    <row r="1361" ht="14.25" customHeight="1">
      <c r="A1361" s="8" t="s">
        <v>3314</v>
      </c>
      <c r="B1361" s="12">
        <v>46839.0</v>
      </c>
      <c r="C1361" s="8" t="s">
        <v>68</v>
      </c>
      <c r="D1361" s="8" t="s">
        <v>1684</v>
      </c>
      <c r="E1361" s="8" t="s">
        <v>1917</v>
      </c>
      <c r="F1361" s="8">
        <v>2.0</v>
      </c>
      <c r="G1361" s="8">
        <v>159.93</v>
      </c>
      <c r="H1361" s="8">
        <v>0.2</v>
      </c>
      <c r="I1361" s="8">
        <f t="shared" si="1"/>
        <v>319.86</v>
      </c>
      <c r="J1361" s="8">
        <f t="shared" si="2"/>
        <v>-63.772</v>
      </c>
      <c r="K1361" s="8" t="str">
        <f t="shared" si="3"/>
        <v>Mar</v>
      </c>
      <c r="L1361" s="8">
        <f t="shared" si="4"/>
        <v>2028</v>
      </c>
      <c r="N1361" s="8" t="str">
        <f t="array" ref="N1361">XLOOKUP(C1361,Customer_Dim!A:A,Customer_Dim!B:B,"Not Found")</f>
        <v>Kenneth Lambert</v>
      </c>
      <c r="O1361" s="8" t="str">
        <f t="array" ref="O1361">XLOOKUP(C1361,Customer_Dim!A:A,Customer_Dim!E:E,"Not Found")</f>
        <v>North Kathryn</v>
      </c>
      <c r="P1361" s="8" t="str">
        <f t="array" ref="P1361">XLOOKUP(D1361,Product_Dim!A:A,Product_Dim!B:B,"Not Found")</f>
        <v>Modern Wall Clock</v>
      </c>
      <c r="Q1361" s="8" t="str">
        <f t="array" ref="Q1361">XLOOKUP(D1361,Product_Dim!A:A,Product_Dim!C:C,"Not Found")</f>
        <v>Home</v>
      </c>
      <c r="R1361" s="8" t="str">
        <f t="array" ref="R1361">XLOOKUP(E1361,Store_Dim!A:A,Store_Dim!B:B,"Not Found")</f>
        <v>East</v>
      </c>
      <c r="S1361" s="8" t="str">
        <f t="array" ref="S1361">XLOOKUP(E1361,Store_Dim!A:A,Store_Dim!D:D,"Not Found")</f>
        <v>Online</v>
      </c>
    </row>
    <row r="1362" ht="14.25" customHeight="1">
      <c r="A1362" s="8" t="s">
        <v>3315</v>
      </c>
      <c r="B1362" s="12">
        <v>46840.0</v>
      </c>
      <c r="C1362" s="8" t="s">
        <v>68</v>
      </c>
      <c r="D1362" s="8" t="s">
        <v>1722</v>
      </c>
      <c r="E1362" s="8" t="s">
        <v>1939</v>
      </c>
      <c r="F1362" s="8">
        <v>1.0</v>
      </c>
      <c r="G1362" s="8">
        <v>459.89</v>
      </c>
      <c r="H1362" s="8">
        <v>0.18</v>
      </c>
      <c r="I1362" s="8">
        <f t="shared" si="1"/>
        <v>459.89</v>
      </c>
      <c r="J1362" s="8">
        <f t="shared" si="2"/>
        <v>-82.6002</v>
      </c>
      <c r="K1362" s="8" t="str">
        <f t="shared" si="3"/>
        <v>Mar</v>
      </c>
      <c r="L1362" s="8">
        <f t="shared" si="4"/>
        <v>2028</v>
      </c>
      <c r="N1362" s="8" t="str">
        <f t="array" ref="N1362">XLOOKUP(C1362,Customer_Dim!A:A,Customer_Dim!B:B,"Not Found")</f>
        <v>Kenneth Lambert</v>
      </c>
      <c r="O1362" s="8" t="str">
        <f t="array" ref="O1362">XLOOKUP(C1362,Customer_Dim!A:A,Customer_Dim!E:E,"Not Found")</f>
        <v>North Kathryn</v>
      </c>
      <c r="P1362" s="8" t="str">
        <f t="array" ref="P1362">XLOOKUP(D1362,Product_Dim!A:A,Product_Dim!B:B,"Not Found")</f>
        <v>High-Grip Football</v>
      </c>
      <c r="Q1362" s="8" t="str">
        <f t="array" ref="Q1362">XLOOKUP(D1362,Product_Dim!A:A,Product_Dim!C:C,"Not Found")</f>
        <v>Sports</v>
      </c>
      <c r="R1362" s="8" t="str">
        <f t="array" ref="R1362">XLOOKUP(E1362,Store_Dim!A:A,Store_Dim!B:B,"Not Found")</f>
        <v>East</v>
      </c>
      <c r="S1362" s="8" t="str">
        <f t="array" ref="S1362">XLOOKUP(E1362,Store_Dim!A:A,Store_Dim!D:D,"Not Found")</f>
        <v>Flagship</v>
      </c>
    </row>
    <row r="1363" ht="14.25" customHeight="1">
      <c r="A1363" s="8" t="s">
        <v>3316</v>
      </c>
      <c r="B1363" s="12">
        <v>46841.0</v>
      </c>
      <c r="C1363" s="8" t="s">
        <v>631</v>
      </c>
      <c r="D1363" s="8" t="s">
        <v>1684</v>
      </c>
      <c r="E1363" s="8" t="s">
        <v>1941</v>
      </c>
      <c r="F1363" s="8">
        <v>4.0</v>
      </c>
      <c r="G1363" s="8">
        <v>885.57</v>
      </c>
      <c r="H1363" s="8">
        <v>0.27</v>
      </c>
      <c r="I1363" s="8">
        <f t="shared" si="1"/>
        <v>3542.28</v>
      </c>
      <c r="J1363" s="8">
        <f t="shared" si="2"/>
        <v>-956.1456</v>
      </c>
      <c r="K1363" s="8" t="str">
        <f t="shared" si="3"/>
        <v>Mar</v>
      </c>
      <c r="L1363" s="8">
        <f t="shared" si="4"/>
        <v>2028</v>
      </c>
      <c r="N1363" s="8" t="str">
        <f t="array" ref="N1363">XLOOKUP(C1363,Customer_Dim!A:A,Customer_Dim!B:B,"Not Found")</f>
        <v>Kimberly Brooks</v>
      </c>
      <c r="O1363" s="8" t="str">
        <f t="array" ref="O1363">XLOOKUP(C1363,Customer_Dim!A:A,Customer_Dim!E:E,"Not Found")</f>
        <v>Kingfort</v>
      </c>
      <c r="P1363" s="8" t="str">
        <f t="array" ref="P1363">XLOOKUP(D1363,Product_Dim!A:A,Product_Dim!B:B,"Not Found")</f>
        <v>Modern Wall Clock</v>
      </c>
      <c r="Q1363" s="8" t="str">
        <f t="array" ref="Q1363">XLOOKUP(D1363,Product_Dim!A:A,Product_Dim!C:C,"Not Found")</f>
        <v>Home</v>
      </c>
      <c r="R1363" s="8" t="str">
        <f t="array" ref="R1363">XLOOKUP(E1363,Store_Dim!A:A,Store_Dim!B:B,"Not Found")</f>
        <v>East</v>
      </c>
      <c r="S1363" s="8" t="str">
        <f t="array" ref="S1363">XLOOKUP(E1363,Store_Dim!A:A,Store_Dim!D:D,"Not Found")</f>
        <v>Online</v>
      </c>
    </row>
    <row r="1364" ht="14.25" customHeight="1">
      <c r="A1364" s="8" t="s">
        <v>3317</v>
      </c>
      <c r="B1364" s="12">
        <v>46842.0</v>
      </c>
      <c r="C1364" s="8" t="s">
        <v>1268</v>
      </c>
      <c r="D1364" s="8" t="s">
        <v>1751</v>
      </c>
      <c r="E1364" s="8" t="s">
        <v>1933</v>
      </c>
      <c r="F1364" s="8">
        <v>3.0</v>
      </c>
      <c r="G1364" s="8">
        <v>789.05</v>
      </c>
      <c r="H1364" s="8">
        <v>0.0</v>
      </c>
      <c r="I1364" s="8">
        <f t="shared" si="1"/>
        <v>2367.15</v>
      </c>
      <c r="J1364" s="8">
        <f t="shared" si="2"/>
        <v>0</v>
      </c>
      <c r="K1364" s="8" t="str">
        <f t="shared" si="3"/>
        <v>Mar</v>
      </c>
      <c r="L1364" s="8">
        <f t="shared" si="4"/>
        <v>2028</v>
      </c>
      <c r="N1364" s="8" t="str">
        <f t="array" ref="N1364">XLOOKUP(C1364,Customer_Dim!A:A,Customer_Dim!B:B,"Not Found")</f>
        <v>Cassandra Perez</v>
      </c>
      <c r="O1364" s="8" t="str">
        <f t="array" ref="O1364">XLOOKUP(C1364,Customer_Dim!A:A,Customer_Dim!E:E,"Not Found")</f>
        <v>Brandonville</v>
      </c>
      <c r="P1364" s="8" t="str">
        <f t="array" ref="P1364">XLOOKUP(D1364,Product_Dim!A:A,Product_Dim!B:B,"Not Found")</f>
        <v>Sports Stopwatch Pro</v>
      </c>
      <c r="Q1364" s="8" t="str">
        <f t="array" ref="Q1364">XLOOKUP(D1364,Product_Dim!A:A,Product_Dim!C:C,"Not Found")</f>
        <v>Sports</v>
      </c>
      <c r="R1364" s="8" t="str">
        <f t="array" ref="R1364">XLOOKUP(E1364,Store_Dim!A:A,Store_Dim!B:B,"Not Found")</f>
        <v>North</v>
      </c>
      <c r="S1364" s="8" t="str">
        <f t="array" ref="S1364">XLOOKUP(E1364,Store_Dim!A:A,Store_Dim!D:D,"Not Found")</f>
        <v>Flagship</v>
      </c>
    </row>
    <row r="1365" ht="14.25" customHeight="1">
      <c r="A1365" s="8" t="s">
        <v>3318</v>
      </c>
      <c r="B1365" s="12">
        <v>46843.0</v>
      </c>
      <c r="C1365" s="8" t="s">
        <v>529</v>
      </c>
      <c r="D1365" s="8" t="s">
        <v>1787</v>
      </c>
      <c r="E1365" s="8" t="s">
        <v>1899</v>
      </c>
      <c r="F1365" s="8">
        <v>1.0</v>
      </c>
      <c r="G1365" s="8">
        <v>570.52</v>
      </c>
      <c r="H1365" s="8">
        <v>0.0</v>
      </c>
      <c r="I1365" s="8">
        <f t="shared" si="1"/>
        <v>570.52</v>
      </c>
      <c r="J1365" s="8">
        <f t="shared" si="2"/>
        <v>0</v>
      </c>
      <c r="K1365" s="8" t="str">
        <f t="shared" si="3"/>
        <v>Mar</v>
      </c>
      <c r="L1365" s="8">
        <f t="shared" si="4"/>
        <v>2028</v>
      </c>
      <c r="N1365" s="8" t="str">
        <f t="array" ref="N1365">XLOOKUP(C1365,Customer_Dim!A:A,Customer_Dim!B:B,"Not Found")</f>
        <v>Julie Hale</v>
      </c>
      <c r="O1365" s="8" t="str">
        <f t="array" ref="O1365">XLOOKUP(C1365,Customer_Dim!A:A,Customer_Dim!E:E,"Not Found")</f>
        <v>Owensview</v>
      </c>
      <c r="P1365" s="8" t="str">
        <f t="array" ref="P1365">XLOOKUP(D1365,Product_Dim!A:A,Product_Dim!B:B,"Not Found")</f>
        <v>Women's Hair Dryer Brush</v>
      </c>
      <c r="Q1365" s="8" t="str">
        <f t="array" ref="Q1365">XLOOKUP(D1365,Product_Dim!A:A,Product_Dim!C:C,"Not Found")</f>
        <v>Beauty</v>
      </c>
      <c r="R1365" s="8" t="str">
        <f t="array" ref="R1365">XLOOKUP(E1365,Store_Dim!A:A,Store_Dim!B:B,"Not Found")</f>
        <v>East</v>
      </c>
      <c r="S1365" s="8" t="str">
        <f t="array" ref="S1365">XLOOKUP(E1365,Store_Dim!A:A,Store_Dim!D:D,"Not Found")</f>
        <v>Flagship</v>
      </c>
    </row>
    <row r="1366" ht="14.25" customHeight="1">
      <c r="A1366" s="8" t="s">
        <v>3319</v>
      </c>
      <c r="B1366" s="12">
        <v>46844.0</v>
      </c>
      <c r="C1366" s="8" t="s">
        <v>604</v>
      </c>
      <c r="D1366" s="8" t="s">
        <v>1665</v>
      </c>
      <c r="E1366" s="8" t="s">
        <v>1935</v>
      </c>
      <c r="F1366" s="8">
        <v>4.0</v>
      </c>
      <c r="G1366" s="8">
        <v>310.79</v>
      </c>
      <c r="H1366" s="8">
        <v>0.22</v>
      </c>
      <c r="I1366" s="8">
        <f t="shared" si="1"/>
        <v>1243.16</v>
      </c>
      <c r="J1366" s="8">
        <f t="shared" si="2"/>
        <v>-273.2752</v>
      </c>
      <c r="K1366" s="8" t="str">
        <f t="shared" si="3"/>
        <v>Apr</v>
      </c>
      <c r="L1366" s="8">
        <f t="shared" si="4"/>
        <v>2028</v>
      </c>
      <c r="N1366" s="8" t="str">
        <f t="array" ref="N1366">XLOOKUP(C1366,Customer_Dim!A:A,Customer_Dim!B:B,"Not Found")</f>
        <v>Nicholas Bradshaw</v>
      </c>
      <c r="O1366" s="8" t="str">
        <f t="array" ref="O1366">XLOOKUP(C1366,Customer_Dim!A:A,Customer_Dim!E:E,"Not Found")</f>
        <v>Murphyfurt</v>
      </c>
      <c r="P1366" s="8" t="str">
        <f t="array" ref="P1366">XLOOKUP(D1366,Product_Dim!A:A,Product_Dim!B:B,"Not Found")</f>
        <v>Decorative Floor Vase</v>
      </c>
      <c r="Q1366" s="8" t="str">
        <f t="array" ref="Q1366">XLOOKUP(D1366,Product_Dim!A:A,Product_Dim!C:C,"Not Found")</f>
        <v>Home</v>
      </c>
      <c r="R1366" s="8" t="str">
        <f t="array" ref="R1366">XLOOKUP(E1366,Store_Dim!A:A,Store_Dim!B:B,"Not Found")</f>
        <v>West</v>
      </c>
      <c r="S1366" s="8" t="str">
        <f t="array" ref="S1366">XLOOKUP(E1366,Store_Dim!A:A,Store_Dim!D:D,"Not Found")</f>
        <v>Flagship</v>
      </c>
    </row>
    <row r="1367" ht="14.25" customHeight="1">
      <c r="A1367" s="8" t="s">
        <v>3320</v>
      </c>
      <c r="B1367" s="12">
        <v>46845.0</v>
      </c>
      <c r="C1367" s="8" t="s">
        <v>224</v>
      </c>
      <c r="D1367" s="8" t="s">
        <v>1793</v>
      </c>
      <c r="E1367" s="8" t="s">
        <v>1937</v>
      </c>
      <c r="F1367" s="8">
        <v>4.0</v>
      </c>
      <c r="G1367" s="8">
        <v>255.67</v>
      </c>
      <c r="H1367" s="8">
        <v>0.17</v>
      </c>
      <c r="I1367" s="8">
        <f t="shared" si="1"/>
        <v>1022.68</v>
      </c>
      <c r="J1367" s="8">
        <f t="shared" si="2"/>
        <v>-173.6856</v>
      </c>
      <c r="K1367" s="8" t="str">
        <f t="shared" si="3"/>
        <v>Apr</v>
      </c>
      <c r="L1367" s="8">
        <f t="shared" si="4"/>
        <v>2028</v>
      </c>
      <c r="N1367" s="8" t="str">
        <f t="array" ref="N1367">XLOOKUP(C1367,Customer_Dim!A:A,Customer_Dim!B:B,"Not Found")</f>
        <v>Jay Patel</v>
      </c>
      <c r="O1367" s="8" t="str">
        <f t="array" ref="O1367">XLOOKUP(C1367,Customer_Dim!A:A,Customer_Dim!E:E,"Not Found")</f>
        <v>Morrisbury</v>
      </c>
      <c r="P1367" s="8" t="str">
        <f t="array" ref="P1367">XLOOKUP(D1367,Product_Dim!A:A,Product_Dim!B:B,"Not Found")</f>
        <v>Wooden Nightstand</v>
      </c>
      <c r="Q1367" s="8" t="str">
        <f t="array" ref="Q1367">XLOOKUP(D1367,Product_Dim!A:A,Product_Dim!C:C,"Not Found")</f>
        <v>Home</v>
      </c>
      <c r="R1367" s="8" t="str">
        <f t="array" ref="R1367">XLOOKUP(E1367,Store_Dim!A:A,Store_Dim!B:B,"Not Found")</f>
        <v>North</v>
      </c>
      <c r="S1367" s="8" t="str">
        <f t="array" ref="S1367">XLOOKUP(E1367,Store_Dim!A:A,Store_Dim!D:D,"Not Found")</f>
        <v>Flagship</v>
      </c>
    </row>
    <row r="1368" ht="14.25" customHeight="1">
      <c r="A1368" s="8" t="s">
        <v>3321</v>
      </c>
      <c r="B1368" s="12">
        <v>46846.0</v>
      </c>
      <c r="C1368" s="8" t="s">
        <v>455</v>
      </c>
      <c r="D1368" s="8" t="s">
        <v>1665</v>
      </c>
      <c r="E1368" s="8" t="s">
        <v>1935</v>
      </c>
      <c r="F1368" s="8">
        <v>2.0</v>
      </c>
      <c r="G1368" s="8">
        <v>270.66</v>
      </c>
      <c r="H1368" s="8">
        <v>0.1</v>
      </c>
      <c r="I1368" s="8">
        <f t="shared" si="1"/>
        <v>541.32</v>
      </c>
      <c r="J1368" s="8">
        <f t="shared" si="2"/>
        <v>-54.032</v>
      </c>
      <c r="K1368" s="8" t="str">
        <f t="shared" si="3"/>
        <v>Apr</v>
      </c>
      <c r="L1368" s="8">
        <f t="shared" si="4"/>
        <v>2028</v>
      </c>
      <c r="N1368" s="8" t="str">
        <f t="array" ref="N1368">XLOOKUP(C1368,Customer_Dim!A:A,Customer_Dim!B:B,"Not Found")</f>
        <v>Jessica Mitchell</v>
      </c>
      <c r="O1368" s="8" t="str">
        <f t="array" ref="O1368">XLOOKUP(C1368,Customer_Dim!A:A,Customer_Dim!E:E,"Not Found")</f>
        <v>Matthewbury</v>
      </c>
      <c r="P1368" s="8" t="str">
        <f t="array" ref="P1368">XLOOKUP(D1368,Product_Dim!A:A,Product_Dim!B:B,"Not Found")</f>
        <v>Decorative Floor Vase</v>
      </c>
      <c r="Q1368" s="8" t="str">
        <f t="array" ref="Q1368">XLOOKUP(D1368,Product_Dim!A:A,Product_Dim!C:C,"Not Found")</f>
        <v>Home</v>
      </c>
      <c r="R1368" s="8" t="str">
        <f t="array" ref="R1368">XLOOKUP(E1368,Store_Dim!A:A,Store_Dim!B:B,"Not Found")</f>
        <v>West</v>
      </c>
      <c r="S1368" s="8" t="str">
        <f t="array" ref="S1368">XLOOKUP(E1368,Store_Dim!A:A,Store_Dim!D:D,"Not Found")</f>
        <v>Flagship</v>
      </c>
    </row>
    <row r="1369" ht="14.25" customHeight="1">
      <c r="A1369" s="8" t="s">
        <v>3322</v>
      </c>
      <c r="B1369" s="12">
        <v>46847.0</v>
      </c>
      <c r="C1369" s="8" t="s">
        <v>960</v>
      </c>
      <c r="D1369" s="8" t="s">
        <v>1652</v>
      </c>
      <c r="E1369" s="8" t="s">
        <v>1937</v>
      </c>
      <c r="F1369" s="8">
        <v>3.0</v>
      </c>
      <c r="G1369" s="8">
        <v>373.35</v>
      </c>
      <c r="H1369" s="8">
        <v>0.2</v>
      </c>
      <c r="I1369" s="8">
        <f t="shared" si="1"/>
        <v>1120.05</v>
      </c>
      <c r="J1369" s="8">
        <f t="shared" si="2"/>
        <v>-223.81</v>
      </c>
      <c r="K1369" s="8" t="str">
        <f t="shared" si="3"/>
        <v>Apr</v>
      </c>
      <c r="L1369" s="8">
        <f t="shared" si="4"/>
        <v>2028</v>
      </c>
      <c r="N1369" s="8" t="str">
        <f t="array" ref="N1369">XLOOKUP(C1369,Customer_Dim!A:A,Customer_Dim!B:B,"Not Found")</f>
        <v>Stephanie Jacobs</v>
      </c>
      <c r="O1369" s="8" t="str">
        <f t="array" ref="O1369">XLOOKUP(C1369,Customer_Dim!A:A,Customer_Dim!E:E,"Not Found")</f>
        <v>West Robinmouth</v>
      </c>
      <c r="P1369" s="8" t="str">
        <f t="array" ref="P1369">XLOOKUP(D1369,Product_Dim!A:A,Product_Dim!B:B,"Not Found")</f>
        <v>Men's Formal Shirt</v>
      </c>
      <c r="Q1369" s="8" t="str">
        <f t="array" ref="Q1369">XLOOKUP(D1369,Product_Dim!A:A,Product_Dim!C:C,"Not Found")</f>
        <v>Clothing</v>
      </c>
      <c r="R1369" s="8" t="str">
        <f t="array" ref="R1369">XLOOKUP(E1369,Store_Dim!A:A,Store_Dim!B:B,"Not Found")</f>
        <v>North</v>
      </c>
      <c r="S1369" s="8" t="str">
        <f t="array" ref="S1369">XLOOKUP(E1369,Store_Dim!A:A,Store_Dim!D:D,"Not Found")</f>
        <v>Flagship</v>
      </c>
    </row>
    <row r="1370" ht="14.25" customHeight="1">
      <c r="A1370" s="8" t="s">
        <v>3323</v>
      </c>
      <c r="B1370" s="12">
        <v>46848.0</v>
      </c>
      <c r="C1370" s="8" t="s">
        <v>154</v>
      </c>
      <c r="D1370" s="8" t="s">
        <v>1766</v>
      </c>
      <c r="E1370" s="8" t="s">
        <v>1928</v>
      </c>
      <c r="F1370" s="8">
        <v>2.0</v>
      </c>
      <c r="G1370" s="8">
        <v>23.58</v>
      </c>
      <c r="H1370" s="8">
        <v>0.02</v>
      </c>
      <c r="I1370" s="8">
        <f t="shared" si="1"/>
        <v>47.16</v>
      </c>
      <c r="J1370" s="8">
        <f t="shared" si="2"/>
        <v>-0.9232</v>
      </c>
      <c r="K1370" s="8" t="str">
        <f t="shared" si="3"/>
        <v>Apr</v>
      </c>
      <c r="L1370" s="8">
        <f t="shared" si="4"/>
        <v>2028</v>
      </c>
      <c r="N1370" s="8" t="str">
        <f t="array" ref="N1370">XLOOKUP(C1370,Customer_Dim!A:A,Customer_Dim!B:B,"Not Found")</f>
        <v>Thomas Phillips</v>
      </c>
      <c r="O1370" s="8" t="str">
        <f t="array" ref="O1370">XLOOKUP(C1370,Customer_Dim!A:A,Customer_Dim!E:E,"Not Found")</f>
        <v>Luisfurt</v>
      </c>
      <c r="P1370" s="8" t="str">
        <f t="array" ref="P1370">XLOOKUP(D1370,Product_Dim!A:A,Product_Dim!B:B,"Not Found")</f>
        <v>Men's Hair Styling Gel</v>
      </c>
      <c r="Q1370" s="8" t="str">
        <f t="array" ref="Q1370">XLOOKUP(D1370,Product_Dim!A:A,Product_Dim!C:C,"Not Found")</f>
        <v>Beauty</v>
      </c>
      <c r="R1370" s="8" t="str">
        <f t="array" ref="R1370">XLOOKUP(E1370,Store_Dim!A:A,Store_Dim!B:B,"Not Found")</f>
        <v>South</v>
      </c>
      <c r="S1370" s="8" t="str">
        <f t="array" ref="S1370">XLOOKUP(E1370,Store_Dim!A:A,Store_Dim!D:D,"Not Found")</f>
        <v>Online</v>
      </c>
    </row>
    <row r="1371" ht="14.25" customHeight="1">
      <c r="A1371" s="8" t="s">
        <v>3324</v>
      </c>
      <c r="B1371" s="12">
        <v>46849.0</v>
      </c>
      <c r="C1371" s="8" t="s">
        <v>40</v>
      </c>
      <c r="D1371" s="8" t="s">
        <v>1690</v>
      </c>
      <c r="E1371" s="8" t="s">
        <v>1919</v>
      </c>
      <c r="F1371" s="8">
        <v>4.0</v>
      </c>
      <c r="G1371" s="8">
        <v>185.67</v>
      </c>
      <c r="H1371" s="8">
        <v>0.21</v>
      </c>
      <c r="I1371" s="8">
        <f t="shared" si="1"/>
        <v>742.68</v>
      </c>
      <c r="J1371" s="8">
        <f t="shared" si="2"/>
        <v>-155.7528</v>
      </c>
      <c r="K1371" s="8" t="str">
        <f t="shared" si="3"/>
        <v>Apr</v>
      </c>
      <c r="L1371" s="8">
        <f t="shared" si="4"/>
        <v>2028</v>
      </c>
      <c r="N1371" s="8" t="str">
        <f t="array" ref="N1371">XLOOKUP(C1371,Customer_Dim!A:A,Customer_Dim!B:B,"Not Found")</f>
        <v>Christine Vaughn</v>
      </c>
      <c r="O1371" s="8" t="str">
        <f t="array" ref="O1371">XLOOKUP(C1371,Customer_Dim!A:A,Customer_Dim!E:E,"Not Found")</f>
        <v>East Amandamouth</v>
      </c>
      <c r="P1371" s="8" t="str">
        <f t="array" ref="P1371">XLOOKUP(D1371,Product_Dim!A:A,Product_Dim!B:B,"Not Found")</f>
        <v>Bedroom Table Lamp</v>
      </c>
      <c r="Q1371" s="8" t="str">
        <f t="array" ref="Q1371">XLOOKUP(D1371,Product_Dim!A:A,Product_Dim!C:C,"Not Found")</f>
        <v>Home</v>
      </c>
      <c r="R1371" s="8" t="str">
        <f t="array" ref="R1371">XLOOKUP(E1371,Store_Dim!A:A,Store_Dim!B:B,"Not Found")</f>
        <v>South</v>
      </c>
      <c r="S1371" s="8" t="str">
        <f t="array" ref="S1371">XLOOKUP(E1371,Store_Dim!A:A,Store_Dim!D:D,"Not Found")</f>
        <v>Online</v>
      </c>
    </row>
    <row r="1372" ht="14.25" customHeight="1">
      <c r="A1372" s="8" t="s">
        <v>3325</v>
      </c>
      <c r="B1372" s="12">
        <v>46850.0</v>
      </c>
      <c r="C1372" s="8" t="s">
        <v>427</v>
      </c>
      <c r="D1372" s="8" t="s">
        <v>1635</v>
      </c>
      <c r="E1372" s="8" t="s">
        <v>1931</v>
      </c>
      <c r="F1372" s="8">
        <v>3.0</v>
      </c>
      <c r="G1372" s="8">
        <v>928.74</v>
      </c>
      <c r="H1372" s="8">
        <v>0.27</v>
      </c>
      <c r="I1372" s="8">
        <f t="shared" si="1"/>
        <v>2786.22</v>
      </c>
      <c r="J1372" s="8">
        <f t="shared" si="2"/>
        <v>-752.0094</v>
      </c>
      <c r="K1372" s="8" t="str">
        <f t="shared" si="3"/>
        <v>Apr</v>
      </c>
      <c r="L1372" s="8">
        <f t="shared" si="4"/>
        <v>2028</v>
      </c>
      <c r="N1372" s="8" t="str">
        <f t="array" ref="N1372">XLOOKUP(C1372,Customer_Dim!A:A,Customer_Dim!B:B,"Not Found")</f>
        <v>Jacob Hopkins</v>
      </c>
      <c r="O1372" s="8" t="str">
        <f t="array" ref="O1372">XLOOKUP(C1372,Customer_Dim!A:A,Customer_Dim!E:E,"Not Found")</f>
        <v>lake tylerfort</v>
      </c>
      <c r="P1372" s="8" t="str">
        <f t="array" ref="P1372">XLOOKUP(D1372,Product_Dim!A:A,Product_Dim!B:B,"Not Found")</f>
        <v>Women's Denim Jeans</v>
      </c>
      <c r="Q1372" s="8" t="str">
        <f t="array" ref="Q1372">XLOOKUP(D1372,Product_Dim!A:A,Product_Dim!C:C,"Not Found")</f>
        <v>Clothing</v>
      </c>
      <c r="R1372" s="8" t="str">
        <f t="array" ref="R1372">XLOOKUP(E1372,Store_Dim!A:A,Store_Dim!B:B,"Not Found")</f>
        <v>East</v>
      </c>
      <c r="S1372" s="8" t="str">
        <f t="array" ref="S1372">XLOOKUP(E1372,Store_Dim!A:A,Store_Dim!D:D,"Not Found")</f>
        <v>Flagship</v>
      </c>
    </row>
    <row r="1373" ht="14.25" customHeight="1">
      <c r="A1373" s="8" t="s">
        <v>3326</v>
      </c>
      <c r="B1373" s="12">
        <v>46851.0</v>
      </c>
      <c r="C1373" s="8" t="s">
        <v>131</v>
      </c>
      <c r="D1373" s="8" t="s">
        <v>1842</v>
      </c>
      <c r="E1373" s="8" t="s">
        <v>1915</v>
      </c>
      <c r="F1373" s="8">
        <v>3.0</v>
      </c>
      <c r="G1373" s="8">
        <v>923.38</v>
      </c>
      <c r="H1373" s="8">
        <v>0.07</v>
      </c>
      <c r="I1373" s="8">
        <f t="shared" si="1"/>
        <v>2770.14</v>
      </c>
      <c r="J1373" s="8">
        <f t="shared" si="2"/>
        <v>-193.8398</v>
      </c>
      <c r="K1373" s="8" t="str">
        <f t="shared" si="3"/>
        <v>Apr</v>
      </c>
      <c r="L1373" s="8">
        <f t="shared" si="4"/>
        <v>2028</v>
      </c>
      <c r="N1373" s="8" t="str">
        <f t="array" ref="N1373">XLOOKUP(C1373,Customer_Dim!A:A,Customer_Dim!B:B,"Not Found")</f>
        <v>David Arnold</v>
      </c>
      <c r="O1373" s="8" t="str">
        <f t="array" ref="O1373">XLOOKUP(C1373,Customer_Dim!A:A,Customer_Dim!E:E,"Not Found")</f>
        <v>East Jennifer</v>
      </c>
      <c r="P1373" s="8" t="str">
        <f t="array" ref="P1373">XLOOKUP(D1373,Product_Dim!A:A,Product_Dim!B:B,"Not Found")</f>
        <v>Wooden Bookshelf</v>
      </c>
      <c r="Q1373" s="8" t="str">
        <f t="array" ref="Q1373">XLOOKUP(D1373,Product_Dim!A:A,Product_Dim!C:C,"Not Found")</f>
        <v>Home</v>
      </c>
      <c r="R1373" s="8" t="str">
        <f t="array" ref="R1373">XLOOKUP(E1373,Store_Dim!A:A,Store_Dim!B:B,"Not Found")</f>
        <v>North</v>
      </c>
      <c r="S1373" s="8" t="str">
        <f t="array" ref="S1373">XLOOKUP(E1373,Store_Dim!A:A,Store_Dim!D:D,"Not Found")</f>
        <v>Outlet</v>
      </c>
    </row>
    <row r="1374" ht="14.25" customHeight="1">
      <c r="A1374" s="8" t="s">
        <v>3327</v>
      </c>
      <c r="B1374" s="12">
        <v>46852.0</v>
      </c>
      <c r="C1374" s="8" t="s">
        <v>1441</v>
      </c>
      <c r="D1374" s="8" t="s">
        <v>1579</v>
      </c>
      <c r="E1374" s="8" t="s">
        <v>1924</v>
      </c>
      <c r="F1374" s="8">
        <v>2.0</v>
      </c>
      <c r="G1374" s="8">
        <v>409.26</v>
      </c>
      <c r="H1374" s="8">
        <v>0.1</v>
      </c>
      <c r="I1374" s="8">
        <f t="shared" si="1"/>
        <v>818.52</v>
      </c>
      <c r="J1374" s="8">
        <f t="shared" si="2"/>
        <v>-81.752</v>
      </c>
      <c r="K1374" s="8" t="str">
        <f t="shared" si="3"/>
        <v>Apr</v>
      </c>
      <c r="L1374" s="8">
        <f t="shared" si="4"/>
        <v>2028</v>
      </c>
      <c r="N1374" s="8" t="str">
        <f t="array" ref="N1374">XLOOKUP(C1374,Customer_Dim!A:A,Customer_Dim!B:B,"Not Found")</f>
        <v>Beth Martin</v>
      </c>
      <c r="O1374" s="8" t="str">
        <f t="array" ref="O1374">XLOOKUP(C1374,Customer_Dim!A:A,Customer_Dim!E:E,"Not Found")</f>
        <v>Burkefurt</v>
      </c>
      <c r="P1374" s="8" t="str">
        <f t="array" ref="P1374">XLOOKUP(D1374,Product_Dim!A:A,Product_Dim!B:B,"Not Found")</f>
        <v>Women's Yoga Pants</v>
      </c>
      <c r="Q1374" s="8" t="str">
        <f t="array" ref="Q1374">XLOOKUP(D1374,Product_Dim!A:A,Product_Dim!C:C,"Not Found")</f>
        <v>Clothing</v>
      </c>
      <c r="R1374" s="8" t="str">
        <f t="array" ref="R1374">XLOOKUP(E1374,Store_Dim!A:A,Store_Dim!B:B,"Not Found")</f>
        <v>South</v>
      </c>
      <c r="S1374" s="8" t="str">
        <f t="array" ref="S1374">XLOOKUP(E1374,Store_Dim!A:A,Store_Dim!D:D,"Not Found")</f>
        <v>Flagship</v>
      </c>
    </row>
    <row r="1375" ht="14.25" customHeight="1">
      <c r="A1375" s="8" t="s">
        <v>3328</v>
      </c>
      <c r="B1375" s="12">
        <v>46853.0</v>
      </c>
      <c r="C1375" s="8" t="s">
        <v>827</v>
      </c>
      <c r="D1375" s="8" t="s">
        <v>1652</v>
      </c>
      <c r="E1375" s="8" t="s">
        <v>1919</v>
      </c>
      <c r="F1375" s="8">
        <v>2.0</v>
      </c>
      <c r="G1375" s="8">
        <v>608.46</v>
      </c>
      <c r="H1375" s="8">
        <v>0.16</v>
      </c>
      <c r="I1375" s="8">
        <f t="shared" si="1"/>
        <v>1216.92</v>
      </c>
      <c r="J1375" s="8">
        <f t="shared" si="2"/>
        <v>-194.5472</v>
      </c>
      <c r="K1375" s="8" t="str">
        <f t="shared" si="3"/>
        <v>Apr</v>
      </c>
      <c r="L1375" s="8">
        <f t="shared" si="4"/>
        <v>2028</v>
      </c>
      <c r="N1375" s="8" t="str">
        <f t="array" ref="N1375">XLOOKUP(C1375,Customer_Dim!A:A,Customer_Dim!B:B,"Not Found")</f>
        <v>Linda Kline</v>
      </c>
      <c r="O1375" s="8" t="str">
        <f t="array" ref="O1375">XLOOKUP(C1375,Customer_Dim!A:A,Customer_Dim!E:E,"Not Found")</f>
        <v>Masseyland</v>
      </c>
      <c r="P1375" s="8" t="str">
        <f t="array" ref="P1375">XLOOKUP(D1375,Product_Dim!A:A,Product_Dim!B:B,"Not Found")</f>
        <v>Men's Formal Shirt</v>
      </c>
      <c r="Q1375" s="8" t="str">
        <f t="array" ref="Q1375">XLOOKUP(D1375,Product_Dim!A:A,Product_Dim!C:C,"Not Found")</f>
        <v>Clothing</v>
      </c>
      <c r="R1375" s="8" t="str">
        <f t="array" ref="R1375">XLOOKUP(E1375,Store_Dim!A:A,Store_Dim!B:B,"Not Found")</f>
        <v>South</v>
      </c>
      <c r="S1375" s="8" t="str">
        <f t="array" ref="S1375">XLOOKUP(E1375,Store_Dim!A:A,Store_Dim!D:D,"Not Found")</f>
        <v>Online</v>
      </c>
    </row>
    <row r="1376" ht="14.25" customHeight="1">
      <c r="A1376" s="8" t="s">
        <v>3329</v>
      </c>
      <c r="B1376" s="12">
        <v>46854.0</v>
      </c>
      <c r="C1376" s="8" t="s">
        <v>702</v>
      </c>
      <c r="D1376" s="8" t="s">
        <v>1713</v>
      </c>
      <c r="E1376" s="8" t="s">
        <v>1941</v>
      </c>
      <c r="F1376" s="8">
        <v>4.0</v>
      </c>
      <c r="G1376" s="8">
        <v>150.48</v>
      </c>
      <c r="H1376" s="8">
        <v>0.09</v>
      </c>
      <c r="I1376" s="8">
        <f t="shared" si="1"/>
        <v>601.92</v>
      </c>
      <c r="J1376" s="8">
        <f t="shared" si="2"/>
        <v>-54.0828</v>
      </c>
      <c r="K1376" s="8" t="str">
        <f t="shared" si="3"/>
        <v>Apr</v>
      </c>
      <c r="L1376" s="8">
        <f t="shared" si="4"/>
        <v>2028</v>
      </c>
      <c r="N1376" s="8" t="str">
        <f t="array" ref="N1376">XLOOKUP(C1376,Customer_Dim!A:A,Customer_Dim!B:B,"Not Found")</f>
        <v>Blake Harrison</v>
      </c>
      <c r="O1376" s="8" t="str">
        <f t="array" ref="O1376">XLOOKUP(C1376,Customer_Dim!A:A,Customer_Dim!E:E,"Not Found")</f>
        <v>Lyonsfort</v>
      </c>
      <c r="P1376" s="8" t="str">
        <f t="array" ref="P1376">XLOOKUP(D1376,Product_Dim!A:A,Product_Dim!B:B,"Not Found")</f>
        <v>Smart Home WiFi Camera</v>
      </c>
      <c r="Q1376" s="8" t="str">
        <f t="array" ref="Q1376">XLOOKUP(D1376,Product_Dim!A:A,Product_Dim!C:C,"Not Found")</f>
        <v>Electronics</v>
      </c>
      <c r="R1376" s="8" t="str">
        <f t="array" ref="R1376">XLOOKUP(E1376,Store_Dim!A:A,Store_Dim!B:B,"Not Found")</f>
        <v>East</v>
      </c>
      <c r="S1376" s="8" t="str">
        <f t="array" ref="S1376">XLOOKUP(E1376,Store_Dim!A:A,Store_Dim!D:D,"Not Found")</f>
        <v>Online</v>
      </c>
    </row>
    <row r="1377" ht="14.25" customHeight="1">
      <c r="A1377" s="8" t="s">
        <v>3330</v>
      </c>
      <c r="B1377" s="12">
        <v>46855.0</v>
      </c>
      <c r="C1377" s="8" t="s">
        <v>800</v>
      </c>
      <c r="D1377" s="8" t="s">
        <v>1793</v>
      </c>
      <c r="E1377" s="8" t="s">
        <v>1932</v>
      </c>
      <c r="F1377" s="8">
        <v>4.0</v>
      </c>
      <c r="G1377" s="8">
        <v>207.41</v>
      </c>
      <c r="H1377" s="8">
        <v>0.02</v>
      </c>
      <c r="I1377" s="8">
        <f t="shared" si="1"/>
        <v>829.64</v>
      </c>
      <c r="J1377" s="8">
        <f t="shared" si="2"/>
        <v>-16.5728</v>
      </c>
      <c r="K1377" s="8" t="str">
        <f t="shared" si="3"/>
        <v>Apr</v>
      </c>
      <c r="L1377" s="8">
        <f t="shared" si="4"/>
        <v>2028</v>
      </c>
      <c r="N1377" s="8" t="str">
        <f t="array" ref="N1377">XLOOKUP(C1377,Customer_Dim!A:A,Customer_Dim!B:B,"Not Found")</f>
        <v>Laura Soto</v>
      </c>
      <c r="O1377" s="8" t="str">
        <f t="array" ref="O1377">XLOOKUP(C1377,Customer_Dim!A:A,Customer_Dim!E:E,"Not Found")</f>
        <v>Rodriguezton</v>
      </c>
      <c r="P1377" s="8" t="str">
        <f t="array" ref="P1377">XLOOKUP(D1377,Product_Dim!A:A,Product_Dim!B:B,"Not Found")</f>
        <v>Wooden Nightstand</v>
      </c>
      <c r="Q1377" s="8" t="str">
        <f t="array" ref="Q1377">XLOOKUP(D1377,Product_Dim!A:A,Product_Dim!C:C,"Not Found")</f>
        <v>Home</v>
      </c>
      <c r="R1377" s="8" t="str">
        <f t="array" ref="R1377">XLOOKUP(E1377,Store_Dim!A:A,Store_Dim!B:B,"Not Found")</f>
        <v>South</v>
      </c>
      <c r="S1377" s="8" t="str">
        <f t="array" ref="S1377">XLOOKUP(E1377,Store_Dim!A:A,Store_Dim!D:D,"Not Found")</f>
        <v>Outlet</v>
      </c>
    </row>
    <row r="1378" ht="14.25" customHeight="1">
      <c r="A1378" s="8" t="s">
        <v>3331</v>
      </c>
      <c r="B1378" s="12">
        <v>46856.0</v>
      </c>
      <c r="C1378" s="8" t="s">
        <v>583</v>
      </c>
      <c r="D1378" s="8" t="s">
        <v>1610</v>
      </c>
      <c r="E1378" s="8" t="s">
        <v>1917</v>
      </c>
      <c r="F1378" s="8">
        <v>1.0</v>
      </c>
      <c r="G1378" s="8">
        <v>56.59</v>
      </c>
      <c r="H1378" s="8">
        <v>0.15</v>
      </c>
      <c r="I1378" s="8">
        <f t="shared" si="1"/>
        <v>56.59</v>
      </c>
      <c r="J1378" s="8">
        <f t="shared" si="2"/>
        <v>-8.3385</v>
      </c>
      <c r="K1378" s="8" t="str">
        <f t="shared" si="3"/>
        <v>Apr</v>
      </c>
      <c r="L1378" s="8">
        <f t="shared" si="4"/>
        <v>2028</v>
      </c>
      <c r="N1378" s="8" t="str">
        <f t="array" ref="N1378">XLOOKUP(C1378,Customer_Dim!A:A,Customer_Dim!B:B,"Not Found")</f>
        <v>Thomas Rhodes</v>
      </c>
      <c r="O1378" s="8" t="str">
        <f t="array" ref="O1378">XLOOKUP(C1378,Customer_Dim!A:A,Customer_Dim!E:E,"Not Found")</f>
        <v>Port Richard</v>
      </c>
      <c r="P1378" s="8" t="str">
        <f t="array" ref="P1378">XLOOKUP(D1378,Product_Dim!A:A,Product_Dim!B:B,"Not Found")</f>
        <v>HD Smart TV Stick</v>
      </c>
      <c r="Q1378" s="8" t="str">
        <f t="array" ref="Q1378">XLOOKUP(D1378,Product_Dim!A:A,Product_Dim!C:C,"Not Found")</f>
        <v>Electronics</v>
      </c>
      <c r="R1378" s="8" t="str">
        <f t="array" ref="R1378">XLOOKUP(E1378,Store_Dim!A:A,Store_Dim!B:B,"Not Found")</f>
        <v>East</v>
      </c>
      <c r="S1378" s="8" t="str">
        <f t="array" ref="S1378">XLOOKUP(E1378,Store_Dim!A:A,Store_Dim!D:D,"Not Found")</f>
        <v>Online</v>
      </c>
    </row>
    <row r="1379" ht="14.25" customHeight="1">
      <c r="A1379" s="8" t="s">
        <v>3332</v>
      </c>
      <c r="B1379" s="12">
        <v>46857.0</v>
      </c>
      <c r="C1379" s="8" t="s">
        <v>1276</v>
      </c>
      <c r="D1379" s="8" t="s">
        <v>1703</v>
      </c>
      <c r="E1379" s="8" t="s">
        <v>1912</v>
      </c>
      <c r="F1379" s="8">
        <v>4.0</v>
      </c>
      <c r="G1379" s="8">
        <v>995.4</v>
      </c>
      <c r="H1379" s="8">
        <v>0.27</v>
      </c>
      <c r="I1379" s="8">
        <f t="shared" si="1"/>
        <v>3981.6</v>
      </c>
      <c r="J1379" s="8">
        <f t="shared" si="2"/>
        <v>-1074.762</v>
      </c>
      <c r="K1379" s="8" t="str">
        <f t="shared" si="3"/>
        <v>Apr</v>
      </c>
      <c r="L1379" s="8">
        <f t="shared" si="4"/>
        <v>2028</v>
      </c>
      <c r="N1379" s="8" t="str">
        <f t="array" ref="N1379">XLOOKUP(C1379,Customer_Dim!A:A,Customer_Dim!B:B,"Not Found")</f>
        <v>Eric Wolfe</v>
      </c>
      <c r="O1379" s="8" t="str">
        <f t="array" ref="O1379">XLOOKUP(C1379,Customer_Dim!A:A,Customer_Dim!E:E,"Not Found")</f>
        <v>Garciaview</v>
      </c>
      <c r="P1379" s="8" t="str">
        <f t="array" ref="P1379">XLOOKUP(D1379,Product_Dim!A:A,Product_Dim!B:B,"Not Found")</f>
        <v>Portable Power Bank</v>
      </c>
      <c r="Q1379" s="8" t="str">
        <f t="array" ref="Q1379">XLOOKUP(D1379,Product_Dim!A:A,Product_Dim!C:C,"Not Found")</f>
        <v>Electronics</v>
      </c>
      <c r="R1379" s="8" t="str">
        <f t="array" ref="R1379">XLOOKUP(E1379,Store_Dim!A:A,Store_Dim!B:B,"Not Found")</f>
        <v>South</v>
      </c>
      <c r="S1379" s="8" t="str">
        <f t="array" ref="S1379">XLOOKUP(E1379,Store_Dim!A:A,Store_Dim!D:D,"Not Found")</f>
        <v>Online</v>
      </c>
    </row>
    <row r="1380" ht="14.25" customHeight="1">
      <c r="A1380" s="8" t="s">
        <v>3333</v>
      </c>
      <c r="B1380" s="12">
        <v>46858.0</v>
      </c>
      <c r="C1380" s="8" t="s">
        <v>248</v>
      </c>
      <c r="D1380" s="8" t="s">
        <v>1728</v>
      </c>
      <c r="E1380" s="8" t="s">
        <v>1929</v>
      </c>
      <c r="F1380" s="8">
        <v>2.0</v>
      </c>
      <c r="G1380" s="8">
        <v>591.33</v>
      </c>
      <c r="H1380" s="8">
        <v>0.24</v>
      </c>
      <c r="I1380" s="8">
        <f t="shared" si="1"/>
        <v>1182.66</v>
      </c>
      <c r="J1380" s="8">
        <f t="shared" si="2"/>
        <v>-283.5984</v>
      </c>
      <c r="K1380" s="8" t="str">
        <f t="shared" si="3"/>
        <v>Apr</v>
      </c>
      <c r="L1380" s="8">
        <f t="shared" si="4"/>
        <v>2028</v>
      </c>
      <c r="N1380" s="8" t="str">
        <f t="array" ref="N1380">XLOOKUP(C1380,Customer_Dim!A:A,Customer_Dim!B:B,"Not Found")</f>
        <v>Mr. Mason Butler</v>
      </c>
      <c r="O1380" s="8" t="str">
        <f t="array" ref="O1380">XLOOKUP(C1380,Customer_Dim!A:A,Customer_Dim!E:E,"Not Found")</f>
        <v>Port Kathrynhaven</v>
      </c>
      <c r="P1380" s="8" t="str">
        <f t="array" ref="P1380">XLOOKUP(D1380,Product_Dim!A:A,Product_Dim!B:B,"Not Found")</f>
        <v>Makeup Brush Set</v>
      </c>
      <c r="Q1380" s="8" t="str">
        <f t="array" ref="Q1380">XLOOKUP(D1380,Product_Dim!A:A,Product_Dim!C:C,"Not Found")</f>
        <v>Beauty</v>
      </c>
      <c r="R1380" s="8" t="str">
        <f t="array" ref="R1380">XLOOKUP(E1380,Store_Dim!A:A,Store_Dim!B:B,"Not Found")</f>
        <v>North</v>
      </c>
      <c r="S1380" s="8" t="str">
        <f t="array" ref="S1380">XLOOKUP(E1380,Store_Dim!A:A,Store_Dim!D:D,"Not Found")</f>
        <v>Online</v>
      </c>
    </row>
    <row r="1381" ht="14.25" customHeight="1">
      <c r="A1381" s="8" t="s">
        <v>3334</v>
      </c>
      <c r="B1381" s="12">
        <v>46859.0</v>
      </c>
      <c r="C1381" s="8" t="s">
        <v>1197</v>
      </c>
      <c r="D1381" s="8" t="s">
        <v>1732</v>
      </c>
      <c r="E1381" s="8" t="s">
        <v>1937</v>
      </c>
      <c r="F1381" s="8">
        <v>2.0</v>
      </c>
      <c r="G1381" s="8">
        <v>204.89</v>
      </c>
      <c r="H1381" s="8">
        <v>0.24</v>
      </c>
      <c r="I1381" s="8">
        <f t="shared" si="1"/>
        <v>409.78</v>
      </c>
      <c r="J1381" s="8">
        <f t="shared" si="2"/>
        <v>-98.1072</v>
      </c>
      <c r="K1381" s="8" t="str">
        <f t="shared" si="3"/>
        <v>Apr</v>
      </c>
      <c r="L1381" s="8">
        <f t="shared" si="4"/>
        <v>2028</v>
      </c>
      <c r="N1381" s="8" t="str">
        <f t="array" ref="N1381">XLOOKUP(C1381,Customer_Dim!A:A,Customer_Dim!B:B,"Not Found")</f>
        <v>Frank Stewart</v>
      </c>
      <c r="O1381" s="8" t="str">
        <f t="array" ref="O1381">XLOOKUP(C1381,Customer_Dim!A:A,Customer_Dim!E:E,"Not Found")</f>
        <v>Fischerborough</v>
      </c>
      <c r="P1381" s="8" t="str">
        <f t="array" ref="P1381">XLOOKUP(D1381,Product_Dim!A:A,Product_Dim!B:B,"Not Found")</f>
        <v>Car Dashboard Phone Holder</v>
      </c>
      <c r="Q1381" s="8" t="str">
        <f t="array" ref="Q1381">XLOOKUP(D1381,Product_Dim!A:A,Product_Dim!C:C,"Not Found")</f>
        <v>Electronics</v>
      </c>
      <c r="R1381" s="8" t="str">
        <f t="array" ref="R1381">XLOOKUP(E1381,Store_Dim!A:A,Store_Dim!B:B,"Not Found")</f>
        <v>North</v>
      </c>
      <c r="S1381" s="8" t="str">
        <f t="array" ref="S1381">XLOOKUP(E1381,Store_Dim!A:A,Store_Dim!D:D,"Not Found")</f>
        <v>Flagship</v>
      </c>
    </row>
    <row r="1382" ht="14.25" customHeight="1">
      <c r="A1382" s="8" t="s">
        <v>3335</v>
      </c>
      <c r="B1382" s="12">
        <v>46860.0</v>
      </c>
      <c r="C1382" s="8" t="s">
        <v>335</v>
      </c>
      <c r="D1382" s="8" t="s">
        <v>1784</v>
      </c>
      <c r="E1382" s="8" t="s">
        <v>1932</v>
      </c>
      <c r="F1382" s="8">
        <v>2.0</v>
      </c>
      <c r="G1382" s="8">
        <v>546.41</v>
      </c>
      <c r="H1382" s="8">
        <v>0.08</v>
      </c>
      <c r="I1382" s="8">
        <f t="shared" si="1"/>
        <v>1092.82</v>
      </c>
      <c r="J1382" s="8">
        <f t="shared" si="2"/>
        <v>-87.3456</v>
      </c>
      <c r="K1382" s="8" t="str">
        <f t="shared" si="3"/>
        <v>Apr</v>
      </c>
      <c r="L1382" s="8">
        <f t="shared" si="4"/>
        <v>2028</v>
      </c>
      <c r="N1382" s="8" t="str">
        <f t="array" ref="N1382">XLOOKUP(C1382,Customer_Dim!A:A,Customer_Dim!B:B,"Not Found")</f>
        <v>Oscar Moon</v>
      </c>
      <c r="O1382" s="8" t="str">
        <f t="array" ref="O1382">XLOOKUP(C1382,Customer_Dim!A:A,Customer_Dim!E:E,"Not Found")</f>
        <v>West Cody</v>
      </c>
      <c r="P1382" s="8" t="str">
        <f t="array" ref="P1382">XLOOKUP(D1382,Product_Dim!A:A,Product_Dim!B:B,"Not Found")</f>
        <v>Adjustable Dumbbells 20kg</v>
      </c>
      <c r="Q1382" s="8" t="str">
        <f t="array" ref="Q1382">XLOOKUP(D1382,Product_Dim!A:A,Product_Dim!C:C,"Not Found")</f>
        <v>Sports</v>
      </c>
      <c r="R1382" s="8" t="str">
        <f t="array" ref="R1382">XLOOKUP(E1382,Store_Dim!A:A,Store_Dim!B:B,"Not Found")</f>
        <v>South</v>
      </c>
      <c r="S1382" s="8" t="str">
        <f t="array" ref="S1382">XLOOKUP(E1382,Store_Dim!A:A,Store_Dim!D:D,"Not Found")</f>
        <v>Outlet</v>
      </c>
    </row>
    <row r="1383" ht="14.25" customHeight="1">
      <c r="A1383" s="8" t="s">
        <v>3336</v>
      </c>
      <c r="B1383" s="12">
        <v>46861.0</v>
      </c>
      <c r="C1383" s="8" t="s">
        <v>221</v>
      </c>
      <c r="D1383" s="8" t="s">
        <v>1635</v>
      </c>
      <c r="E1383" s="8" t="s">
        <v>1929</v>
      </c>
      <c r="F1383" s="8">
        <v>4.0</v>
      </c>
      <c r="G1383" s="8">
        <v>455.49</v>
      </c>
      <c r="H1383" s="8">
        <v>0.17</v>
      </c>
      <c r="I1383" s="8">
        <f t="shared" si="1"/>
        <v>1821.96</v>
      </c>
      <c r="J1383" s="8">
        <f t="shared" si="2"/>
        <v>-309.5632</v>
      </c>
      <c r="K1383" s="8" t="str">
        <f t="shared" si="3"/>
        <v>Apr</v>
      </c>
      <c r="L1383" s="8">
        <f t="shared" si="4"/>
        <v>2028</v>
      </c>
      <c r="N1383" s="8" t="str">
        <f t="array" ref="N1383">XLOOKUP(C1383,Customer_Dim!A:A,Customer_Dim!B:B,"Not Found")</f>
        <v>Christopher Sutton</v>
      </c>
      <c r="O1383" s="8" t="str">
        <f t="array" ref="O1383">XLOOKUP(C1383,Customer_Dim!A:A,Customer_Dim!E:E,"Not Found")</f>
        <v>Deborahberg</v>
      </c>
      <c r="P1383" s="8" t="str">
        <f t="array" ref="P1383">XLOOKUP(D1383,Product_Dim!A:A,Product_Dim!B:B,"Not Found")</f>
        <v>Women's Denim Jeans</v>
      </c>
      <c r="Q1383" s="8" t="str">
        <f t="array" ref="Q1383">XLOOKUP(D1383,Product_Dim!A:A,Product_Dim!C:C,"Not Found")</f>
        <v>Clothing</v>
      </c>
      <c r="R1383" s="8" t="str">
        <f t="array" ref="R1383">XLOOKUP(E1383,Store_Dim!A:A,Store_Dim!B:B,"Not Found")</f>
        <v>North</v>
      </c>
      <c r="S1383" s="8" t="str">
        <f t="array" ref="S1383">XLOOKUP(E1383,Store_Dim!A:A,Store_Dim!D:D,"Not Found")</f>
        <v>Online</v>
      </c>
    </row>
    <row r="1384" ht="14.25" customHeight="1">
      <c r="A1384" s="8" t="s">
        <v>3337</v>
      </c>
      <c r="B1384" s="12">
        <v>46862.0</v>
      </c>
      <c r="C1384" s="8" t="s">
        <v>1326</v>
      </c>
      <c r="D1384" s="8" t="s">
        <v>1606</v>
      </c>
      <c r="E1384" s="8" t="s">
        <v>1935</v>
      </c>
      <c r="F1384" s="8">
        <v>2.0</v>
      </c>
      <c r="G1384" s="8">
        <v>700.27</v>
      </c>
      <c r="H1384" s="8">
        <v>0.16</v>
      </c>
      <c r="I1384" s="8">
        <f t="shared" si="1"/>
        <v>1400.54</v>
      </c>
      <c r="J1384" s="8">
        <f t="shared" si="2"/>
        <v>-223.9264</v>
      </c>
      <c r="K1384" s="8" t="str">
        <f t="shared" si="3"/>
        <v>Apr</v>
      </c>
      <c r="L1384" s="8">
        <f t="shared" si="4"/>
        <v>2028</v>
      </c>
      <c r="N1384" s="8" t="str">
        <f t="array" ref="N1384">XLOOKUP(C1384,Customer_Dim!A:A,Customer_Dim!B:B,"Not Found")</f>
        <v>Brittany Edwards DDS</v>
      </c>
      <c r="O1384" s="8" t="str">
        <f t="array" ref="O1384">XLOOKUP(C1384,Customer_Dim!A:A,Customer_Dim!E:E,"Not Found")</f>
        <v>Aliciahaven</v>
      </c>
      <c r="P1384" s="8" t="str">
        <f t="array" ref="P1384">XLOOKUP(D1384,Product_Dim!A:A,Product_Dim!B:B,"Not Found")</f>
        <v>Ceramic Kitchen Bowl Set</v>
      </c>
      <c r="Q1384" s="8" t="str">
        <f t="array" ref="Q1384">XLOOKUP(D1384,Product_Dim!A:A,Product_Dim!C:C,"Not Found")</f>
        <v>Home</v>
      </c>
      <c r="R1384" s="8" t="str">
        <f t="array" ref="R1384">XLOOKUP(E1384,Store_Dim!A:A,Store_Dim!B:B,"Not Found")</f>
        <v>West</v>
      </c>
      <c r="S1384" s="8" t="str">
        <f t="array" ref="S1384">XLOOKUP(E1384,Store_Dim!A:A,Store_Dim!D:D,"Not Found")</f>
        <v>Flagship</v>
      </c>
    </row>
    <row r="1385" ht="14.25" customHeight="1">
      <c r="A1385" s="8" t="s">
        <v>3338</v>
      </c>
      <c r="B1385" s="12">
        <v>46863.0</v>
      </c>
      <c r="C1385" s="8" t="s">
        <v>1098</v>
      </c>
      <c r="D1385" s="8" t="s">
        <v>1836</v>
      </c>
      <c r="E1385" s="8" t="s">
        <v>1937</v>
      </c>
      <c r="F1385" s="8">
        <v>2.0</v>
      </c>
      <c r="G1385" s="8">
        <v>160.21</v>
      </c>
      <c r="H1385" s="8">
        <v>0.09</v>
      </c>
      <c r="I1385" s="8">
        <f t="shared" si="1"/>
        <v>320.42</v>
      </c>
      <c r="J1385" s="8">
        <f t="shared" si="2"/>
        <v>-28.7478</v>
      </c>
      <c r="K1385" s="8" t="str">
        <f t="shared" si="3"/>
        <v>Apr</v>
      </c>
      <c r="L1385" s="8">
        <f t="shared" si="4"/>
        <v>2028</v>
      </c>
      <c r="N1385" s="8" t="str">
        <f t="array" ref="N1385">XLOOKUP(C1385,Customer_Dim!A:A,Customer_Dim!B:B,"Not Found")</f>
        <v>Daniel Nelson</v>
      </c>
      <c r="O1385" s="8" t="str">
        <f t="array" ref="O1385">XLOOKUP(C1385,Customer_Dim!A:A,Customer_Dim!E:E,"Not Found")</f>
        <v>North Jonathan</v>
      </c>
      <c r="P1385" s="8" t="str">
        <f t="array" ref="P1385">XLOOKUP(D1385,Product_Dim!A:A,Product_Dim!B:B,"Not Found")</f>
        <v>Fitness Resistance Bands</v>
      </c>
      <c r="Q1385" s="8" t="str">
        <f t="array" ref="Q1385">XLOOKUP(D1385,Product_Dim!A:A,Product_Dim!C:C,"Not Found")</f>
        <v>Sports</v>
      </c>
      <c r="R1385" s="8" t="str">
        <f t="array" ref="R1385">XLOOKUP(E1385,Store_Dim!A:A,Store_Dim!B:B,"Not Found")</f>
        <v>North</v>
      </c>
      <c r="S1385" s="8" t="str">
        <f t="array" ref="S1385">XLOOKUP(E1385,Store_Dim!A:A,Store_Dim!D:D,"Not Found")</f>
        <v>Flagship</v>
      </c>
    </row>
    <row r="1386" ht="14.25" customHeight="1">
      <c r="A1386" s="8" t="s">
        <v>3339</v>
      </c>
      <c r="B1386" s="12">
        <v>46864.0</v>
      </c>
      <c r="C1386" s="8" t="s">
        <v>137</v>
      </c>
      <c r="D1386" s="8" t="s">
        <v>1728</v>
      </c>
      <c r="E1386" s="8" t="s">
        <v>1928</v>
      </c>
      <c r="F1386" s="8">
        <v>1.0</v>
      </c>
      <c r="G1386" s="8">
        <v>713.63</v>
      </c>
      <c r="H1386" s="8">
        <v>0.28</v>
      </c>
      <c r="I1386" s="8">
        <f t="shared" si="1"/>
        <v>713.63</v>
      </c>
      <c r="J1386" s="8">
        <f t="shared" si="2"/>
        <v>-199.5364</v>
      </c>
      <c r="K1386" s="8" t="str">
        <f t="shared" si="3"/>
        <v>Apr</v>
      </c>
      <c r="L1386" s="8">
        <f t="shared" si="4"/>
        <v>2028</v>
      </c>
      <c r="N1386" s="8" t="str">
        <f t="array" ref="N1386">XLOOKUP(C1386,Customer_Dim!A:A,Customer_Dim!B:B,"Not Found")</f>
        <v>Sarah Vance</v>
      </c>
      <c r="O1386" s="8" t="str">
        <f t="array" ref="O1386">XLOOKUP(C1386,Customer_Dim!A:A,Customer_Dim!E:E,"Not Found")</f>
        <v>Johnsonville</v>
      </c>
      <c r="P1386" s="8" t="str">
        <f t="array" ref="P1386">XLOOKUP(D1386,Product_Dim!A:A,Product_Dim!B:B,"Not Found")</f>
        <v>Makeup Brush Set</v>
      </c>
      <c r="Q1386" s="8" t="str">
        <f t="array" ref="Q1386">XLOOKUP(D1386,Product_Dim!A:A,Product_Dim!C:C,"Not Found")</f>
        <v>Beauty</v>
      </c>
      <c r="R1386" s="8" t="str">
        <f t="array" ref="R1386">XLOOKUP(E1386,Store_Dim!A:A,Store_Dim!B:B,"Not Found")</f>
        <v>South</v>
      </c>
      <c r="S1386" s="8" t="str">
        <f t="array" ref="S1386">XLOOKUP(E1386,Store_Dim!A:A,Store_Dim!D:D,"Not Found")</f>
        <v>Online</v>
      </c>
    </row>
    <row r="1387" ht="14.25" customHeight="1">
      <c r="A1387" s="8" t="s">
        <v>3340</v>
      </c>
      <c r="B1387" s="12">
        <v>46865.0</v>
      </c>
      <c r="C1387" s="8" t="s">
        <v>747</v>
      </c>
      <c r="D1387" s="8" t="s">
        <v>1869</v>
      </c>
      <c r="E1387" s="8" t="s">
        <v>1919</v>
      </c>
      <c r="F1387" s="8">
        <v>2.0</v>
      </c>
      <c r="G1387" s="8">
        <v>224.69</v>
      </c>
      <c r="H1387" s="8">
        <v>0.2</v>
      </c>
      <c r="I1387" s="8">
        <f t="shared" si="1"/>
        <v>449.38</v>
      </c>
      <c r="J1387" s="8">
        <f t="shared" si="2"/>
        <v>-89.676</v>
      </c>
      <c r="K1387" s="8" t="str">
        <f t="shared" si="3"/>
        <v>Apr</v>
      </c>
      <c r="L1387" s="8">
        <f t="shared" si="4"/>
        <v>2028</v>
      </c>
      <c r="N1387" s="8" t="str">
        <f t="array" ref="N1387">XLOOKUP(C1387,Customer_Dim!A:A,Customer_Dim!B:B,"Not Found")</f>
        <v>Gregory Pham</v>
      </c>
      <c r="O1387" s="8" t="str">
        <f t="array" ref="O1387">XLOOKUP(C1387,Customer_Dim!A:A,Customer_Dim!E:E,"Not Found")</f>
        <v>Pollardton</v>
      </c>
      <c r="P1387" s="8" t="str">
        <f t="array" ref="P1387">XLOOKUP(D1387,Product_Dim!A:A,Product_Dim!B:B,"Not Found")</f>
        <v>USB-C Laptop Charger</v>
      </c>
      <c r="Q1387" s="8" t="str">
        <f t="array" ref="Q1387">XLOOKUP(D1387,Product_Dim!A:A,Product_Dim!C:C,"Not Found")</f>
        <v>Electronics</v>
      </c>
      <c r="R1387" s="8" t="str">
        <f t="array" ref="R1387">XLOOKUP(E1387,Store_Dim!A:A,Store_Dim!B:B,"Not Found")</f>
        <v>South</v>
      </c>
      <c r="S1387" s="8" t="str">
        <f t="array" ref="S1387">XLOOKUP(E1387,Store_Dim!A:A,Store_Dim!D:D,"Not Found")</f>
        <v>Online</v>
      </c>
    </row>
    <row r="1388" ht="14.25" customHeight="1">
      <c r="A1388" s="8" t="s">
        <v>3341</v>
      </c>
      <c r="B1388" s="12">
        <v>46866.0</v>
      </c>
      <c r="C1388" s="8" t="s">
        <v>1416</v>
      </c>
      <c r="D1388" s="8" t="s">
        <v>1642</v>
      </c>
      <c r="E1388" s="8" t="s">
        <v>1932</v>
      </c>
      <c r="F1388" s="8">
        <v>2.0</v>
      </c>
      <c r="G1388" s="8">
        <v>740.57</v>
      </c>
      <c r="H1388" s="8">
        <v>0.06</v>
      </c>
      <c r="I1388" s="8">
        <f t="shared" si="1"/>
        <v>1481.14</v>
      </c>
      <c r="J1388" s="8">
        <f t="shared" si="2"/>
        <v>-88.8084</v>
      </c>
      <c r="K1388" s="8" t="str">
        <f t="shared" si="3"/>
        <v>Apr</v>
      </c>
      <c r="L1388" s="8">
        <f t="shared" si="4"/>
        <v>2028</v>
      </c>
      <c r="N1388" s="8" t="str">
        <f t="array" ref="N1388">XLOOKUP(C1388,Customer_Dim!A:A,Customer_Dim!B:B,"Not Found")</f>
        <v>April Phillips</v>
      </c>
      <c r="O1388" s="8" t="str">
        <f t="array" ref="O1388">XLOOKUP(C1388,Customer_Dim!A:A,Customer_Dim!E:E,"Not Found")</f>
        <v>Lake Carolyn</v>
      </c>
      <c r="P1388" s="8" t="str">
        <f t="array" ref="P1388">XLOOKUP(D1388,Product_Dim!A:A,Product_Dim!B:B,"Not Found")</f>
        <v>Outdoor Sports Water Bottle</v>
      </c>
      <c r="Q1388" s="8" t="str">
        <f t="array" ref="Q1388">XLOOKUP(D1388,Product_Dim!A:A,Product_Dim!C:C,"Not Found")</f>
        <v>Sports</v>
      </c>
      <c r="R1388" s="8" t="str">
        <f t="array" ref="R1388">XLOOKUP(E1388,Store_Dim!A:A,Store_Dim!B:B,"Not Found")</f>
        <v>South</v>
      </c>
      <c r="S1388" s="8" t="str">
        <f t="array" ref="S1388">XLOOKUP(E1388,Store_Dim!A:A,Store_Dim!D:D,"Not Found")</f>
        <v>Outlet</v>
      </c>
    </row>
    <row r="1389" ht="14.25" customHeight="1">
      <c r="A1389" s="8" t="s">
        <v>3342</v>
      </c>
      <c r="B1389" s="12">
        <v>46867.0</v>
      </c>
      <c r="C1389" s="8" t="s">
        <v>493</v>
      </c>
      <c r="D1389" s="8" t="s">
        <v>1610</v>
      </c>
      <c r="E1389" s="8" t="s">
        <v>1910</v>
      </c>
      <c r="F1389" s="8">
        <v>3.0</v>
      </c>
      <c r="G1389" s="8">
        <v>250.14</v>
      </c>
      <c r="H1389" s="8">
        <v>0.23</v>
      </c>
      <c r="I1389" s="8">
        <f t="shared" si="1"/>
        <v>750.42</v>
      </c>
      <c r="J1389" s="8">
        <f t="shared" si="2"/>
        <v>-172.3666</v>
      </c>
      <c r="K1389" s="8" t="str">
        <f t="shared" si="3"/>
        <v>Apr</v>
      </c>
      <c r="L1389" s="8">
        <f t="shared" si="4"/>
        <v>2028</v>
      </c>
      <c r="N1389" s="8" t="str">
        <f t="array" ref="N1389">XLOOKUP(C1389,Customer_Dim!A:A,Customer_Dim!B:B,"Not Found")</f>
        <v>Maria Ramirez</v>
      </c>
      <c r="O1389" s="8" t="str">
        <f t="array" ref="O1389">XLOOKUP(C1389,Customer_Dim!A:A,Customer_Dim!E:E,"Not Found")</f>
        <v>West Brandon</v>
      </c>
      <c r="P1389" s="8" t="str">
        <f t="array" ref="P1389">XLOOKUP(D1389,Product_Dim!A:A,Product_Dim!B:B,"Not Found")</f>
        <v>HD Smart TV Stick</v>
      </c>
      <c r="Q1389" s="8" t="str">
        <f t="array" ref="Q1389">XLOOKUP(D1389,Product_Dim!A:A,Product_Dim!C:C,"Not Found")</f>
        <v>Electronics</v>
      </c>
      <c r="R1389" s="8" t="str">
        <f t="array" ref="R1389">XLOOKUP(E1389,Store_Dim!A:A,Store_Dim!B:B,"Not Found")</f>
        <v>North</v>
      </c>
      <c r="S1389" s="8" t="str">
        <f t="array" ref="S1389">XLOOKUP(E1389,Store_Dim!A:A,Store_Dim!D:D,"Not Found")</f>
        <v>Outlet</v>
      </c>
    </row>
    <row r="1390" ht="14.25" customHeight="1">
      <c r="A1390" s="8" t="s">
        <v>3343</v>
      </c>
      <c r="B1390" s="12">
        <v>46868.0</v>
      </c>
      <c r="C1390" s="8" t="s">
        <v>98</v>
      </c>
      <c r="D1390" s="8" t="s">
        <v>1884</v>
      </c>
      <c r="E1390" s="8" t="s">
        <v>1941</v>
      </c>
      <c r="F1390" s="8">
        <v>3.0</v>
      </c>
      <c r="G1390" s="8">
        <v>34.97</v>
      </c>
      <c r="H1390" s="8">
        <v>0.01</v>
      </c>
      <c r="I1390" s="8">
        <f t="shared" si="1"/>
        <v>104.91</v>
      </c>
      <c r="J1390" s="8">
        <f t="shared" si="2"/>
        <v>-1.0391</v>
      </c>
      <c r="K1390" s="8" t="str">
        <f t="shared" si="3"/>
        <v>Apr</v>
      </c>
      <c r="L1390" s="8">
        <f t="shared" si="4"/>
        <v>2028</v>
      </c>
      <c r="N1390" s="8" t="str">
        <f t="array" ref="N1390">XLOOKUP(C1390,Customer_Dim!A:A,Customer_Dim!B:B,"Not Found")</f>
        <v>Bridget Allen</v>
      </c>
      <c r="O1390" s="8" t="str">
        <f t="array" ref="O1390">XLOOKUP(C1390,Customer_Dim!A:A,Customer_Dim!E:E,"Not Found")</f>
        <v>Lake Shaneburgh</v>
      </c>
      <c r="P1390" s="8" t="str">
        <f t="array" ref="P1390">XLOOKUP(D1390,Product_Dim!A:A,Product_Dim!B:B,"Not Found")</f>
        <v>Portable Bluetooth Speaker</v>
      </c>
      <c r="Q1390" s="8" t="str">
        <f t="array" ref="Q1390">XLOOKUP(D1390,Product_Dim!A:A,Product_Dim!C:C,"Not Found")</f>
        <v>Electronics</v>
      </c>
      <c r="R1390" s="8" t="str">
        <f t="array" ref="R1390">XLOOKUP(E1390,Store_Dim!A:A,Store_Dim!B:B,"Not Found")</f>
        <v>East</v>
      </c>
      <c r="S1390" s="8" t="str">
        <f t="array" ref="S1390">XLOOKUP(E1390,Store_Dim!A:A,Store_Dim!D:D,"Not Found")</f>
        <v>Online</v>
      </c>
    </row>
    <row r="1391" ht="14.25" customHeight="1">
      <c r="A1391" s="8" t="s">
        <v>3344</v>
      </c>
      <c r="B1391" s="12">
        <v>46869.0</v>
      </c>
      <c r="C1391" s="8" t="s">
        <v>975</v>
      </c>
      <c r="D1391" s="8" t="s">
        <v>1713</v>
      </c>
      <c r="E1391" s="8" t="s">
        <v>1935</v>
      </c>
      <c r="F1391" s="8">
        <v>1.0</v>
      </c>
      <c r="G1391" s="8">
        <v>653.91</v>
      </c>
      <c r="H1391" s="8">
        <v>0.3</v>
      </c>
      <c r="I1391" s="8">
        <f t="shared" si="1"/>
        <v>653.91</v>
      </c>
      <c r="J1391" s="8">
        <f t="shared" si="2"/>
        <v>-195.873</v>
      </c>
      <c r="K1391" s="8" t="str">
        <f t="shared" si="3"/>
        <v>Apr</v>
      </c>
      <c r="L1391" s="8">
        <f t="shared" si="4"/>
        <v>2028</v>
      </c>
      <c r="N1391" s="8" t="str">
        <f t="array" ref="N1391">XLOOKUP(C1391,Customer_Dim!A:A,Customer_Dim!B:B,"Not Found")</f>
        <v>Miss Alexandria Li DVM</v>
      </c>
      <c r="O1391" s="8" t="str">
        <f t="array" ref="O1391">XLOOKUP(C1391,Customer_Dim!A:A,Customer_Dim!E:E,"Not Found")</f>
        <v>Port Jenniferton</v>
      </c>
      <c r="P1391" s="8" t="str">
        <f t="array" ref="P1391">XLOOKUP(D1391,Product_Dim!A:A,Product_Dim!B:B,"Not Found")</f>
        <v>Smart Home WiFi Camera</v>
      </c>
      <c r="Q1391" s="8" t="str">
        <f t="array" ref="Q1391">XLOOKUP(D1391,Product_Dim!A:A,Product_Dim!C:C,"Not Found")</f>
        <v>Electronics</v>
      </c>
      <c r="R1391" s="8" t="str">
        <f t="array" ref="R1391">XLOOKUP(E1391,Store_Dim!A:A,Store_Dim!B:B,"Not Found")</f>
        <v>West</v>
      </c>
      <c r="S1391" s="8" t="str">
        <f t="array" ref="S1391">XLOOKUP(E1391,Store_Dim!A:A,Store_Dim!D:D,"Not Found")</f>
        <v>Flagship</v>
      </c>
    </row>
    <row r="1392" ht="14.25" customHeight="1">
      <c r="A1392" s="8" t="s">
        <v>3345</v>
      </c>
      <c r="B1392" s="12">
        <v>46870.0</v>
      </c>
      <c r="C1392" s="8" t="s">
        <v>1152</v>
      </c>
      <c r="D1392" s="8" t="s">
        <v>1787</v>
      </c>
      <c r="E1392" s="8" t="s">
        <v>1910</v>
      </c>
      <c r="F1392" s="8">
        <v>1.0</v>
      </c>
      <c r="G1392" s="8">
        <v>997.87</v>
      </c>
      <c r="H1392" s="8">
        <v>0.24</v>
      </c>
      <c r="I1392" s="8">
        <f t="shared" si="1"/>
        <v>997.87</v>
      </c>
      <c r="J1392" s="8">
        <f t="shared" si="2"/>
        <v>-239.2488</v>
      </c>
      <c r="K1392" s="8" t="str">
        <f t="shared" si="3"/>
        <v>Apr</v>
      </c>
      <c r="L1392" s="8">
        <f t="shared" si="4"/>
        <v>2028</v>
      </c>
      <c r="N1392" s="8" t="str">
        <f t="array" ref="N1392">XLOOKUP(C1392,Customer_Dim!A:A,Customer_Dim!B:B,"Not Found")</f>
        <v>Elizabeth Smith</v>
      </c>
      <c r="O1392" s="8" t="str">
        <f t="array" ref="O1392">XLOOKUP(C1392,Customer_Dim!A:A,Customer_Dim!E:E,"Not Found")</f>
        <v>Murphytown</v>
      </c>
      <c r="P1392" s="8" t="str">
        <f t="array" ref="P1392">XLOOKUP(D1392,Product_Dim!A:A,Product_Dim!B:B,"Not Found")</f>
        <v>Women's Hair Dryer Brush</v>
      </c>
      <c r="Q1392" s="8" t="str">
        <f t="array" ref="Q1392">XLOOKUP(D1392,Product_Dim!A:A,Product_Dim!C:C,"Not Found")</f>
        <v>Beauty</v>
      </c>
      <c r="R1392" s="8" t="str">
        <f t="array" ref="R1392">XLOOKUP(E1392,Store_Dim!A:A,Store_Dim!B:B,"Not Found")</f>
        <v>North</v>
      </c>
      <c r="S1392" s="8" t="str">
        <f t="array" ref="S1392">XLOOKUP(E1392,Store_Dim!A:A,Store_Dim!D:D,"Not Found")</f>
        <v>Outlet</v>
      </c>
    </row>
    <row r="1393" ht="14.25" customHeight="1">
      <c r="A1393" s="8" t="s">
        <v>3346</v>
      </c>
      <c r="B1393" s="12">
        <v>46871.0</v>
      </c>
      <c r="C1393" s="8" t="s">
        <v>690</v>
      </c>
      <c r="D1393" s="8" t="s">
        <v>1857</v>
      </c>
      <c r="E1393" s="8" t="s">
        <v>1932</v>
      </c>
      <c r="F1393" s="8">
        <v>1.0</v>
      </c>
      <c r="G1393" s="8">
        <v>174.27</v>
      </c>
      <c r="H1393" s="8">
        <v>0.27</v>
      </c>
      <c r="I1393" s="8">
        <f t="shared" si="1"/>
        <v>174.27</v>
      </c>
      <c r="J1393" s="8">
        <f t="shared" si="2"/>
        <v>-46.7829</v>
      </c>
      <c r="K1393" s="8" t="str">
        <f t="shared" si="3"/>
        <v>Apr</v>
      </c>
      <c r="L1393" s="8">
        <f t="shared" si="4"/>
        <v>2028</v>
      </c>
      <c r="N1393" s="8" t="str">
        <f t="array" ref="N1393">XLOOKUP(C1393,Customer_Dim!A:A,Customer_Dim!B:B,"Not Found")</f>
        <v>John Perez</v>
      </c>
      <c r="O1393" s="8" t="str">
        <f t="array" ref="O1393">XLOOKUP(C1393,Customer_Dim!A:A,Customer_Dim!E:E,"Not Found")</f>
        <v>Kathrynview</v>
      </c>
      <c r="P1393" s="8" t="str">
        <f t="array" ref="P1393">XLOOKUP(D1393,Product_Dim!A:A,Product_Dim!B:B,"Not Found")</f>
        <v>Face Foundation Kit</v>
      </c>
      <c r="Q1393" s="8" t="str">
        <f t="array" ref="Q1393">XLOOKUP(D1393,Product_Dim!A:A,Product_Dim!C:C,"Not Found")</f>
        <v>Beauty</v>
      </c>
      <c r="R1393" s="8" t="str">
        <f t="array" ref="R1393">XLOOKUP(E1393,Store_Dim!A:A,Store_Dim!B:B,"Not Found")</f>
        <v>South</v>
      </c>
      <c r="S1393" s="8" t="str">
        <f t="array" ref="S1393">XLOOKUP(E1393,Store_Dim!A:A,Store_Dim!D:D,"Not Found")</f>
        <v>Outlet</v>
      </c>
    </row>
    <row r="1394" ht="14.25" customHeight="1">
      <c r="A1394" s="8" t="s">
        <v>3347</v>
      </c>
      <c r="B1394" s="12">
        <v>46872.0</v>
      </c>
      <c r="C1394" s="8" t="s">
        <v>412</v>
      </c>
      <c r="D1394" s="8" t="s">
        <v>1735</v>
      </c>
      <c r="E1394" s="8" t="s">
        <v>1919</v>
      </c>
      <c r="F1394" s="8">
        <v>3.0</v>
      </c>
      <c r="G1394" s="8">
        <v>847.44</v>
      </c>
      <c r="H1394" s="8">
        <v>0.17</v>
      </c>
      <c r="I1394" s="8">
        <f t="shared" si="1"/>
        <v>2542.32</v>
      </c>
      <c r="J1394" s="8">
        <f t="shared" si="2"/>
        <v>-432.0244</v>
      </c>
      <c r="K1394" s="8" t="str">
        <f t="shared" si="3"/>
        <v>Apr</v>
      </c>
      <c r="L1394" s="8">
        <f t="shared" si="4"/>
        <v>2028</v>
      </c>
      <c r="N1394" s="8" t="str">
        <f t="array" ref="N1394">XLOOKUP(C1394,Customer_Dim!A:A,Customer_Dim!B:B,"Not Found")</f>
        <v>Tyler Conrad</v>
      </c>
      <c r="O1394" s="8" t="str">
        <f t="array" ref="O1394">XLOOKUP(C1394,Customer_Dim!A:A,Customer_Dim!E:E,"Not Found")</f>
        <v>North Curtischester</v>
      </c>
      <c r="P1394" s="8" t="str">
        <f t="array" ref="P1394">XLOOKUP(D1394,Product_Dim!A:A,Product_Dim!B:B,"Not Found")</f>
        <v>Men's Roll-On Perfume</v>
      </c>
      <c r="Q1394" s="8" t="str">
        <f t="array" ref="Q1394">XLOOKUP(D1394,Product_Dim!A:A,Product_Dim!C:C,"Not Found")</f>
        <v>Beauty</v>
      </c>
      <c r="R1394" s="8" t="str">
        <f t="array" ref="R1394">XLOOKUP(E1394,Store_Dim!A:A,Store_Dim!B:B,"Not Found")</f>
        <v>South</v>
      </c>
      <c r="S1394" s="8" t="str">
        <f t="array" ref="S1394">XLOOKUP(E1394,Store_Dim!A:A,Store_Dim!D:D,"Not Found")</f>
        <v>Online</v>
      </c>
    </row>
    <row r="1395" ht="14.25" customHeight="1">
      <c r="A1395" s="8" t="s">
        <v>3348</v>
      </c>
      <c r="B1395" s="12">
        <v>46873.0</v>
      </c>
      <c r="C1395" s="8" t="s">
        <v>1344</v>
      </c>
      <c r="D1395" s="8" t="s">
        <v>1572</v>
      </c>
      <c r="E1395" s="8" t="s">
        <v>1906</v>
      </c>
      <c r="F1395" s="8">
        <v>1.0</v>
      </c>
      <c r="G1395" s="8">
        <v>493.45</v>
      </c>
      <c r="H1395" s="8">
        <v>0.09</v>
      </c>
      <c r="I1395" s="8">
        <f t="shared" si="1"/>
        <v>493.45</v>
      </c>
      <c r="J1395" s="8">
        <f t="shared" si="2"/>
        <v>-44.3205</v>
      </c>
      <c r="K1395" s="8" t="str">
        <f t="shared" si="3"/>
        <v>Apr</v>
      </c>
      <c r="L1395" s="8">
        <f t="shared" si="4"/>
        <v>2028</v>
      </c>
      <c r="N1395" s="8" t="str">
        <f t="array" ref="N1395">XLOOKUP(C1395,Customer_Dim!A:A,Customer_Dim!B:B,"Not Found")</f>
        <v>Samuel Mullins</v>
      </c>
      <c r="O1395" s="8" t="str">
        <f t="array" ref="O1395">XLOOKUP(C1395,Customer_Dim!A:A,Customer_Dim!E:E,"Not Found")</f>
        <v>Hartmouth</v>
      </c>
      <c r="P1395" s="8" t="str">
        <f t="array" ref="P1395">XLOOKUP(D1395,Product_Dim!A:A,Product_Dim!B:B,"Not Found")</f>
        <v>Women's Casual Hoodie</v>
      </c>
      <c r="Q1395" s="8" t="str">
        <f t="array" ref="Q1395">XLOOKUP(D1395,Product_Dim!A:A,Product_Dim!C:C,"Not Found")</f>
        <v>Clothing</v>
      </c>
      <c r="R1395" s="8" t="str">
        <f t="array" ref="R1395">XLOOKUP(E1395,Store_Dim!A:A,Store_Dim!B:B,"Not Found")</f>
        <v>South</v>
      </c>
      <c r="S1395" s="8" t="str">
        <f t="array" ref="S1395">XLOOKUP(E1395,Store_Dim!A:A,Store_Dim!D:D,"Not Found")</f>
        <v>Outlet</v>
      </c>
    </row>
    <row r="1396" ht="14.25" customHeight="1">
      <c r="A1396" s="8" t="s">
        <v>3349</v>
      </c>
      <c r="B1396" s="12">
        <v>46874.0</v>
      </c>
      <c r="C1396" s="8" t="s">
        <v>761</v>
      </c>
      <c r="D1396" s="8" t="s">
        <v>1775</v>
      </c>
      <c r="E1396" s="8" t="s">
        <v>1906</v>
      </c>
      <c r="F1396" s="8">
        <v>4.0</v>
      </c>
      <c r="G1396" s="8">
        <v>111.66</v>
      </c>
      <c r="H1396" s="8">
        <v>0.14</v>
      </c>
      <c r="I1396" s="8">
        <f t="shared" si="1"/>
        <v>446.64</v>
      </c>
      <c r="J1396" s="8">
        <f t="shared" si="2"/>
        <v>-62.3896</v>
      </c>
      <c r="K1396" s="8" t="str">
        <f t="shared" si="3"/>
        <v>May</v>
      </c>
      <c r="L1396" s="8">
        <f t="shared" si="4"/>
        <v>2028</v>
      </c>
      <c r="N1396" s="8" t="str">
        <f t="array" ref="N1396">XLOOKUP(C1396,Customer_Dim!A:A,Customer_Dim!B:B,"Not Found")</f>
        <v>Christy Hill</v>
      </c>
      <c r="O1396" s="8" t="str">
        <f t="array" ref="O1396">XLOOKUP(C1396,Customer_Dim!A:A,Customer_Dim!E:E,"Not Found")</f>
        <v>Tammyton</v>
      </c>
      <c r="P1396" s="8" t="str">
        <f t="array" ref="P1396">XLOOKUP(D1396,Product_Dim!A:A,Product_Dim!B:B,"Not Found")</f>
        <v>Laptop Cooling Pad</v>
      </c>
      <c r="Q1396" s="8" t="str">
        <f t="array" ref="Q1396">XLOOKUP(D1396,Product_Dim!A:A,Product_Dim!C:C,"Not Found")</f>
        <v>Electronics</v>
      </c>
      <c r="R1396" s="8" t="str">
        <f t="array" ref="R1396">XLOOKUP(E1396,Store_Dim!A:A,Store_Dim!B:B,"Not Found")</f>
        <v>South</v>
      </c>
      <c r="S1396" s="8" t="str">
        <f t="array" ref="S1396">XLOOKUP(E1396,Store_Dim!A:A,Store_Dim!D:D,"Not Found")</f>
        <v>Outlet</v>
      </c>
    </row>
    <row r="1397" ht="14.25" customHeight="1">
      <c r="A1397" s="8" t="s">
        <v>3350</v>
      </c>
      <c r="B1397" s="12">
        <v>46875.0</v>
      </c>
      <c r="C1397" s="8" t="s">
        <v>899</v>
      </c>
      <c r="D1397" s="8" t="s">
        <v>1860</v>
      </c>
      <c r="E1397" s="8" t="s">
        <v>1928</v>
      </c>
      <c r="F1397" s="8">
        <v>1.0</v>
      </c>
      <c r="G1397" s="8">
        <v>413.65</v>
      </c>
      <c r="H1397" s="8">
        <v>0.1</v>
      </c>
      <c r="I1397" s="8">
        <f t="shared" si="1"/>
        <v>413.65</v>
      </c>
      <c r="J1397" s="8">
        <f t="shared" si="2"/>
        <v>-41.265</v>
      </c>
      <c r="K1397" s="8" t="str">
        <f t="shared" si="3"/>
        <v>May</v>
      </c>
      <c r="L1397" s="8">
        <f t="shared" si="4"/>
        <v>2028</v>
      </c>
      <c r="N1397" s="8" t="str">
        <f t="array" ref="N1397">XLOOKUP(C1397,Customer_Dim!A:A,Customer_Dim!B:B,"Not Found")</f>
        <v>Stephen Fowler</v>
      </c>
      <c r="O1397" s="8" t="str">
        <f t="array" ref="O1397">XLOOKUP(C1397,Customer_Dim!A:A,Customer_Dim!E:E,"Not Found")</f>
        <v>Port Mariastad</v>
      </c>
      <c r="P1397" s="8" t="str">
        <f t="array" ref="P1397">XLOOKUP(D1397,Product_Dim!A:A,Product_Dim!B:B,"Not Found")</f>
        <v>Gaming Mouse Pad XL</v>
      </c>
      <c r="Q1397" s="8" t="str">
        <f t="array" ref="Q1397">XLOOKUP(D1397,Product_Dim!A:A,Product_Dim!C:C,"Not Found")</f>
        <v>Electronics</v>
      </c>
      <c r="R1397" s="8" t="str">
        <f t="array" ref="R1397">XLOOKUP(E1397,Store_Dim!A:A,Store_Dim!B:B,"Not Found")</f>
        <v>South</v>
      </c>
      <c r="S1397" s="8" t="str">
        <f t="array" ref="S1397">XLOOKUP(E1397,Store_Dim!A:A,Store_Dim!D:D,"Not Found")</f>
        <v>Online</v>
      </c>
    </row>
    <row r="1398" ht="14.25" customHeight="1">
      <c r="A1398" s="8" t="s">
        <v>3351</v>
      </c>
      <c r="B1398" s="12">
        <v>46876.0</v>
      </c>
      <c r="C1398" s="8" t="s">
        <v>1480</v>
      </c>
      <c r="D1398" s="8" t="s">
        <v>1857</v>
      </c>
      <c r="E1398" s="8" t="s">
        <v>1924</v>
      </c>
      <c r="F1398" s="8">
        <v>1.0</v>
      </c>
      <c r="G1398" s="8">
        <v>317.15</v>
      </c>
      <c r="H1398" s="8">
        <v>0.24</v>
      </c>
      <c r="I1398" s="8">
        <f t="shared" si="1"/>
        <v>317.15</v>
      </c>
      <c r="J1398" s="8">
        <f t="shared" si="2"/>
        <v>-75.876</v>
      </c>
      <c r="K1398" s="8" t="str">
        <f t="shared" si="3"/>
        <v>May</v>
      </c>
      <c r="L1398" s="8">
        <f t="shared" si="4"/>
        <v>2028</v>
      </c>
      <c r="N1398" s="8" t="str">
        <f t="array" ref="N1398">XLOOKUP(C1398,Customer_Dim!A:A,Customer_Dim!B:B,"Not Found")</f>
        <v>Barbara Berry</v>
      </c>
      <c r="O1398" s="8" t="str">
        <f t="array" ref="O1398">XLOOKUP(C1398,Customer_Dim!A:A,Customer_Dim!E:E,"Not Found")</f>
        <v>Lake Michael</v>
      </c>
      <c r="P1398" s="8" t="str">
        <f t="array" ref="P1398">XLOOKUP(D1398,Product_Dim!A:A,Product_Dim!B:B,"Not Found")</f>
        <v>Face Foundation Kit</v>
      </c>
      <c r="Q1398" s="8" t="str">
        <f t="array" ref="Q1398">XLOOKUP(D1398,Product_Dim!A:A,Product_Dim!C:C,"Not Found")</f>
        <v>Beauty</v>
      </c>
      <c r="R1398" s="8" t="str">
        <f t="array" ref="R1398">XLOOKUP(E1398,Store_Dim!A:A,Store_Dim!B:B,"Not Found")</f>
        <v>South</v>
      </c>
      <c r="S1398" s="8" t="str">
        <f t="array" ref="S1398">XLOOKUP(E1398,Store_Dim!A:A,Store_Dim!D:D,"Not Found")</f>
        <v>Flagship</v>
      </c>
    </row>
    <row r="1399" ht="14.25" customHeight="1">
      <c r="A1399" s="8" t="s">
        <v>3352</v>
      </c>
      <c r="B1399" s="12">
        <v>46877.0</v>
      </c>
      <c r="C1399" s="8" t="s">
        <v>1140</v>
      </c>
      <c r="D1399" s="8" t="s">
        <v>1854</v>
      </c>
      <c r="E1399" s="8" t="s">
        <v>1903</v>
      </c>
      <c r="F1399" s="8">
        <v>3.0</v>
      </c>
      <c r="G1399" s="8">
        <v>642.94</v>
      </c>
      <c r="H1399" s="8">
        <v>0.05</v>
      </c>
      <c r="I1399" s="8">
        <f t="shared" si="1"/>
        <v>1928.82</v>
      </c>
      <c r="J1399" s="8">
        <f t="shared" si="2"/>
        <v>-96.391</v>
      </c>
      <c r="K1399" s="8" t="str">
        <f t="shared" si="3"/>
        <v>May</v>
      </c>
      <c r="L1399" s="8">
        <f t="shared" si="4"/>
        <v>2028</v>
      </c>
      <c r="N1399" s="8" t="str">
        <f t="array" ref="N1399">XLOOKUP(C1399,Customer_Dim!A:A,Customer_Dim!B:B,"Not Found")</f>
        <v>Melanie Lam</v>
      </c>
      <c r="O1399" s="8" t="str">
        <f t="array" ref="O1399">XLOOKUP(C1399,Customer_Dim!A:A,Customer_Dim!E:E,"Not Found")</f>
        <v>East Michaelton</v>
      </c>
      <c r="P1399" s="8" t="str">
        <f t="array" ref="P1399">XLOOKUP(D1399,Product_Dim!A:A,Product_Dim!B:B,"Not Found")</f>
        <v>Sports Wrist Sweatbands</v>
      </c>
      <c r="Q1399" s="8" t="str">
        <f t="array" ref="Q1399">XLOOKUP(D1399,Product_Dim!A:A,Product_Dim!C:C,"Not Found")</f>
        <v>Sports</v>
      </c>
      <c r="R1399" s="8" t="str">
        <f t="array" ref="R1399">XLOOKUP(E1399,Store_Dim!A:A,Store_Dim!B:B,"Not Found")</f>
        <v>North</v>
      </c>
      <c r="S1399" s="8" t="str">
        <f t="array" ref="S1399">XLOOKUP(E1399,Store_Dim!A:A,Store_Dim!D:D,"Not Found")</f>
        <v>Flagship</v>
      </c>
    </row>
    <row r="1400" ht="14.25" customHeight="1">
      <c r="A1400" s="8" t="s">
        <v>3353</v>
      </c>
      <c r="B1400" s="12">
        <v>46878.0</v>
      </c>
      <c r="C1400" s="8" t="s">
        <v>467</v>
      </c>
      <c r="D1400" s="8" t="s">
        <v>1760</v>
      </c>
      <c r="E1400" s="8" t="s">
        <v>1926</v>
      </c>
      <c r="F1400" s="8">
        <v>4.0</v>
      </c>
      <c r="G1400" s="8">
        <v>559.59</v>
      </c>
      <c r="H1400" s="8">
        <v>0.19</v>
      </c>
      <c r="I1400" s="8">
        <f t="shared" si="1"/>
        <v>2238.36</v>
      </c>
      <c r="J1400" s="8">
        <f t="shared" si="2"/>
        <v>-425.0984</v>
      </c>
      <c r="K1400" s="8" t="str">
        <f t="shared" si="3"/>
        <v>May</v>
      </c>
      <c r="L1400" s="8">
        <f t="shared" si="4"/>
        <v>2028</v>
      </c>
      <c r="N1400" s="8" t="str">
        <f t="array" ref="N1400">XLOOKUP(C1400,Customer_Dim!A:A,Customer_Dim!B:B,"Not Found")</f>
        <v>Hayley Pope</v>
      </c>
      <c r="O1400" s="8" t="str">
        <f t="array" ref="O1400">XLOOKUP(C1400,Customer_Dim!A:A,Customer_Dim!E:E,"Not Found")</f>
        <v>West Stephenville</v>
      </c>
      <c r="P1400" s="8" t="str">
        <f t="array" ref="P1400">XLOOKUP(D1400,Product_Dim!A:A,Product_Dim!B:B,"Not Found")</f>
        <v>Foam Roller</v>
      </c>
      <c r="Q1400" s="8" t="str">
        <f t="array" ref="Q1400">XLOOKUP(D1400,Product_Dim!A:A,Product_Dim!C:C,"Not Found")</f>
        <v>Sports</v>
      </c>
      <c r="R1400" s="8" t="str">
        <f t="array" ref="R1400">XLOOKUP(E1400,Store_Dim!A:A,Store_Dim!B:B,"Not Found")</f>
        <v>East</v>
      </c>
      <c r="S1400" s="8" t="str">
        <f t="array" ref="S1400">XLOOKUP(E1400,Store_Dim!A:A,Store_Dim!D:D,"Not Found")</f>
        <v>Online</v>
      </c>
    </row>
    <row r="1401" ht="14.25" customHeight="1">
      <c r="A1401" s="8" t="s">
        <v>3354</v>
      </c>
      <c r="B1401" s="12">
        <v>46879.0</v>
      </c>
      <c r="C1401" s="8" t="s">
        <v>409</v>
      </c>
      <c r="D1401" s="8" t="s">
        <v>1671</v>
      </c>
      <c r="E1401" s="8" t="s">
        <v>1939</v>
      </c>
      <c r="F1401" s="8">
        <v>1.0</v>
      </c>
      <c r="G1401" s="8">
        <v>758.54</v>
      </c>
      <c r="H1401" s="8">
        <v>0.29</v>
      </c>
      <c r="I1401" s="8">
        <f t="shared" si="1"/>
        <v>758.54</v>
      </c>
      <c r="J1401" s="8">
        <f t="shared" si="2"/>
        <v>-219.6866</v>
      </c>
      <c r="K1401" s="8" t="str">
        <f t="shared" si="3"/>
        <v>May</v>
      </c>
      <c r="L1401" s="8">
        <f t="shared" si="4"/>
        <v>2028</v>
      </c>
      <c r="N1401" s="8" t="str">
        <f t="array" ref="N1401">XLOOKUP(C1401,Customer_Dim!A:A,Customer_Dim!B:B,"Not Found")</f>
        <v>Ryan Hernandez</v>
      </c>
      <c r="O1401" s="8" t="str">
        <f t="array" ref="O1401">XLOOKUP(C1401,Customer_Dim!A:A,Customer_Dim!E:E,"Not Found")</f>
        <v>East Donna</v>
      </c>
      <c r="P1401" s="8" t="str">
        <f t="array" ref="P1401">XLOOKUP(D1401,Product_Dim!A:A,Product_Dim!B:B,"Not Found")</f>
        <v>Fabric Sofa Throw Blanket</v>
      </c>
      <c r="Q1401" s="8" t="str">
        <f t="array" ref="Q1401">XLOOKUP(D1401,Product_Dim!A:A,Product_Dim!C:C,"Not Found")</f>
        <v>Home</v>
      </c>
      <c r="R1401" s="8" t="str">
        <f t="array" ref="R1401">XLOOKUP(E1401,Store_Dim!A:A,Store_Dim!B:B,"Not Found")</f>
        <v>East</v>
      </c>
      <c r="S1401" s="8" t="str">
        <f t="array" ref="S1401">XLOOKUP(E1401,Store_Dim!A:A,Store_Dim!D:D,"Not Found")</f>
        <v>Flagship</v>
      </c>
    </row>
    <row r="1402" ht="14.25" customHeight="1">
      <c r="A1402" s="8" t="s">
        <v>3355</v>
      </c>
      <c r="B1402" s="12">
        <v>46880.0</v>
      </c>
      <c r="C1402" s="8" t="s">
        <v>1441</v>
      </c>
      <c r="D1402" s="8" t="s">
        <v>1830</v>
      </c>
      <c r="E1402" s="8" t="s">
        <v>1933</v>
      </c>
      <c r="F1402" s="8">
        <v>4.0</v>
      </c>
      <c r="G1402" s="8">
        <v>643.96</v>
      </c>
      <c r="H1402" s="8">
        <v>0.16</v>
      </c>
      <c r="I1402" s="8">
        <f t="shared" si="1"/>
        <v>2575.84</v>
      </c>
      <c r="J1402" s="8">
        <f t="shared" si="2"/>
        <v>-411.9744</v>
      </c>
      <c r="K1402" s="8" t="str">
        <f t="shared" si="3"/>
        <v>May</v>
      </c>
      <c r="L1402" s="8">
        <f t="shared" si="4"/>
        <v>2028</v>
      </c>
      <c r="N1402" s="8" t="str">
        <f t="array" ref="N1402">XLOOKUP(C1402,Customer_Dim!A:A,Customer_Dim!B:B,"Not Found")</f>
        <v>Beth Martin</v>
      </c>
      <c r="O1402" s="8" t="str">
        <f t="array" ref="O1402">XLOOKUP(C1402,Customer_Dim!A:A,Customer_Dim!E:E,"Not Found")</f>
        <v>Burkefurt</v>
      </c>
      <c r="P1402" s="8" t="str">
        <f t="array" ref="P1402">XLOOKUP(D1402,Product_Dim!A:A,Product_Dim!B:B,"Not Found")</f>
        <v>Wall-Mounted Spice Rack</v>
      </c>
      <c r="Q1402" s="8" t="str">
        <f t="array" ref="Q1402">XLOOKUP(D1402,Product_Dim!A:A,Product_Dim!C:C,"Not Found")</f>
        <v>Home</v>
      </c>
      <c r="R1402" s="8" t="str">
        <f t="array" ref="R1402">XLOOKUP(E1402,Store_Dim!A:A,Store_Dim!B:B,"Not Found")</f>
        <v>North</v>
      </c>
      <c r="S1402" s="8" t="str">
        <f t="array" ref="S1402">XLOOKUP(E1402,Store_Dim!A:A,Store_Dim!D:D,"Not Found")</f>
        <v>Flagship</v>
      </c>
    </row>
    <row r="1403" ht="14.25" customHeight="1">
      <c r="A1403" s="8" t="s">
        <v>3356</v>
      </c>
      <c r="B1403" s="12">
        <v>46881.0</v>
      </c>
      <c r="C1403" s="8" t="s">
        <v>794</v>
      </c>
      <c r="D1403" s="8" t="s">
        <v>1655</v>
      </c>
      <c r="E1403" s="8" t="s">
        <v>1924</v>
      </c>
      <c r="F1403" s="8">
        <v>1.0</v>
      </c>
      <c r="G1403" s="8">
        <v>882.73</v>
      </c>
      <c r="H1403" s="8">
        <v>0.1</v>
      </c>
      <c r="I1403" s="8">
        <f t="shared" si="1"/>
        <v>882.73</v>
      </c>
      <c r="J1403" s="8">
        <f t="shared" si="2"/>
        <v>-88.173</v>
      </c>
      <c r="K1403" s="8" t="str">
        <f t="shared" si="3"/>
        <v>May</v>
      </c>
      <c r="L1403" s="8">
        <f t="shared" si="4"/>
        <v>2028</v>
      </c>
      <c r="N1403" s="8" t="str">
        <f t="array" ref="N1403">XLOOKUP(C1403,Customer_Dim!A:A,Customer_Dim!B:B,"Not Found")</f>
        <v>Brian Hammond</v>
      </c>
      <c r="O1403" s="8" t="str">
        <f t="array" ref="O1403">XLOOKUP(C1403,Customer_Dim!A:A,Customer_Dim!E:E,"Not Found")</f>
        <v>North Nicholas</v>
      </c>
      <c r="P1403" s="8" t="str">
        <f t="array" ref="P1403">XLOOKUP(D1403,Product_Dim!A:A,Product_Dim!B:B,"Not Found")</f>
        <v>Foldable Camping Chair</v>
      </c>
      <c r="Q1403" s="8" t="str">
        <f t="array" ref="Q1403">XLOOKUP(D1403,Product_Dim!A:A,Product_Dim!C:C,"Not Found")</f>
        <v>Sports</v>
      </c>
      <c r="R1403" s="8" t="str">
        <f t="array" ref="R1403">XLOOKUP(E1403,Store_Dim!A:A,Store_Dim!B:B,"Not Found")</f>
        <v>South</v>
      </c>
      <c r="S1403" s="8" t="str">
        <f t="array" ref="S1403">XLOOKUP(E1403,Store_Dim!A:A,Store_Dim!D:D,"Not Found")</f>
        <v>Flagship</v>
      </c>
    </row>
    <row r="1404" ht="14.25" customHeight="1">
      <c r="A1404" s="8" t="s">
        <v>3357</v>
      </c>
      <c r="B1404" s="12">
        <v>46882.0</v>
      </c>
      <c r="C1404" s="8" t="s">
        <v>1038</v>
      </c>
      <c r="D1404" s="8" t="s">
        <v>1863</v>
      </c>
      <c r="E1404" s="8" t="s">
        <v>1941</v>
      </c>
      <c r="F1404" s="8">
        <v>2.0</v>
      </c>
      <c r="G1404" s="8">
        <v>600.03</v>
      </c>
      <c r="H1404" s="8">
        <v>0.26</v>
      </c>
      <c r="I1404" s="8">
        <f t="shared" si="1"/>
        <v>1200.06</v>
      </c>
      <c r="J1404" s="8">
        <f t="shared" si="2"/>
        <v>-311.7556</v>
      </c>
      <c r="K1404" s="8" t="str">
        <f t="shared" si="3"/>
        <v>May</v>
      </c>
      <c r="L1404" s="8">
        <f t="shared" si="4"/>
        <v>2028</v>
      </c>
      <c r="N1404" s="8" t="str">
        <f t="array" ref="N1404">XLOOKUP(C1404,Customer_Dim!A:A,Customer_Dim!B:B,"Not Found")</f>
        <v>Andrew Smith</v>
      </c>
      <c r="O1404" s="8" t="str">
        <f t="array" ref="O1404">XLOOKUP(C1404,Customer_Dim!A:A,Customer_Dim!E:E,"Not Found")</f>
        <v>East Matthew</v>
      </c>
      <c r="P1404" s="8" t="str">
        <f t="array" ref="P1404">XLOOKUP(D1404,Product_Dim!A:A,Product_Dim!B:B,"Not Found")</f>
        <v>Women's High Heels</v>
      </c>
      <c r="Q1404" s="8" t="str">
        <f t="array" ref="Q1404">XLOOKUP(D1404,Product_Dim!A:A,Product_Dim!C:C,"Not Found")</f>
        <v>Clothing</v>
      </c>
      <c r="R1404" s="8" t="str">
        <f t="array" ref="R1404">XLOOKUP(E1404,Store_Dim!A:A,Store_Dim!B:B,"Not Found")</f>
        <v>East</v>
      </c>
      <c r="S1404" s="8" t="str">
        <f t="array" ref="S1404">XLOOKUP(E1404,Store_Dim!A:A,Store_Dim!D:D,"Not Found")</f>
        <v>Online</v>
      </c>
    </row>
    <row r="1405" ht="14.25" customHeight="1">
      <c r="A1405" s="8" t="s">
        <v>3358</v>
      </c>
      <c r="B1405" s="12">
        <v>46883.0</v>
      </c>
      <c r="C1405" s="8" t="s">
        <v>538</v>
      </c>
      <c r="D1405" s="8" t="s">
        <v>1751</v>
      </c>
      <c r="E1405" s="8" t="s">
        <v>1915</v>
      </c>
      <c r="F1405" s="8">
        <v>2.0</v>
      </c>
      <c r="G1405" s="8">
        <v>628.83</v>
      </c>
      <c r="H1405" s="8">
        <v>0.07</v>
      </c>
      <c r="I1405" s="8">
        <f t="shared" si="1"/>
        <v>1257.66</v>
      </c>
      <c r="J1405" s="8">
        <f t="shared" si="2"/>
        <v>-87.9662</v>
      </c>
      <c r="K1405" s="8" t="str">
        <f t="shared" si="3"/>
        <v>May</v>
      </c>
      <c r="L1405" s="8">
        <f t="shared" si="4"/>
        <v>2028</v>
      </c>
      <c r="N1405" s="8" t="str">
        <f t="array" ref="N1405">XLOOKUP(C1405,Customer_Dim!A:A,Customer_Dim!B:B,"Not Found")</f>
        <v>Paul Zamora</v>
      </c>
      <c r="O1405" s="8" t="str">
        <f t="array" ref="O1405">XLOOKUP(C1405,Customer_Dim!A:A,Customer_Dim!E:E,"Not Found")</f>
        <v>North Larryfurt</v>
      </c>
      <c r="P1405" s="8" t="str">
        <f t="array" ref="P1405">XLOOKUP(D1405,Product_Dim!A:A,Product_Dim!B:B,"Not Found")</f>
        <v>Sports Stopwatch Pro</v>
      </c>
      <c r="Q1405" s="8" t="str">
        <f t="array" ref="Q1405">XLOOKUP(D1405,Product_Dim!A:A,Product_Dim!C:C,"Not Found")</f>
        <v>Sports</v>
      </c>
      <c r="R1405" s="8" t="str">
        <f t="array" ref="R1405">XLOOKUP(E1405,Store_Dim!A:A,Store_Dim!B:B,"Not Found")</f>
        <v>North</v>
      </c>
      <c r="S1405" s="8" t="str">
        <f t="array" ref="S1405">XLOOKUP(E1405,Store_Dim!A:A,Store_Dim!D:D,"Not Found")</f>
        <v>Outlet</v>
      </c>
    </row>
    <row r="1406" ht="14.25" customHeight="1">
      <c r="A1406" s="8" t="s">
        <v>3359</v>
      </c>
      <c r="B1406" s="12">
        <v>46884.0</v>
      </c>
      <c r="C1406" s="8" t="s">
        <v>591</v>
      </c>
      <c r="D1406" s="8" t="s">
        <v>1833</v>
      </c>
      <c r="E1406" s="8" t="s">
        <v>1924</v>
      </c>
      <c r="F1406" s="8">
        <v>3.0</v>
      </c>
      <c r="G1406" s="8">
        <v>113.87</v>
      </c>
      <c r="H1406" s="8">
        <v>0.21</v>
      </c>
      <c r="I1406" s="8">
        <f t="shared" si="1"/>
        <v>341.61</v>
      </c>
      <c r="J1406" s="8">
        <f t="shared" si="2"/>
        <v>-71.5281</v>
      </c>
      <c r="K1406" s="8" t="str">
        <f t="shared" si="3"/>
        <v>May</v>
      </c>
      <c r="L1406" s="8">
        <f t="shared" si="4"/>
        <v>2028</v>
      </c>
      <c r="N1406" s="8" t="str">
        <f t="array" ref="N1406">XLOOKUP(C1406,Customer_Dim!A:A,Customer_Dim!B:B,"Not Found")</f>
        <v>Michelle Rogers</v>
      </c>
      <c r="O1406" s="8" t="str">
        <f t="array" ref="O1406">XLOOKUP(C1406,Customer_Dim!A:A,Customer_Dim!E:E,"Not Found")</f>
        <v>East Jessicaborough</v>
      </c>
      <c r="P1406" s="8" t="str">
        <f t="array" ref="P1406">XLOOKUP(D1406,Product_Dim!A:A,Product_Dim!B:B,"Not Found")</f>
        <v>Badminton Racket Set</v>
      </c>
      <c r="Q1406" s="8" t="str">
        <f t="array" ref="Q1406">XLOOKUP(D1406,Product_Dim!A:A,Product_Dim!C:C,"Not Found")</f>
        <v>Sports</v>
      </c>
      <c r="R1406" s="8" t="str">
        <f t="array" ref="R1406">XLOOKUP(E1406,Store_Dim!A:A,Store_Dim!B:B,"Not Found")</f>
        <v>South</v>
      </c>
      <c r="S1406" s="8" t="str">
        <f t="array" ref="S1406">XLOOKUP(E1406,Store_Dim!A:A,Store_Dim!D:D,"Not Found")</f>
        <v>Flagship</v>
      </c>
    </row>
    <row r="1407" ht="14.25" customHeight="1">
      <c r="A1407" s="8" t="s">
        <v>3360</v>
      </c>
      <c r="B1407" s="12">
        <v>46885.0</v>
      </c>
      <c r="C1407" s="8" t="s">
        <v>1314</v>
      </c>
      <c r="D1407" s="8" t="s">
        <v>1806</v>
      </c>
      <c r="E1407" s="8" t="s">
        <v>1919</v>
      </c>
      <c r="F1407" s="8">
        <v>4.0</v>
      </c>
      <c r="G1407" s="8">
        <v>282.07</v>
      </c>
      <c r="H1407" s="8">
        <v>0.18</v>
      </c>
      <c r="I1407" s="8">
        <f t="shared" si="1"/>
        <v>1128.28</v>
      </c>
      <c r="J1407" s="8">
        <f t="shared" si="2"/>
        <v>-202.9104</v>
      </c>
      <c r="K1407" s="8" t="str">
        <f t="shared" si="3"/>
        <v>May</v>
      </c>
      <c r="L1407" s="8">
        <f t="shared" si="4"/>
        <v>2028</v>
      </c>
      <c r="N1407" s="8" t="str">
        <f t="array" ref="N1407">XLOOKUP(C1407,Customer_Dim!A:A,Customer_Dim!B:B,"Not Found")</f>
        <v>Luke Parks</v>
      </c>
      <c r="O1407" s="8" t="str">
        <f t="array" ref="O1407">XLOOKUP(C1407,Customer_Dim!A:A,Customer_Dim!E:E,"Not Found")</f>
        <v>West Mario</v>
      </c>
      <c r="P1407" s="8" t="str">
        <f t="array" ref="P1407">XLOOKUP(D1407,Product_Dim!A:A,Product_Dim!B:B,"Not Found")</f>
        <v>Professional Jump Rope</v>
      </c>
      <c r="Q1407" s="8" t="str">
        <f t="array" ref="Q1407">XLOOKUP(D1407,Product_Dim!A:A,Product_Dim!C:C,"Not Found")</f>
        <v>Sports</v>
      </c>
      <c r="R1407" s="8" t="str">
        <f t="array" ref="R1407">XLOOKUP(E1407,Store_Dim!A:A,Store_Dim!B:B,"Not Found")</f>
        <v>South</v>
      </c>
      <c r="S1407" s="8" t="str">
        <f t="array" ref="S1407">XLOOKUP(E1407,Store_Dim!A:A,Store_Dim!D:D,"Not Found")</f>
        <v>Online</v>
      </c>
    </row>
    <row r="1408" ht="14.25" customHeight="1">
      <c r="A1408" s="8" t="s">
        <v>3361</v>
      </c>
      <c r="B1408" s="12">
        <v>46886.0</v>
      </c>
      <c r="C1408" s="8" t="s">
        <v>535</v>
      </c>
      <c r="D1408" s="8" t="s">
        <v>1751</v>
      </c>
      <c r="E1408" s="8" t="s">
        <v>1917</v>
      </c>
      <c r="F1408" s="8">
        <v>3.0</v>
      </c>
      <c r="G1408" s="8">
        <v>676.77</v>
      </c>
      <c r="H1408" s="8">
        <v>0.17</v>
      </c>
      <c r="I1408" s="8">
        <f t="shared" si="1"/>
        <v>2030.31</v>
      </c>
      <c r="J1408" s="8">
        <f t="shared" si="2"/>
        <v>-344.9827</v>
      </c>
      <c r="K1408" s="8" t="str">
        <f t="shared" si="3"/>
        <v>May</v>
      </c>
      <c r="L1408" s="8">
        <f t="shared" si="4"/>
        <v>2028</v>
      </c>
      <c r="N1408" s="8" t="str">
        <f t="array" ref="N1408">XLOOKUP(C1408,Customer_Dim!A:A,Customer_Dim!B:B,"Not Found")</f>
        <v>Maria Sanchez</v>
      </c>
      <c r="O1408" s="8" t="str">
        <f t="array" ref="O1408">XLOOKUP(C1408,Customer_Dim!A:A,Customer_Dim!E:E,"Not Found")</f>
        <v>East Peterbury</v>
      </c>
      <c r="P1408" s="8" t="str">
        <f t="array" ref="P1408">XLOOKUP(D1408,Product_Dim!A:A,Product_Dim!B:B,"Not Found")</f>
        <v>Sports Stopwatch Pro</v>
      </c>
      <c r="Q1408" s="8" t="str">
        <f t="array" ref="Q1408">XLOOKUP(D1408,Product_Dim!A:A,Product_Dim!C:C,"Not Found")</f>
        <v>Sports</v>
      </c>
      <c r="R1408" s="8" t="str">
        <f t="array" ref="R1408">XLOOKUP(E1408,Store_Dim!A:A,Store_Dim!B:B,"Not Found")</f>
        <v>East</v>
      </c>
      <c r="S1408" s="8" t="str">
        <f t="array" ref="S1408">XLOOKUP(E1408,Store_Dim!A:A,Store_Dim!D:D,"Not Found")</f>
        <v>Online</v>
      </c>
    </row>
    <row r="1409" ht="14.25" customHeight="1">
      <c r="A1409" s="8" t="s">
        <v>3362</v>
      </c>
      <c r="B1409" s="12">
        <v>46887.0</v>
      </c>
      <c r="C1409" s="8" t="s">
        <v>726</v>
      </c>
      <c r="D1409" s="8" t="s">
        <v>1592</v>
      </c>
      <c r="E1409" s="8" t="s">
        <v>1935</v>
      </c>
      <c r="F1409" s="8">
        <v>2.0</v>
      </c>
      <c r="G1409" s="8">
        <v>362.7</v>
      </c>
      <c r="H1409" s="8">
        <v>0.09</v>
      </c>
      <c r="I1409" s="8">
        <f t="shared" si="1"/>
        <v>725.4</v>
      </c>
      <c r="J1409" s="8">
        <f t="shared" si="2"/>
        <v>-65.196</v>
      </c>
      <c r="K1409" s="8" t="str">
        <f t="shared" si="3"/>
        <v>May</v>
      </c>
      <c r="L1409" s="8">
        <f t="shared" si="4"/>
        <v>2028</v>
      </c>
      <c r="N1409" s="8" t="str">
        <f t="array" ref="N1409">XLOOKUP(C1409,Customer_Dim!A:A,Customer_Dim!B:B,"Not Found")</f>
        <v>George Davis</v>
      </c>
      <c r="O1409" s="8" t="str">
        <f t="array" ref="O1409">XLOOKUP(C1409,Customer_Dim!A:A,Customer_Dim!E:E,"Not Found")</f>
        <v>    lake lisa</v>
      </c>
      <c r="P1409" s="8" t="str">
        <f t="array" ref="P1409">XLOOKUP(D1409,Product_Dim!A:A,Product_Dim!B:B,"Not Found")</f>
        <v>LED Table Lamp</v>
      </c>
      <c r="Q1409" s="8" t="str">
        <f t="array" ref="Q1409">XLOOKUP(D1409,Product_Dim!A:A,Product_Dim!C:C,"Not Found")</f>
        <v>Home</v>
      </c>
      <c r="R1409" s="8" t="str">
        <f t="array" ref="R1409">XLOOKUP(E1409,Store_Dim!A:A,Store_Dim!B:B,"Not Found")</f>
        <v>West</v>
      </c>
      <c r="S1409" s="8" t="str">
        <f t="array" ref="S1409">XLOOKUP(E1409,Store_Dim!A:A,Store_Dim!D:D,"Not Found")</f>
        <v>Flagship</v>
      </c>
    </row>
    <row r="1410" ht="14.25" customHeight="1">
      <c r="A1410" s="8" t="s">
        <v>3363</v>
      </c>
      <c r="B1410" s="12">
        <v>46888.0</v>
      </c>
      <c r="C1410" s="8" t="s">
        <v>473</v>
      </c>
      <c r="D1410" s="8" t="s">
        <v>1617</v>
      </c>
      <c r="E1410" s="8" t="s">
        <v>1906</v>
      </c>
      <c r="F1410" s="8">
        <v>1.0</v>
      </c>
      <c r="G1410" s="8">
        <v>908.5</v>
      </c>
      <c r="H1410" s="8">
        <v>0.2</v>
      </c>
      <c r="I1410" s="8">
        <f t="shared" si="1"/>
        <v>908.5</v>
      </c>
      <c r="J1410" s="8">
        <f t="shared" si="2"/>
        <v>-181.5</v>
      </c>
      <c r="K1410" s="8" t="str">
        <f t="shared" si="3"/>
        <v>May</v>
      </c>
      <c r="L1410" s="8">
        <f t="shared" si="4"/>
        <v>2028</v>
      </c>
      <c r="N1410" s="8" t="str">
        <f t="array" ref="N1410">XLOOKUP(C1410,Customer_Dim!A:A,Customer_Dim!B:B,"Not Found")</f>
        <v>Matthew Hanna</v>
      </c>
      <c r="O1410" s="8" t="str">
        <f t="array" ref="O1410">XLOOKUP(C1410,Customer_Dim!A:A,Customer_Dim!E:E,"Not Found")</f>
        <v>Gonzalezbury</v>
      </c>
      <c r="P1410" s="8" t="str">
        <f t="array" ref="P1410">XLOOKUP(D1410,Product_Dim!A:A,Product_Dim!B:B,"Not Found")</f>
        <v>USB-C Fast Charger</v>
      </c>
      <c r="Q1410" s="8" t="str">
        <f t="array" ref="Q1410">XLOOKUP(D1410,Product_Dim!A:A,Product_Dim!C:C,"Not Found")</f>
        <v>Electronics</v>
      </c>
      <c r="R1410" s="8" t="str">
        <f t="array" ref="R1410">XLOOKUP(E1410,Store_Dim!A:A,Store_Dim!B:B,"Not Found")</f>
        <v>South</v>
      </c>
      <c r="S1410" s="8" t="str">
        <f t="array" ref="S1410">XLOOKUP(E1410,Store_Dim!A:A,Store_Dim!D:D,"Not Found")</f>
        <v>Outlet</v>
      </c>
    </row>
    <row r="1411" ht="14.25" customHeight="1">
      <c r="A1411" s="8" t="s">
        <v>3364</v>
      </c>
      <c r="B1411" s="12">
        <v>46889.0</v>
      </c>
      <c r="C1411" s="8" t="s">
        <v>257</v>
      </c>
      <c r="D1411" s="8" t="s">
        <v>1659</v>
      </c>
      <c r="E1411" s="8" t="s">
        <v>1933</v>
      </c>
      <c r="F1411" s="8">
        <v>2.0</v>
      </c>
      <c r="G1411" s="8">
        <v>795.37</v>
      </c>
      <c r="H1411" s="8">
        <v>0.2</v>
      </c>
      <c r="I1411" s="8">
        <f t="shared" si="1"/>
        <v>1590.74</v>
      </c>
      <c r="J1411" s="8">
        <f t="shared" si="2"/>
        <v>-317.948</v>
      </c>
      <c r="K1411" s="8" t="str">
        <f t="shared" si="3"/>
        <v>May</v>
      </c>
      <c r="L1411" s="8">
        <f t="shared" si="4"/>
        <v>2028</v>
      </c>
      <c r="N1411" s="8" t="str">
        <f t="array" ref="N1411">XLOOKUP(C1411,Customer_Dim!A:A,Customer_Dim!B:B,"Not Found")</f>
        <v>Amber Mcclain</v>
      </c>
      <c r="O1411" s="8" t="str">
        <f t="array" ref="O1411">XLOOKUP(C1411,Customer_Dim!A:A,Customer_Dim!E:E,"Not Found")</f>
        <v>Brendaburgh</v>
      </c>
      <c r="P1411" s="8" t="str">
        <f t="array" ref="P1411">XLOOKUP(D1411,Product_Dim!A:A,Product_Dim!B:B,"Not Found")</f>
        <v>Women's Scarf Set</v>
      </c>
      <c r="Q1411" s="8" t="str">
        <f t="array" ref="Q1411">XLOOKUP(D1411,Product_Dim!A:A,Product_Dim!C:C,"Not Found")</f>
        <v>Clothing</v>
      </c>
      <c r="R1411" s="8" t="str">
        <f t="array" ref="R1411">XLOOKUP(E1411,Store_Dim!A:A,Store_Dim!B:B,"Not Found")</f>
        <v>North</v>
      </c>
      <c r="S1411" s="8" t="str">
        <f t="array" ref="S1411">XLOOKUP(E1411,Store_Dim!A:A,Store_Dim!D:D,"Not Found")</f>
        <v>Flagship</v>
      </c>
    </row>
    <row r="1412" ht="14.25" customHeight="1">
      <c r="A1412" s="8" t="s">
        <v>3365</v>
      </c>
      <c r="B1412" s="12">
        <v>46890.0</v>
      </c>
      <c r="C1412" s="8" t="s">
        <v>499</v>
      </c>
      <c r="D1412" s="8" t="s">
        <v>1690</v>
      </c>
      <c r="E1412" s="8" t="s">
        <v>1912</v>
      </c>
      <c r="F1412" s="8">
        <v>2.0</v>
      </c>
      <c r="G1412" s="8">
        <v>326.85</v>
      </c>
      <c r="H1412" s="8">
        <v>0.17</v>
      </c>
      <c r="I1412" s="8">
        <f t="shared" si="1"/>
        <v>653.7</v>
      </c>
      <c r="J1412" s="8">
        <f t="shared" si="2"/>
        <v>-110.959</v>
      </c>
      <c r="K1412" s="8" t="str">
        <f t="shared" si="3"/>
        <v>May</v>
      </c>
      <c r="L1412" s="8">
        <f t="shared" si="4"/>
        <v>2028</v>
      </c>
      <c r="N1412" s="8" t="str">
        <f t="array" ref="N1412">XLOOKUP(C1412,Customer_Dim!A:A,Customer_Dim!B:B,"Not Found")</f>
        <v>Justin Cross</v>
      </c>
      <c r="O1412" s="8" t="str">
        <f t="array" ref="O1412">XLOOKUP(C1412,Customer_Dim!A:A,Customer_Dim!E:E,"Not Found")</f>
        <v>North Anthonychester</v>
      </c>
      <c r="P1412" s="8" t="str">
        <f t="array" ref="P1412">XLOOKUP(D1412,Product_Dim!A:A,Product_Dim!B:B,"Not Found")</f>
        <v>Bedroom Table Lamp</v>
      </c>
      <c r="Q1412" s="8" t="str">
        <f t="array" ref="Q1412">XLOOKUP(D1412,Product_Dim!A:A,Product_Dim!C:C,"Not Found")</f>
        <v>Home</v>
      </c>
      <c r="R1412" s="8" t="str">
        <f t="array" ref="R1412">XLOOKUP(E1412,Store_Dim!A:A,Store_Dim!B:B,"Not Found")</f>
        <v>South</v>
      </c>
      <c r="S1412" s="8" t="str">
        <f t="array" ref="S1412">XLOOKUP(E1412,Store_Dim!A:A,Store_Dim!D:D,"Not Found")</f>
        <v>Online</v>
      </c>
    </row>
    <row r="1413" ht="14.25" customHeight="1">
      <c r="A1413" s="8" t="s">
        <v>3366</v>
      </c>
      <c r="B1413" s="12">
        <v>46891.0</v>
      </c>
      <c r="C1413" s="8" t="s">
        <v>1113</v>
      </c>
      <c r="D1413" s="8" t="s">
        <v>1757</v>
      </c>
      <c r="E1413" s="8" t="s">
        <v>1932</v>
      </c>
      <c r="F1413" s="8">
        <v>3.0</v>
      </c>
      <c r="G1413" s="8">
        <v>169.43</v>
      </c>
      <c r="H1413" s="8">
        <v>0.19</v>
      </c>
      <c r="I1413" s="8">
        <f t="shared" si="1"/>
        <v>508.29</v>
      </c>
      <c r="J1413" s="8">
        <f t="shared" si="2"/>
        <v>-96.3851</v>
      </c>
      <c r="K1413" s="8" t="str">
        <f t="shared" si="3"/>
        <v>May</v>
      </c>
      <c r="L1413" s="8">
        <f t="shared" si="4"/>
        <v>2028</v>
      </c>
      <c r="N1413" s="8" t="str">
        <f t="array" ref="N1413">XLOOKUP(C1413,Customer_Dim!A:A,Customer_Dim!B:B,"Not Found")</f>
        <v>Charles Miller</v>
      </c>
      <c r="O1413" s="8" t="str">
        <f t="array" ref="O1413">XLOOKUP(C1413,Customer_Dim!A:A,Customer_Dim!E:E,"Not Found")</f>
        <v>Lake Allisonborough</v>
      </c>
      <c r="P1413" s="8" t="str">
        <f t="array" ref="P1413">XLOOKUP(D1413,Product_Dim!A:A,Product_Dim!B:B,"Not Found")</f>
        <v>Premium Blanket Throw</v>
      </c>
      <c r="Q1413" s="8" t="str">
        <f t="array" ref="Q1413">XLOOKUP(D1413,Product_Dim!A:A,Product_Dim!C:C,"Not Found")</f>
        <v>Home</v>
      </c>
      <c r="R1413" s="8" t="str">
        <f t="array" ref="R1413">XLOOKUP(E1413,Store_Dim!A:A,Store_Dim!B:B,"Not Found")</f>
        <v>South</v>
      </c>
      <c r="S1413" s="8" t="str">
        <f t="array" ref="S1413">XLOOKUP(E1413,Store_Dim!A:A,Store_Dim!D:D,"Not Found")</f>
        <v>Outlet</v>
      </c>
    </row>
    <row r="1414" ht="14.25" customHeight="1">
      <c r="A1414" s="8" t="s">
        <v>3367</v>
      </c>
      <c r="B1414" s="12">
        <v>46892.0</v>
      </c>
      <c r="C1414" s="8" t="s">
        <v>556</v>
      </c>
      <c r="D1414" s="8" t="s">
        <v>1839</v>
      </c>
      <c r="E1414" s="8" t="s">
        <v>1917</v>
      </c>
      <c r="F1414" s="8">
        <v>1.0</v>
      </c>
      <c r="G1414" s="8">
        <v>254.47</v>
      </c>
      <c r="H1414" s="8">
        <v>0.1</v>
      </c>
      <c r="I1414" s="8">
        <f t="shared" si="1"/>
        <v>254.47</v>
      </c>
      <c r="J1414" s="8">
        <f t="shared" si="2"/>
        <v>-25.347</v>
      </c>
      <c r="K1414" s="8" t="str">
        <f t="shared" si="3"/>
        <v>May</v>
      </c>
      <c r="L1414" s="8">
        <f t="shared" si="4"/>
        <v>2028</v>
      </c>
      <c r="N1414" s="8" t="str">
        <f t="array" ref="N1414">XLOOKUP(C1414,Customer_Dim!A:A,Customer_Dim!B:B,"Not Found")</f>
        <v>Joseph Jones</v>
      </c>
      <c r="O1414" s="8" t="str">
        <f t="array" ref="O1414">XLOOKUP(C1414,Customer_Dim!A:A,Customer_Dim!E:E,"Not Found")</f>
        <v>North Matthew</v>
      </c>
      <c r="P1414" s="8" t="str">
        <f t="array" ref="P1414">XLOOKUP(D1414,Product_Dim!A:A,Product_Dim!B:B,"Not Found")</f>
        <v>Hydrating Face Cleanser</v>
      </c>
      <c r="Q1414" s="8" t="str">
        <f t="array" ref="Q1414">XLOOKUP(D1414,Product_Dim!A:A,Product_Dim!C:C,"Not Found")</f>
        <v>Beauty</v>
      </c>
      <c r="R1414" s="8" t="str">
        <f t="array" ref="R1414">XLOOKUP(E1414,Store_Dim!A:A,Store_Dim!B:B,"Not Found")</f>
        <v>East</v>
      </c>
      <c r="S1414" s="8" t="str">
        <f t="array" ref="S1414">XLOOKUP(E1414,Store_Dim!A:A,Store_Dim!D:D,"Not Found")</f>
        <v>Online</v>
      </c>
    </row>
    <row r="1415" ht="14.25" customHeight="1">
      <c r="A1415" s="8" t="s">
        <v>3368</v>
      </c>
      <c r="B1415" s="12">
        <v>46893.0</v>
      </c>
      <c r="C1415" s="8" t="s">
        <v>1314</v>
      </c>
      <c r="D1415" s="8" t="s">
        <v>1659</v>
      </c>
      <c r="E1415" s="8" t="s">
        <v>1935</v>
      </c>
      <c r="F1415" s="8">
        <v>4.0</v>
      </c>
      <c r="G1415" s="8">
        <v>627.73</v>
      </c>
      <c r="H1415" s="8">
        <v>0.11</v>
      </c>
      <c r="I1415" s="8">
        <f t="shared" si="1"/>
        <v>2510.92</v>
      </c>
      <c r="J1415" s="8">
        <f t="shared" si="2"/>
        <v>-276.0912</v>
      </c>
      <c r="K1415" s="8" t="str">
        <f t="shared" si="3"/>
        <v>May</v>
      </c>
      <c r="L1415" s="8">
        <f t="shared" si="4"/>
        <v>2028</v>
      </c>
      <c r="N1415" s="8" t="str">
        <f t="array" ref="N1415">XLOOKUP(C1415,Customer_Dim!A:A,Customer_Dim!B:B,"Not Found")</f>
        <v>Luke Parks</v>
      </c>
      <c r="O1415" s="8" t="str">
        <f t="array" ref="O1415">XLOOKUP(C1415,Customer_Dim!A:A,Customer_Dim!E:E,"Not Found")</f>
        <v>West Mario</v>
      </c>
      <c r="P1415" s="8" t="str">
        <f t="array" ref="P1415">XLOOKUP(D1415,Product_Dim!A:A,Product_Dim!B:B,"Not Found")</f>
        <v>Women's Scarf Set</v>
      </c>
      <c r="Q1415" s="8" t="str">
        <f t="array" ref="Q1415">XLOOKUP(D1415,Product_Dim!A:A,Product_Dim!C:C,"Not Found")</f>
        <v>Clothing</v>
      </c>
      <c r="R1415" s="8" t="str">
        <f t="array" ref="R1415">XLOOKUP(E1415,Store_Dim!A:A,Store_Dim!B:B,"Not Found")</f>
        <v>West</v>
      </c>
      <c r="S1415" s="8" t="str">
        <f t="array" ref="S1415">XLOOKUP(E1415,Store_Dim!A:A,Store_Dim!D:D,"Not Found")</f>
        <v>Flagship</v>
      </c>
    </row>
    <row r="1416" ht="14.25" customHeight="1">
      <c r="A1416" s="8" t="s">
        <v>3369</v>
      </c>
      <c r="B1416" s="12">
        <v>46894.0</v>
      </c>
      <c r="C1416" s="8" t="s">
        <v>1176</v>
      </c>
      <c r="D1416" s="8" t="s">
        <v>1677</v>
      </c>
      <c r="E1416" s="8" t="s">
        <v>1941</v>
      </c>
      <c r="F1416" s="8">
        <v>4.0</v>
      </c>
      <c r="G1416" s="8">
        <v>327.25</v>
      </c>
      <c r="H1416" s="8">
        <v>0.13</v>
      </c>
      <c r="I1416" s="8">
        <f t="shared" si="1"/>
        <v>1309</v>
      </c>
      <c r="J1416" s="8">
        <f t="shared" si="2"/>
        <v>-170.04</v>
      </c>
      <c r="K1416" s="8" t="str">
        <f t="shared" si="3"/>
        <v>May</v>
      </c>
      <c r="L1416" s="8">
        <f t="shared" si="4"/>
        <v>2028</v>
      </c>
      <c r="N1416" s="8" t="str">
        <f t="array" ref="N1416">XLOOKUP(C1416,Customer_Dim!A:A,Customer_Dim!B:B,"Not Found")</f>
        <v>Michael Garner</v>
      </c>
      <c r="O1416" s="8" t="str">
        <f t="array" ref="O1416">XLOOKUP(C1416,Customer_Dim!A:A,Customer_Dim!E:E,"Not Found")</f>
        <v>Port Crystal</v>
      </c>
      <c r="P1416" s="8" t="str">
        <f t="array" ref="P1416">XLOOKUP(D1416,Product_Dim!A:A,Product_Dim!B:B,"Not Found")</f>
        <v>Basketball</v>
      </c>
      <c r="Q1416" s="8" t="str">
        <f t="array" ref="Q1416">XLOOKUP(D1416,Product_Dim!A:A,Product_Dim!C:C,"Not Found")</f>
        <v>Sports</v>
      </c>
      <c r="R1416" s="8" t="str">
        <f t="array" ref="R1416">XLOOKUP(E1416,Store_Dim!A:A,Store_Dim!B:B,"Not Found")</f>
        <v>East</v>
      </c>
      <c r="S1416" s="8" t="str">
        <f t="array" ref="S1416">XLOOKUP(E1416,Store_Dim!A:A,Store_Dim!D:D,"Not Found")</f>
        <v>Online</v>
      </c>
    </row>
    <row r="1417" ht="14.25" customHeight="1">
      <c r="A1417" s="8" t="s">
        <v>3370</v>
      </c>
      <c r="B1417" s="12">
        <v>46895.0</v>
      </c>
      <c r="C1417" s="8" t="s">
        <v>502</v>
      </c>
      <c r="D1417" s="8" t="s">
        <v>1766</v>
      </c>
      <c r="E1417" s="8" t="s">
        <v>1928</v>
      </c>
      <c r="F1417" s="8">
        <v>4.0</v>
      </c>
      <c r="G1417" s="8">
        <v>511.43</v>
      </c>
      <c r="H1417" s="8">
        <v>0.18</v>
      </c>
      <c r="I1417" s="8">
        <f t="shared" si="1"/>
        <v>2045.72</v>
      </c>
      <c r="J1417" s="8">
        <f t="shared" si="2"/>
        <v>-368.0496</v>
      </c>
      <c r="K1417" s="8" t="str">
        <f t="shared" si="3"/>
        <v>May</v>
      </c>
      <c r="L1417" s="8">
        <f t="shared" si="4"/>
        <v>2028</v>
      </c>
      <c r="N1417" s="8" t="str">
        <f t="array" ref="N1417">XLOOKUP(C1417,Customer_Dim!A:A,Customer_Dim!B:B,"Not Found")</f>
        <v>Cameron Simpson</v>
      </c>
      <c r="O1417" s="8" t="str">
        <f t="array" ref="O1417">XLOOKUP(C1417,Customer_Dim!A:A,Customer_Dim!E:E,"Not Found")</f>
        <v>Michaelfort</v>
      </c>
      <c r="P1417" s="8" t="str">
        <f t="array" ref="P1417">XLOOKUP(D1417,Product_Dim!A:A,Product_Dim!B:B,"Not Found")</f>
        <v>Men's Hair Styling Gel</v>
      </c>
      <c r="Q1417" s="8" t="str">
        <f t="array" ref="Q1417">XLOOKUP(D1417,Product_Dim!A:A,Product_Dim!C:C,"Not Found")</f>
        <v>Beauty</v>
      </c>
      <c r="R1417" s="8" t="str">
        <f t="array" ref="R1417">XLOOKUP(E1417,Store_Dim!A:A,Store_Dim!B:B,"Not Found")</f>
        <v>South</v>
      </c>
      <c r="S1417" s="8" t="str">
        <f t="array" ref="S1417">XLOOKUP(E1417,Store_Dim!A:A,Store_Dim!D:D,"Not Found")</f>
        <v>Online</v>
      </c>
    </row>
    <row r="1418" ht="14.25" customHeight="1">
      <c r="A1418" s="8" t="s">
        <v>3371</v>
      </c>
      <c r="B1418" s="12">
        <v>46896.0</v>
      </c>
      <c r="C1418" s="8" t="s">
        <v>562</v>
      </c>
      <c r="D1418" s="8" t="s">
        <v>1778</v>
      </c>
      <c r="E1418" s="8" t="s">
        <v>1937</v>
      </c>
      <c r="F1418" s="8">
        <v>4.0</v>
      </c>
      <c r="G1418" s="8">
        <v>194.67</v>
      </c>
      <c r="H1418" s="8">
        <v>0.23</v>
      </c>
      <c r="I1418" s="8">
        <f t="shared" si="1"/>
        <v>778.68</v>
      </c>
      <c r="J1418" s="8">
        <f t="shared" si="2"/>
        <v>-178.8664</v>
      </c>
      <c r="K1418" s="8" t="str">
        <f t="shared" si="3"/>
        <v>May</v>
      </c>
      <c r="L1418" s="8">
        <f t="shared" si="4"/>
        <v>2028</v>
      </c>
      <c r="N1418" s="8" t="str">
        <f t="array" ref="N1418">XLOOKUP(C1418,Customer_Dim!A:A,Customer_Dim!B:B,"Not Found")</f>
        <v>Jason Wheeler</v>
      </c>
      <c r="O1418" s="8" t="str">
        <f t="array" ref="O1418">XLOOKUP(C1418,Customer_Dim!A:A,Customer_Dim!E:E,"Not Found")</f>
        <v>Carolview</v>
      </c>
      <c r="P1418" s="8" t="str">
        <f t="array" ref="P1418">XLOOKUP(D1418,Product_Dim!A:A,Product_Dim!B:B,"Not Found")</f>
        <v>Organic Sunscreen Lotion</v>
      </c>
      <c r="Q1418" s="8" t="str">
        <f t="array" ref="Q1418">XLOOKUP(D1418,Product_Dim!A:A,Product_Dim!C:C,"Not Found")</f>
        <v>Beauty</v>
      </c>
      <c r="R1418" s="8" t="str">
        <f t="array" ref="R1418">XLOOKUP(E1418,Store_Dim!A:A,Store_Dim!B:B,"Not Found")</f>
        <v>North</v>
      </c>
      <c r="S1418" s="8" t="str">
        <f t="array" ref="S1418">XLOOKUP(E1418,Store_Dim!A:A,Store_Dim!D:D,"Not Found")</f>
        <v>Flagship</v>
      </c>
    </row>
    <row r="1419" ht="14.25" customHeight="1">
      <c r="A1419" s="8" t="s">
        <v>3372</v>
      </c>
      <c r="B1419" s="12">
        <v>46897.0</v>
      </c>
      <c r="C1419" s="8" t="s">
        <v>231</v>
      </c>
      <c r="D1419" s="8" t="s">
        <v>1652</v>
      </c>
      <c r="E1419" s="8" t="s">
        <v>1903</v>
      </c>
      <c r="F1419" s="8">
        <v>2.0</v>
      </c>
      <c r="G1419" s="8">
        <v>54.51</v>
      </c>
      <c r="H1419" s="8">
        <v>0.07</v>
      </c>
      <c r="I1419" s="8">
        <f t="shared" si="1"/>
        <v>109.02</v>
      </c>
      <c r="J1419" s="8">
        <f t="shared" si="2"/>
        <v>-7.5614</v>
      </c>
      <c r="K1419" s="8" t="str">
        <f t="shared" si="3"/>
        <v>May</v>
      </c>
      <c r="L1419" s="8">
        <f t="shared" si="4"/>
        <v>2028</v>
      </c>
      <c r="N1419" s="8" t="str">
        <f t="array" ref="N1419">XLOOKUP(C1419,Customer_Dim!A:A,Customer_Dim!B:B,"Not Found")</f>
        <v>Alyssa Vargas</v>
      </c>
      <c r="O1419" s="8" t="str">
        <f t="array" ref="O1419">XLOOKUP(C1419,Customer_Dim!A:A,Customer_Dim!E:E,"Not Found")</f>
        <v>New Kathrynland</v>
      </c>
      <c r="P1419" s="8" t="str">
        <f t="array" ref="P1419">XLOOKUP(D1419,Product_Dim!A:A,Product_Dim!B:B,"Not Found")</f>
        <v>Men's Formal Shirt</v>
      </c>
      <c r="Q1419" s="8" t="str">
        <f t="array" ref="Q1419">XLOOKUP(D1419,Product_Dim!A:A,Product_Dim!C:C,"Not Found")</f>
        <v>Clothing</v>
      </c>
      <c r="R1419" s="8" t="str">
        <f t="array" ref="R1419">XLOOKUP(E1419,Store_Dim!A:A,Store_Dim!B:B,"Not Found")</f>
        <v>North</v>
      </c>
      <c r="S1419" s="8" t="str">
        <f t="array" ref="S1419">XLOOKUP(E1419,Store_Dim!A:A,Store_Dim!D:D,"Not Found")</f>
        <v>Flagship</v>
      </c>
    </row>
    <row r="1420" ht="14.25" customHeight="1">
      <c r="A1420" s="8" t="s">
        <v>3373</v>
      </c>
      <c r="B1420" s="12">
        <v>46898.0</v>
      </c>
      <c r="C1420" s="8" t="s">
        <v>288</v>
      </c>
      <c r="D1420" s="8" t="s">
        <v>1775</v>
      </c>
      <c r="E1420" s="8" t="s">
        <v>1928</v>
      </c>
      <c r="F1420" s="8">
        <v>4.0</v>
      </c>
      <c r="G1420" s="8">
        <v>964.0</v>
      </c>
      <c r="H1420" s="8">
        <v>0.14</v>
      </c>
      <c r="I1420" s="8">
        <f t="shared" si="1"/>
        <v>3856</v>
      </c>
      <c r="J1420" s="8">
        <f t="shared" si="2"/>
        <v>-539.7</v>
      </c>
      <c r="K1420" s="8" t="str">
        <f t="shared" si="3"/>
        <v>May</v>
      </c>
      <c r="L1420" s="8">
        <f t="shared" si="4"/>
        <v>2028</v>
      </c>
      <c r="N1420" s="8" t="str">
        <f t="array" ref="N1420">XLOOKUP(C1420,Customer_Dim!A:A,Customer_Dim!B:B,"Not Found")</f>
        <v>Nathan Campbell</v>
      </c>
      <c r="O1420" s="8" t="str">
        <f t="array" ref="O1420">XLOOKUP(C1420,Customer_Dim!A:A,Customer_Dim!E:E,"Not Found")</f>
        <v>Rodrigueztown</v>
      </c>
      <c r="P1420" s="8" t="str">
        <f t="array" ref="P1420">XLOOKUP(D1420,Product_Dim!A:A,Product_Dim!B:B,"Not Found")</f>
        <v>Laptop Cooling Pad</v>
      </c>
      <c r="Q1420" s="8" t="str">
        <f t="array" ref="Q1420">XLOOKUP(D1420,Product_Dim!A:A,Product_Dim!C:C,"Not Found")</f>
        <v>Electronics</v>
      </c>
      <c r="R1420" s="8" t="str">
        <f t="array" ref="R1420">XLOOKUP(E1420,Store_Dim!A:A,Store_Dim!B:B,"Not Found")</f>
        <v>South</v>
      </c>
      <c r="S1420" s="8" t="str">
        <f t="array" ref="S1420">XLOOKUP(E1420,Store_Dim!A:A,Store_Dim!D:D,"Not Found")</f>
        <v>Online</v>
      </c>
    </row>
    <row r="1421" ht="14.25" customHeight="1">
      <c r="A1421" s="8" t="s">
        <v>3374</v>
      </c>
      <c r="B1421" s="12">
        <v>46899.0</v>
      </c>
      <c r="C1421" s="8" t="s">
        <v>167</v>
      </c>
      <c r="D1421" s="8" t="s">
        <v>1857</v>
      </c>
      <c r="E1421" s="8" t="s">
        <v>1912</v>
      </c>
      <c r="F1421" s="8">
        <v>1.0</v>
      </c>
      <c r="G1421" s="8">
        <v>170.12</v>
      </c>
      <c r="H1421" s="8">
        <v>0.26</v>
      </c>
      <c r="I1421" s="8">
        <f t="shared" si="1"/>
        <v>170.12</v>
      </c>
      <c r="J1421" s="8">
        <f t="shared" si="2"/>
        <v>-43.9712</v>
      </c>
      <c r="K1421" s="8" t="str">
        <f t="shared" si="3"/>
        <v>May</v>
      </c>
      <c r="L1421" s="8">
        <f t="shared" si="4"/>
        <v>2028</v>
      </c>
      <c r="N1421" s="8" t="str">
        <f t="array" ref="N1421">XLOOKUP(C1421,Customer_Dim!A:A,Customer_Dim!B:B,"Not Found")</f>
        <v>Eric Vega</v>
      </c>
      <c r="O1421" s="8" t="str">
        <f t="array" ref="O1421">XLOOKUP(C1421,Customer_Dim!A:A,Customer_Dim!E:E,"Not Found")</f>
        <v>Williamsonland</v>
      </c>
      <c r="P1421" s="8" t="str">
        <f t="array" ref="P1421">XLOOKUP(D1421,Product_Dim!A:A,Product_Dim!B:B,"Not Found")</f>
        <v>Face Foundation Kit</v>
      </c>
      <c r="Q1421" s="8" t="str">
        <f t="array" ref="Q1421">XLOOKUP(D1421,Product_Dim!A:A,Product_Dim!C:C,"Not Found")</f>
        <v>Beauty</v>
      </c>
      <c r="R1421" s="8" t="str">
        <f t="array" ref="R1421">XLOOKUP(E1421,Store_Dim!A:A,Store_Dim!B:B,"Not Found")</f>
        <v>South</v>
      </c>
      <c r="S1421" s="8" t="str">
        <f t="array" ref="S1421">XLOOKUP(E1421,Store_Dim!A:A,Store_Dim!D:D,"Not Found")</f>
        <v>Online</v>
      </c>
    </row>
    <row r="1422" ht="14.25" customHeight="1">
      <c r="A1422" s="8" t="s">
        <v>3375</v>
      </c>
      <c r="B1422" s="12">
        <v>46900.0</v>
      </c>
      <c r="C1422" s="8" t="s">
        <v>523</v>
      </c>
      <c r="D1422" s="8" t="s">
        <v>1748</v>
      </c>
      <c r="E1422" s="8" t="s">
        <v>1941</v>
      </c>
      <c r="F1422" s="8">
        <v>2.0</v>
      </c>
      <c r="G1422" s="8">
        <v>664.5</v>
      </c>
      <c r="H1422" s="8">
        <v>0.23</v>
      </c>
      <c r="I1422" s="8">
        <f t="shared" si="1"/>
        <v>1329</v>
      </c>
      <c r="J1422" s="8">
        <f t="shared" si="2"/>
        <v>-305.44</v>
      </c>
      <c r="K1422" s="8" t="str">
        <f t="shared" si="3"/>
        <v>May</v>
      </c>
      <c r="L1422" s="8">
        <f t="shared" si="4"/>
        <v>2028</v>
      </c>
      <c r="N1422" s="8" t="str">
        <f t="array" ref="N1422">XLOOKUP(C1422,Customer_Dim!A:A,Customer_Dim!B:B,"Not Found")</f>
        <v>Patrick Roberts</v>
      </c>
      <c r="O1422" s="8" t="str">
        <f t="array" ref="O1422">XLOOKUP(C1422,Customer_Dim!A:A,Customer_Dim!E:E,"Not Found")</f>
        <v>Jaredville</v>
      </c>
      <c r="P1422" s="8" t="str">
        <f t="array" ref="P1422">XLOOKUP(D1422,Product_Dim!A:A,Product_Dim!B:B,"Not Found")</f>
        <v>Men's Track Pants</v>
      </c>
      <c r="Q1422" s="8" t="str">
        <f t="array" ref="Q1422">XLOOKUP(D1422,Product_Dim!A:A,Product_Dim!C:C,"Not Found")</f>
        <v>Clothing</v>
      </c>
      <c r="R1422" s="8" t="str">
        <f t="array" ref="R1422">XLOOKUP(E1422,Store_Dim!A:A,Store_Dim!B:B,"Not Found")</f>
        <v>East</v>
      </c>
      <c r="S1422" s="8" t="str">
        <f t="array" ref="S1422">XLOOKUP(E1422,Store_Dim!A:A,Store_Dim!D:D,"Not Found")</f>
        <v>Online</v>
      </c>
    </row>
    <row r="1423" ht="14.25" customHeight="1">
      <c r="A1423" s="8" t="s">
        <v>3376</v>
      </c>
      <c r="B1423" s="12">
        <v>46901.0</v>
      </c>
      <c r="C1423" s="8" t="s">
        <v>1176</v>
      </c>
      <c r="D1423" s="8" t="s">
        <v>1722</v>
      </c>
      <c r="E1423" s="8" t="s">
        <v>1926</v>
      </c>
      <c r="F1423" s="8">
        <v>4.0</v>
      </c>
      <c r="G1423" s="8">
        <v>557.51</v>
      </c>
      <c r="H1423" s="8">
        <v>0.11</v>
      </c>
      <c r="I1423" s="8">
        <f t="shared" si="1"/>
        <v>2230.04</v>
      </c>
      <c r="J1423" s="8">
        <f t="shared" si="2"/>
        <v>-245.1944</v>
      </c>
      <c r="K1423" s="8" t="str">
        <f t="shared" si="3"/>
        <v>May</v>
      </c>
      <c r="L1423" s="8">
        <f t="shared" si="4"/>
        <v>2028</v>
      </c>
      <c r="N1423" s="8" t="str">
        <f t="array" ref="N1423">XLOOKUP(C1423,Customer_Dim!A:A,Customer_Dim!B:B,"Not Found")</f>
        <v>Michael Garner</v>
      </c>
      <c r="O1423" s="8" t="str">
        <f t="array" ref="O1423">XLOOKUP(C1423,Customer_Dim!A:A,Customer_Dim!E:E,"Not Found")</f>
        <v>Port Crystal</v>
      </c>
      <c r="P1423" s="8" t="str">
        <f t="array" ref="P1423">XLOOKUP(D1423,Product_Dim!A:A,Product_Dim!B:B,"Not Found")</f>
        <v>High-Grip Football</v>
      </c>
      <c r="Q1423" s="8" t="str">
        <f t="array" ref="Q1423">XLOOKUP(D1423,Product_Dim!A:A,Product_Dim!C:C,"Not Found")</f>
        <v>Sports</v>
      </c>
      <c r="R1423" s="8" t="str">
        <f t="array" ref="R1423">XLOOKUP(E1423,Store_Dim!A:A,Store_Dim!B:B,"Not Found")</f>
        <v>East</v>
      </c>
      <c r="S1423" s="8" t="str">
        <f t="array" ref="S1423">XLOOKUP(E1423,Store_Dim!A:A,Store_Dim!D:D,"Not Found")</f>
        <v>Online</v>
      </c>
    </row>
    <row r="1424" ht="14.25" customHeight="1">
      <c r="A1424" s="8" t="s">
        <v>3377</v>
      </c>
      <c r="B1424" s="12">
        <v>46902.0</v>
      </c>
      <c r="C1424" s="8" t="s">
        <v>1254</v>
      </c>
      <c r="D1424" s="8" t="s">
        <v>1860</v>
      </c>
      <c r="E1424" s="8" t="s">
        <v>1903</v>
      </c>
      <c r="F1424" s="8">
        <v>2.0</v>
      </c>
      <c r="G1424" s="8">
        <v>410.0</v>
      </c>
      <c r="H1424" s="8">
        <v>0.13</v>
      </c>
      <c r="I1424" s="8">
        <f t="shared" si="1"/>
        <v>820</v>
      </c>
      <c r="J1424" s="8">
        <f t="shared" si="2"/>
        <v>-106.47</v>
      </c>
      <c r="K1424" s="8" t="str">
        <f t="shared" si="3"/>
        <v>May</v>
      </c>
      <c r="L1424" s="8">
        <f t="shared" si="4"/>
        <v>2028</v>
      </c>
      <c r="N1424" s="8" t="str">
        <f t="array" ref="N1424">XLOOKUP(C1424,Customer_Dim!A:A,Customer_Dim!B:B,"Not Found")</f>
        <v>Charles Norman PhD</v>
      </c>
      <c r="O1424" s="8" t="str">
        <f t="array" ref="O1424">XLOOKUP(C1424,Customer_Dim!A:A,Customer_Dim!E:E,"Not Found")</f>
        <v>East Jennifer</v>
      </c>
      <c r="P1424" s="8" t="str">
        <f t="array" ref="P1424">XLOOKUP(D1424,Product_Dim!A:A,Product_Dim!B:B,"Not Found")</f>
        <v>Gaming Mouse Pad XL</v>
      </c>
      <c r="Q1424" s="8" t="str">
        <f t="array" ref="Q1424">XLOOKUP(D1424,Product_Dim!A:A,Product_Dim!C:C,"Not Found")</f>
        <v>Electronics</v>
      </c>
      <c r="R1424" s="8" t="str">
        <f t="array" ref="R1424">XLOOKUP(E1424,Store_Dim!A:A,Store_Dim!B:B,"Not Found")</f>
        <v>North</v>
      </c>
      <c r="S1424" s="8" t="str">
        <f t="array" ref="S1424">XLOOKUP(E1424,Store_Dim!A:A,Store_Dim!D:D,"Not Found")</f>
        <v>Flagship</v>
      </c>
    </row>
    <row r="1425" ht="14.25" customHeight="1">
      <c r="A1425" s="8" t="s">
        <v>3378</v>
      </c>
      <c r="B1425" s="12">
        <v>46903.0</v>
      </c>
      <c r="C1425" s="8" t="s">
        <v>981</v>
      </c>
      <c r="D1425" s="8" t="s">
        <v>1839</v>
      </c>
      <c r="E1425" s="8" t="s">
        <v>1915</v>
      </c>
      <c r="F1425" s="8">
        <v>2.0</v>
      </c>
      <c r="G1425" s="8">
        <v>879.93</v>
      </c>
      <c r="H1425" s="8">
        <v>0.29</v>
      </c>
      <c r="I1425" s="8">
        <f t="shared" si="1"/>
        <v>1759.86</v>
      </c>
      <c r="J1425" s="8">
        <f t="shared" si="2"/>
        <v>-510.0694</v>
      </c>
      <c r="K1425" s="8" t="str">
        <f t="shared" si="3"/>
        <v>May</v>
      </c>
      <c r="L1425" s="8">
        <f t="shared" si="4"/>
        <v>2028</v>
      </c>
      <c r="N1425" s="8" t="str">
        <f t="array" ref="N1425">XLOOKUP(C1425,Customer_Dim!A:A,Customer_Dim!B:B,"Not Found")</f>
        <v>Angela Robinson</v>
      </c>
      <c r="O1425" s="8" t="str">
        <f t="array" ref="O1425">XLOOKUP(C1425,Customer_Dim!A:A,Customer_Dim!E:E,"Not Found")</f>
        <v>New Nicholasstad</v>
      </c>
      <c r="P1425" s="8" t="str">
        <f t="array" ref="P1425">XLOOKUP(D1425,Product_Dim!A:A,Product_Dim!B:B,"Not Found")</f>
        <v>Hydrating Face Cleanser</v>
      </c>
      <c r="Q1425" s="8" t="str">
        <f t="array" ref="Q1425">XLOOKUP(D1425,Product_Dim!A:A,Product_Dim!C:C,"Not Found")</f>
        <v>Beauty</v>
      </c>
      <c r="R1425" s="8" t="str">
        <f t="array" ref="R1425">XLOOKUP(E1425,Store_Dim!A:A,Store_Dim!B:B,"Not Found")</f>
        <v>North</v>
      </c>
      <c r="S1425" s="8" t="str">
        <f t="array" ref="S1425">XLOOKUP(E1425,Store_Dim!A:A,Store_Dim!D:D,"Not Found")</f>
        <v>Outlet</v>
      </c>
    </row>
    <row r="1426" ht="14.25" customHeight="1">
      <c r="A1426" s="8" t="s">
        <v>3379</v>
      </c>
      <c r="B1426" s="12">
        <v>46904.0</v>
      </c>
      <c r="C1426" s="8" t="s">
        <v>48</v>
      </c>
      <c r="D1426" s="8" t="s">
        <v>1617</v>
      </c>
      <c r="E1426" s="8" t="s">
        <v>1939</v>
      </c>
      <c r="F1426" s="8">
        <v>1.0</v>
      </c>
      <c r="G1426" s="8">
        <v>350.58</v>
      </c>
      <c r="H1426" s="8">
        <v>0.03</v>
      </c>
      <c r="I1426" s="8">
        <f t="shared" si="1"/>
        <v>350.58</v>
      </c>
      <c r="J1426" s="8">
        <f t="shared" si="2"/>
        <v>-10.4874</v>
      </c>
      <c r="K1426" s="8" t="str">
        <f t="shared" si="3"/>
        <v>May</v>
      </c>
      <c r="L1426" s="8">
        <f t="shared" si="4"/>
        <v>2028</v>
      </c>
      <c r="N1426" s="8" t="str">
        <f t="array" ref="N1426">XLOOKUP(C1426,Customer_Dim!A:A,Customer_Dim!B:B,"Not Found")</f>
        <v>Daniel Boyd</v>
      </c>
      <c r="O1426" s="8" t="str">
        <f t="array" ref="O1426">XLOOKUP(C1426,Customer_Dim!A:A,Customer_Dim!E:E,"Not Found")</f>
        <v>West Pamelafurt</v>
      </c>
      <c r="P1426" s="8" t="str">
        <f t="array" ref="P1426">XLOOKUP(D1426,Product_Dim!A:A,Product_Dim!B:B,"Not Found")</f>
        <v>USB-C Fast Charger</v>
      </c>
      <c r="Q1426" s="8" t="str">
        <f t="array" ref="Q1426">XLOOKUP(D1426,Product_Dim!A:A,Product_Dim!C:C,"Not Found")</f>
        <v>Electronics</v>
      </c>
      <c r="R1426" s="8" t="str">
        <f t="array" ref="R1426">XLOOKUP(E1426,Store_Dim!A:A,Store_Dim!B:B,"Not Found")</f>
        <v>East</v>
      </c>
      <c r="S1426" s="8" t="str">
        <f t="array" ref="S1426">XLOOKUP(E1426,Store_Dim!A:A,Store_Dim!D:D,"Not Found")</f>
        <v>Flagship</v>
      </c>
    </row>
    <row r="1427" ht="14.25" customHeight="1">
      <c r="A1427" s="8" t="s">
        <v>3380</v>
      </c>
      <c r="B1427" s="12">
        <v>46905.0</v>
      </c>
      <c r="C1427" s="8" t="s">
        <v>1113</v>
      </c>
      <c r="D1427" s="8" t="s">
        <v>1763</v>
      </c>
      <c r="E1427" s="8" t="s">
        <v>1910</v>
      </c>
      <c r="F1427" s="8">
        <v>4.0</v>
      </c>
      <c r="G1427" s="8">
        <v>348.58</v>
      </c>
      <c r="H1427" s="8">
        <v>0.16</v>
      </c>
      <c r="I1427" s="8">
        <f t="shared" si="1"/>
        <v>1394.32</v>
      </c>
      <c r="J1427" s="8">
        <f t="shared" si="2"/>
        <v>-222.9312</v>
      </c>
      <c r="K1427" s="8" t="str">
        <f t="shared" si="3"/>
        <v>Jun</v>
      </c>
      <c r="L1427" s="8">
        <f t="shared" si="4"/>
        <v>2028</v>
      </c>
      <c r="N1427" s="8" t="str">
        <f t="array" ref="N1427">XLOOKUP(C1427,Customer_Dim!A:A,Customer_Dim!B:B,"Not Found")</f>
        <v>Charles Miller</v>
      </c>
      <c r="O1427" s="8" t="str">
        <f t="array" ref="O1427">XLOOKUP(C1427,Customer_Dim!A:A,Customer_Dim!E:E,"Not Found")</f>
        <v>Lake Allisonborough</v>
      </c>
      <c r="P1427" s="8" t="str">
        <f t="array" ref="P1427">XLOOKUP(D1427,Product_Dim!A:A,Product_Dim!B:B,"Not Found")</f>
        <v>Womens Cotton Scarf</v>
      </c>
      <c r="Q1427" s="8" t="str">
        <f t="array" ref="Q1427">XLOOKUP(D1427,Product_Dim!A:A,Product_Dim!C:C,"Not Found")</f>
        <v>Clothing</v>
      </c>
      <c r="R1427" s="8" t="str">
        <f t="array" ref="R1427">XLOOKUP(E1427,Store_Dim!A:A,Store_Dim!B:B,"Not Found")</f>
        <v>North</v>
      </c>
      <c r="S1427" s="8" t="str">
        <f t="array" ref="S1427">XLOOKUP(E1427,Store_Dim!A:A,Store_Dim!D:D,"Not Found")</f>
        <v>Outlet</v>
      </c>
    </row>
    <row r="1428" ht="14.25" customHeight="1">
      <c r="A1428" s="8" t="s">
        <v>3381</v>
      </c>
      <c r="B1428" s="12">
        <v>46906.0</v>
      </c>
      <c r="C1428" s="8" t="s">
        <v>1433</v>
      </c>
      <c r="D1428" s="8" t="s">
        <v>1659</v>
      </c>
      <c r="E1428" s="8" t="s">
        <v>1910</v>
      </c>
      <c r="F1428" s="8">
        <v>3.0</v>
      </c>
      <c r="G1428" s="8">
        <v>247.66</v>
      </c>
      <c r="H1428" s="8">
        <v>0.02</v>
      </c>
      <c r="I1428" s="8">
        <f t="shared" si="1"/>
        <v>742.98</v>
      </c>
      <c r="J1428" s="8">
        <f t="shared" si="2"/>
        <v>-14.8396</v>
      </c>
      <c r="K1428" s="8" t="str">
        <f t="shared" si="3"/>
        <v>Jun</v>
      </c>
      <c r="L1428" s="8">
        <f t="shared" si="4"/>
        <v>2028</v>
      </c>
      <c r="N1428" s="8" t="str">
        <f t="array" ref="N1428">XLOOKUP(C1428,Customer_Dim!A:A,Customer_Dim!B:B,"Not Found")</f>
        <v>John Perez</v>
      </c>
      <c r="O1428" s="8" t="str">
        <f t="array" ref="O1428">XLOOKUP(C1428,Customer_Dim!A:A,Customer_Dim!E:E,"Not Found")</f>
        <v>Brandontown</v>
      </c>
      <c r="P1428" s="8" t="str">
        <f t="array" ref="P1428">XLOOKUP(D1428,Product_Dim!A:A,Product_Dim!B:B,"Not Found")</f>
        <v>Women's Scarf Set</v>
      </c>
      <c r="Q1428" s="8" t="str">
        <f t="array" ref="Q1428">XLOOKUP(D1428,Product_Dim!A:A,Product_Dim!C:C,"Not Found")</f>
        <v>Clothing</v>
      </c>
      <c r="R1428" s="8" t="str">
        <f t="array" ref="R1428">XLOOKUP(E1428,Store_Dim!A:A,Store_Dim!B:B,"Not Found")</f>
        <v>North</v>
      </c>
      <c r="S1428" s="8" t="str">
        <f t="array" ref="S1428">XLOOKUP(E1428,Store_Dim!A:A,Store_Dim!D:D,"Not Found")</f>
        <v>Outlet</v>
      </c>
    </row>
    <row r="1429" ht="14.25" customHeight="1">
      <c r="A1429" s="8" t="s">
        <v>3382</v>
      </c>
      <c r="B1429" s="12">
        <v>46907.0</v>
      </c>
      <c r="C1429" s="8" t="s">
        <v>1227</v>
      </c>
      <c r="D1429" s="8" t="s">
        <v>1703</v>
      </c>
      <c r="E1429" s="8" t="s">
        <v>1933</v>
      </c>
      <c r="F1429" s="8">
        <v>3.0</v>
      </c>
      <c r="G1429" s="8">
        <v>836.27</v>
      </c>
      <c r="H1429" s="8">
        <v>0.16</v>
      </c>
      <c r="I1429" s="8">
        <f t="shared" si="1"/>
        <v>2508.81</v>
      </c>
      <c r="J1429" s="8">
        <f t="shared" si="2"/>
        <v>-401.2496</v>
      </c>
      <c r="K1429" s="8" t="str">
        <f t="shared" si="3"/>
        <v>Jun</v>
      </c>
      <c r="L1429" s="8">
        <f t="shared" si="4"/>
        <v>2028</v>
      </c>
      <c r="N1429" s="8" t="str">
        <f t="array" ref="N1429">XLOOKUP(C1429,Customer_Dim!A:A,Customer_Dim!B:B,"Not Found")</f>
        <v>Timothy Valenzuela</v>
      </c>
      <c r="O1429" s="8" t="str">
        <f t="array" ref="O1429">XLOOKUP(C1429,Customer_Dim!A:A,Customer_Dim!E:E,"Not Found")</f>
        <v>Stevensshire</v>
      </c>
      <c r="P1429" s="8" t="str">
        <f t="array" ref="P1429">XLOOKUP(D1429,Product_Dim!A:A,Product_Dim!B:B,"Not Found")</f>
        <v>Portable Power Bank</v>
      </c>
      <c r="Q1429" s="8" t="str">
        <f t="array" ref="Q1429">XLOOKUP(D1429,Product_Dim!A:A,Product_Dim!C:C,"Not Found")</f>
        <v>Electronics</v>
      </c>
      <c r="R1429" s="8" t="str">
        <f t="array" ref="R1429">XLOOKUP(E1429,Store_Dim!A:A,Store_Dim!B:B,"Not Found")</f>
        <v>North</v>
      </c>
      <c r="S1429" s="8" t="str">
        <f t="array" ref="S1429">XLOOKUP(E1429,Store_Dim!A:A,Store_Dim!D:D,"Not Found")</f>
        <v>Flagship</v>
      </c>
    </row>
    <row r="1430" ht="14.25" customHeight="1">
      <c r="A1430" s="8" t="s">
        <v>3383</v>
      </c>
      <c r="B1430" s="12">
        <v>46908.0</v>
      </c>
      <c r="C1430" s="8" t="s">
        <v>652</v>
      </c>
      <c r="D1430" s="8" t="s">
        <v>1620</v>
      </c>
      <c r="E1430" s="8" t="s">
        <v>1926</v>
      </c>
      <c r="F1430" s="8">
        <v>3.0</v>
      </c>
      <c r="G1430" s="8">
        <v>696.74</v>
      </c>
      <c r="H1430" s="8">
        <v>0.13</v>
      </c>
      <c r="I1430" s="8">
        <f t="shared" si="1"/>
        <v>2090.22</v>
      </c>
      <c r="J1430" s="8">
        <f t="shared" si="2"/>
        <v>-271.5986</v>
      </c>
      <c r="K1430" s="8" t="str">
        <f t="shared" si="3"/>
        <v>Jun</v>
      </c>
      <c r="L1430" s="8">
        <f t="shared" si="4"/>
        <v>2028</v>
      </c>
      <c r="N1430" s="8" t="str">
        <f t="array" ref="N1430">XLOOKUP(C1430,Customer_Dim!A:A,Customer_Dim!B:B,"Not Found")</f>
        <v>Anthony Garcia</v>
      </c>
      <c r="O1430" s="8" t="str">
        <f t="array" ref="O1430">XLOOKUP(C1430,Customer_Dim!A:A,Customer_Dim!E:E,"Not Found")</f>
        <v>Taraberg</v>
      </c>
      <c r="P1430" s="8" t="str">
        <f t="array" ref="P1430">XLOOKUP(D1430,Product_Dim!A:A,Product_Dim!B:B,"Not Found")</f>
        <v>Decorative Wall Mirror</v>
      </c>
      <c r="Q1430" s="8" t="str">
        <f t="array" ref="Q1430">XLOOKUP(D1430,Product_Dim!A:A,Product_Dim!C:C,"Not Found")</f>
        <v>Home</v>
      </c>
      <c r="R1430" s="8" t="str">
        <f t="array" ref="R1430">XLOOKUP(E1430,Store_Dim!A:A,Store_Dim!B:B,"Not Found")</f>
        <v>East</v>
      </c>
      <c r="S1430" s="8" t="str">
        <f t="array" ref="S1430">XLOOKUP(E1430,Store_Dim!A:A,Store_Dim!D:D,"Not Found")</f>
        <v>Online</v>
      </c>
    </row>
    <row r="1431" ht="14.25" customHeight="1">
      <c r="A1431" s="8" t="s">
        <v>3384</v>
      </c>
      <c r="B1431" s="12">
        <v>46909.0</v>
      </c>
      <c r="C1431" s="8" t="s">
        <v>800</v>
      </c>
      <c r="D1431" s="8" t="s">
        <v>1872</v>
      </c>
      <c r="E1431" s="8" t="s">
        <v>1931</v>
      </c>
      <c r="F1431" s="8">
        <v>2.0</v>
      </c>
      <c r="G1431" s="8">
        <v>822.59</v>
      </c>
      <c r="H1431" s="8">
        <v>0.22</v>
      </c>
      <c r="I1431" s="8">
        <f t="shared" si="1"/>
        <v>1645.18</v>
      </c>
      <c r="J1431" s="8">
        <f t="shared" si="2"/>
        <v>-361.7196</v>
      </c>
      <c r="K1431" s="8" t="str">
        <f t="shared" si="3"/>
        <v>Jun</v>
      </c>
      <c r="L1431" s="8">
        <f t="shared" si="4"/>
        <v>2028</v>
      </c>
      <c r="N1431" s="8" t="str">
        <f t="array" ref="N1431">XLOOKUP(C1431,Customer_Dim!A:A,Customer_Dim!B:B,"Not Found")</f>
        <v>Laura Soto</v>
      </c>
      <c r="O1431" s="8" t="str">
        <f t="array" ref="O1431">XLOOKUP(C1431,Customer_Dim!A:A,Customer_Dim!E:E,"Not Found")</f>
        <v>Rodriguezton</v>
      </c>
      <c r="P1431" s="8" t="str">
        <f t="array" ref="P1431">XLOOKUP(D1431,Product_Dim!A:A,Product_Dim!B:B,"Not Found")</f>
        <v>Vitamin E Body Lotion</v>
      </c>
      <c r="Q1431" s="8" t="str">
        <f t="array" ref="Q1431">XLOOKUP(D1431,Product_Dim!A:A,Product_Dim!C:C,"Not Found")</f>
        <v>Beauty</v>
      </c>
      <c r="R1431" s="8" t="str">
        <f t="array" ref="R1431">XLOOKUP(E1431,Store_Dim!A:A,Store_Dim!B:B,"Not Found")</f>
        <v>East</v>
      </c>
      <c r="S1431" s="8" t="str">
        <f t="array" ref="S1431">XLOOKUP(E1431,Store_Dim!A:A,Store_Dim!D:D,"Not Found")</f>
        <v>Flagship</v>
      </c>
    </row>
    <row r="1432" ht="14.25" customHeight="1">
      <c r="A1432" s="8" t="s">
        <v>3385</v>
      </c>
      <c r="B1432" s="12">
        <v>46910.0</v>
      </c>
      <c r="C1432" s="8" t="s">
        <v>733</v>
      </c>
      <c r="D1432" s="8" t="s">
        <v>1827</v>
      </c>
      <c r="E1432" s="8" t="s">
        <v>1906</v>
      </c>
      <c r="F1432" s="8">
        <v>1.0</v>
      </c>
      <c r="G1432" s="8">
        <v>462.23</v>
      </c>
      <c r="H1432" s="8">
        <v>0.3</v>
      </c>
      <c r="I1432" s="8">
        <f t="shared" si="1"/>
        <v>462.23</v>
      </c>
      <c r="J1432" s="8">
        <f t="shared" si="2"/>
        <v>-138.369</v>
      </c>
      <c r="K1432" s="8" t="str">
        <f t="shared" si="3"/>
        <v>Jun</v>
      </c>
      <c r="L1432" s="8">
        <f t="shared" si="4"/>
        <v>2028</v>
      </c>
      <c r="N1432" s="8" t="str">
        <f t="array" ref="N1432">XLOOKUP(C1432,Customer_Dim!A:A,Customer_Dim!B:B,"Not Found")</f>
        <v>Alejandro Doyle</v>
      </c>
      <c r="O1432" s="8" t="str">
        <f t="array" ref="O1432">XLOOKUP(C1432,Customer_Dim!A:A,Customer_Dim!E:E,"Not Found")</f>
        <v>East Crystalton</v>
      </c>
      <c r="P1432" s="8" t="str">
        <f t="array" ref="P1432">XLOOKUP(D1432,Product_Dim!A:A,Product_Dim!B:B,"Not Found")</f>
        <v>Decorative Lamp Shade</v>
      </c>
      <c r="Q1432" s="8" t="str">
        <f t="array" ref="Q1432">XLOOKUP(D1432,Product_Dim!A:A,Product_Dim!C:C,"Not Found")</f>
        <v>Home</v>
      </c>
      <c r="R1432" s="8" t="str">
        <f t="array" ref="R1432">XLOOKUP(E1432,Store_Dim!A:A,Store_Dim!B:B,"Not Found")</f>
        <v>South</v>
      </c>
      <c r="S1432" s="8" t="str">
        <f t="array" ref="S1432">XLOOKUP(E1432,Store_Dim!A:A,Store_Dim!D:D,"Not Found")</f>
        <v>Outlet</v>
      </c>
    </row>
    <row r="1433" ht="14.25" customHeight="1">
      <c r="A1433" s="8" t="s">
        <v>3386</v>
      </c>
      <c r="B1433" s="12">
        <v>46911.0</v>
      </c>
      <c r="C1433" s="8" t="s">
        <v>1399</v>
      </c>
      <c r="D1433" s="8" t="s">
        <v>1713</v>
      </c>
      <c r="E1433" s="8" t="s">
        <v>1937</v>
      </c>
      <c r="F1433" s="8">
        <v>1.0</v>
      </c>
      <c r="G1433" s="8">
        <v>361.09</v>
      </c>
      <c r="H1433" s="8">
        <v>0.06</v>
      </c>
      <c r="I1433" s="8">
        <f t="shared" si="1"/>
        <v>361.09</v>
      </c>
      <c r="J1433" s="8">
        <f t="shared" si="2"/>
        <v>-21.6054</v>
      </c>
      <c r="K1433" s="8" t="str">
        <f t="shared" si="3"/>
        <v>Jun</v>
      </c>
      <c r="L1433" s="8">
        <f t="shared" si="4"/>
        <v>2028</v>
      </c>
      <c r="N1433" s="8" t="str">
        <f t="array" ref="N1433">XLOOKUP(C1433,Customer_Dim!A:A,Customer_Dim!B:B,"Not Found")</f>
        <v>Monica Wright</v>
      </c>
      <c r="O1433" s="8" t="str">
        <f t="array" ref="O1433">XLOOKUP(C1433,Customer_Dim!A:A,Customer_Dim!E:E,"Not Found")</f>
        <v>Paulside</v>
      </c>
      <c r="P1433" s="8" t="str">
        <f t="array" ref="P1433">XLOOKUP(D1433,Product_Dim!A:A,Product_Dim!B:B,"Not Found")</f>
        <v>Smart Home WiFi Camera</v>
      </c>
      <c r="Q1433" s="8" t="str">
        <f t="array" ref="Q1433">XLOOKUP(D1433,Product_Dim!A:A,Product_Dim!C:C,"Not Found")</f>
        <v>Electronics</v>
      </c>
      <c r="R1433" s="8" t="str">
        <f t="array" ref="R1433">XLOOKUP(E1433,Store_Dim!A:A,Store_Dim!B:B,"Not Found")</f>
        <v>North</v>
      </c>
      <c r="S1433" s="8" t="str">
        <f t="array" ref="S1433">XLOOKUP(E1433,Store_Dim!A:A,Store_Dim!D:D,"Not Found")</f>
        <v>Flagship</v>
      </c>
    </row>
    <row r="1434" ht="14.25" customHeight="1">
      <c r="A1434" s="8" t="s">
        <v>3387</v>
      </c>
      <c r="B1434" s="12">
        <v>46912.0</v>
      </c>
      <c r="C1434" s="8" t="s">
        <v>1212</v>
      </c>
      <c r="D1434" s="8" t="s">
        <v>1809</v>
      </c>
      <c r="E1434" s="8" t="s">
        <v>1941</v>
      </c>
      <c r="F1434" s="8">
        <v>3.0</v>
      </c>
      <c r="G1434" s="8">
        <v>59.37</v>
      </c>
      <c r="H1434" s="8">
        <v>0.03</v>
      </c>
      <c r="I1434" s="8">
        <f t="shared" si="1"/>
        <v>178.11</v>
      </c>
      <c r="J1434" s="8">
        <f t="shared" si="2"/>
        <v>-5.3133</v>
      </c>
      <c r="K1434" s="8" t="str">
        <f t="shared" si="3"/>
        <v>Jun</v>
      </c>
      <c r="L1434" s="8">
        <f t="shared" si="4"/>
        <v>2028</v>
      </c>
      <c r="N1434" s="8" t="str">
        <f t="array" ref="N1434">XLOOKUP(C1434,Customer_Dim!A:A,Customer_Dim!B:B,"Not Found")</f>
        <v>Kristine Higgins</v>
      </c>
      <c r="O1434" s="8" t="str">
        <f t="array" ref="O1434">XLOOKUP(C1434,Customer_Dim!A:A,Customer_Dim!E:E,"Not Found")</f>
        <v>Jennifertown</v>
      </c>
      <c r="P1434" s="8" t="str">
        <f t="array" ref="P1434">XLOOKUP(D1434,Product_Dim!A:A,Product_Dim!B:B,"Not Found")</f>
        <v>Shin Guards – Adult</v>
      </c>
      <c r="Q1434" s="8" t="str">
        <f t="array" ref="Q1434">XLOOKUP(D1434,Product_Dim!A:A,Product_Dim!C:C,"Not Found")</f>
        <v>Sports</v>
      </c>
      <c r="R1434" s="8" t="str">
        <f t="array" ref="R1434">XLOOKUP(E1434,Store_Dim!A:A,Store_Dim!B:B,"Not Found")</f>
        <v>East</v>
      </c>
      <c r="S1434" s="8" t="str">
        <f t="array" ref="S1434">XLOOKUP(E1434,Store_Dim!A:A,Store_Dim!D:D,"Not Found")</f>
        <v>Online</v>
      </c>
    </row>
    <row r="1435" ht="14.25" customHeight="1">
      <c r="A1435" s="8" t="s">
        <v>3388</v>
      </c>
      <c r="B1435" s="12">
        <v>46913.0</v>
      </c>
      <c r="C1435" s="8" t="s">
        <v>154</v>
      </c>
      <c r="D1435" s="8" t="s">
        <v>1707</v>
      </c>
      <c r="E1435" s="8" t="s">
        <v>1903</v>
      </c>
      <c r="F1435" s="8">
        <v>3.0</v>
      </c>
      <c r="G1435" s="8">
        <v>765.21</v>
      </c>
      <c r="H1435" s="8">
        <v>0.14</v>
      </c>
      <c r="I1435" s="8">
        <f t="shared" si="1"/>
        <v>2295.63</v>
      </c>
      <c r="J1435" s="8">
        <f t="shared" si="2"/>
        <v>-321.2482</v>
      </c>
      <c r="K1435" s="8" t="str">
        <f t="shared" si="3"/>
        <v>Jun</v>
      </c>
      <c r="L1435" s="8">
        <f t="shared" si="4"/>
        <v>2028</v>
      </c>
      <c r="N1435" s="8" t="str">
        <f t="array" ref="N1435">XLOOKUP(C1435,Customer_Dim!A:A,Customer_Dim!B:B,"Not Found")</f>
        <v>Thomas Phillips</v>
      </c>
      <c r="O1435" s="8" t="str">
        <f t="array" ref="O1435">XLOOKUP(C1435,Customer_Dim!A:A,Customer_Dim!E:E,"Not Found")</f>
        <v>Luisfurt</v>
      </c>
      <c r="P1435" s="8" t="str">
        <f t="array" ref="P1435">XLOOKUP(D1435,Product_Dim!A:A,Product_Dim!B:B,"Not Found")</f>
        <v>Noise-Canceling Headphones</v>
      </c>
      <c r="Q1435" s="8" t="str">
        <f t="array" ref="Q1435">XLOOKUP(D1435,Product_Dim!A:A,Product_Dim!C:C,"Not Found")</f>
        <v>Electronics</v>
      </c>
      <c r="R1435" s="8" t="str">
        <f t="array" ref="R1435">XLOOKUP(E1435,Store_Dim!A:A,Store_Dim!B:B,"Not Found")</f>
        <v>North</v>
      </c>
      <c r="S1435" s="8" t="str">
        <f t="array" ref="S1435">XLOOKUP(E1435,Store_Dim!A:A,Store_Dim!D:D,"Not Found")</f>
        <v>Flagship</v>
      </c>
    </row>
    <row r="1436" ht="14.25" customHeight="1">
      <c r="A1436" s="8" t="s">
        <v>3389</v>
      </c>
      <c r="B1436" s="12">
        <v>46914.0</v>
      </c>
      <c r="C1436" s="8" t="s">
        <v>794</v>
      </c>
      <c r="D1436" s="8" t="s">
        <v>1681</v>
      </c>
      <c r="E1436" s="8" t="s">
        <v>1929</v>
      </c>
      <c r="F1436" s="8">
        <v>4.0</v>
      </c>
      <c r="G1436" s="8">
        <v>303.56</v>
      </c>
      <c r="H1436" s="8">
        <v>0.2</v>
      </c>
      <c r="I1436" s="8">
        <f t="shared" si="1"/>
        <v>1214.24</v>
      </c>
      <c r="J1436" s="8">
        <f t="shared" si="2"/>
        <v>-242.648</v>
      </c>
      <c r="K1436" s="8" t="str">
        <f t="shared" si="3"/>
        <v>Jun</v>
      </c>
      <c r="L1436" s="8">
        <f t="shared" si="4"/>
        <v>2028</v>
      </c>
      <c r="N1436" s="8" t="str">
        <f t="array" ref="N1436">XLOOKUP(C1436,Customer_Dim!A:A,Customer_Dim!B:B,"Not Found")</f>
        <v>Brian Hammond</v>
      </c>
      <c r="O1436" s="8" t="str">
        <f t="array" ref="O1436">XLOOKUP(C1436,Customer_Dim!A:A,Customer_Dim!E:E,"Not Found")</f>
        <v>North Nicholas</v>
      </c>
      <c r="P1436" s="8" t="str">
        <f t="array" ref="P1436">XLOOKUP(D1436,Product_Dim!A:A,Product_Dim!B:B,"Not Found")</f>
        <v>Vitamin C Face Serum</v>
      </c>
      <c r="Q1436" s="8" t="str">
        <f t="array" ref="Q1436">XLOOKUP(D1436,Product_Dim!A:A,Product_Dim!C:C,"Not Found")</f>
        <v>Beauty</v>
      </c>
      <c r="R1436" s="8" t="str">
        <f t="array" ref="R1436">XLOOKUP(E1436,Store_Dim!A:A,Store_Dim!B:B,"Not Found")</f>
        <v>North</v>
      </c>
      <c r="S1436" s="8" t="str">
        <f t="array" ref="S1436">XLOOKUP(E1436,Store_Dim!A:A,Store_Dim!D:D,"Not Found")</f>
        <v>Online</v>
      </c>
    </row>
    <row r="1437" ht="14.25" customHeight="1">
      <c r="A1437" s="8" t="s">
        <v>3390</v>
      </c>
      <c r="B1437" s="12">
        <v>46915.0</v>
      </c>
      <c r="C1437" s="8" t="s">
        <v>1387</v>
      </c>
      <c r="D1437" s="8" t="s">
        <v>1665</v>
      </c>
      <c r="E1437" s="8" t="s">
        <v>1899</v>
      </c>
      <c r="F1437" s="8">
        <v>1.0</v>
      </c>
      <c r="G1437" s="8">
        <v>640.93</v>
      </c>
      <c r="H1437" s="8">
        <v>0.19</v>
      </c>
      <c r="I1437" s="8">
        <f t="shared" si="1"/>
        <v>640.93</v>
      </c>
      <c r="J1437" s="8">
        <f t="shared" si="2"/>
        <v>-121.5867</v>
      </c>
      <c r="K1437" s="8" t="str">
        <f t="shared" si="3"/>
        <v>Jun</v>
      </c>
      <c r="L1437" s="8">
        <f t="shared" si="4"/>
        <v>2028</v>
      </c>
      <c r="N1437" s="8" t="str">
        <f t="array" ref="N1437">XLOOKUP(C1437,Customer_Dim!A:A,Customer_Dim!B:B,"Not Found")</f>
        <v>Adam Castro</v>
      </c>
      <c r="O1437" s="8" t="str">
        <f t="array" ref="O1437">XLOOKUP(C1437,Customer_Dim!A:A,Customer_Dim!E:E,"Not Found")</f>
        <v>New Donnabury</v>
      </c>
      <c r="P1437" s="8" t="str">
        <f t="array" ref="P1437">XLOOKUP(D1437,Product_Dim!A:A,Product_Dim!B:B,"Not Found")</f>
        <v>Decorative Floor Vase</v>
      </c>
      <c r="Q1437" s="8" t="str">
        <f t="array" ref="Q1437">XLOOKUP(D1437,Product_Dim!A:A,Product_Dim!C:C,"Not Found")</f>
        <v>Home</v>
      </c>
      <c r="R1437" s="8" t="str">
        <f t="array" ref="R1437">XLOOKUP(E1437,Store_Dim!A:A,Store_Dim!B:B,"Not Found")</f>
        <v>East</v>
      </c>
      <c r="S1437" s="8" t="str">
        <f t="array" ref="S1437">XLOOKUP(E1437,Store_Dim!A:A,Store_Dim!D:D,"Not Found")</f>
        <v>Flagship</v>
      </c>
    </row>
    <row r="1438" ht="14.25" customHeight="1">
      <c r="A1438" s="8" t="s">
        <v>3391</v>
      </c>
      <c r="B1438" s="12">
        <v>46916.0</v>
      </c>
      <c r="C1438" s="8" t="s">
        <v>588</v>
      </c>
      <c r="D1438" s="8" t="s">
        <v>1848</v>
      </c>
      <c r="E1438" s="8" t="s">
        <v>1926</v>
      </c>
      <c r="F1438" s="8">
        <v>2.0</v>
      </c>
      <c r="G1438" s="8">
        <v>611.25</v>
      </c>
      <c r="H1438" s="8">
        <v>0.22</v>
      </c>
      <c r="I1438" s="8">
        <f t="shared" si="1"/>
        <v>1222.5</v>
      </c>
      <c r="J1438" s="8">
        <f t="shared" si="2"/>
        <v>-268.73</v>
      </c>
      <c r="K1438" s="8" t="str">
        <f t="shared" si="3"/>
        <v>Jun</v>
      </c>
      <c r="L1438" s="8">
        <f t="shared" si="4"/>
        <v>2028</v>
      </c>
      <c r="N1438" s="8" t="str">
        <f t="array" ref="N1438">XLOOKUP(C1438,Customer_Dim!A:A,Customer_Dim!B:B,"Not Found")</f>
        <v>Maria Davis</v>
      </c>
      <c r="O1438" s="8" t="str">
        <f t="array" ref="O1438">XLOOKUP(C1438,Customer_Dim!A:A,Customer_Dim!E:E,"Not Found")</f>
        <v>Avilahaven</v>
      </c>
      <c r="P1438" s="8" t="str">
        <f t="array" ref="P1438">XLOOKUP(D1438,Product_Dim!A:A,Product_Dim!B:B,"Not Found")</f>
        <v>Kitchen Cutting Board</v>
      </c>
      <c r="Q1438" s="8" t="str">
        <f t="array" ref="Q1438">XLOOKUP(D1438,Product_Dim!A:A,Product_Dim!C:C,"Not Found")</f>
        <v>Home</v>
      </c>
      <c r="R1438" s="8" t="str">
        <f t="array" ref="R1438">XLOOKUP(E1438,Store_Dim!A:A,Store_Dim!B:B,"Not Found")</f>
        <v>East</v>
      </c>
      <c r="S1438" s="8" t="str">
        <f t="array" ref="S1438">XLOOKUP(E1438,Store_Dim!A:A,Store_Dim!D:D,"Not Found")</f>
        <v>Online</v>
      </c>
    </row>
    <row r="1439" ht="14.25" customHeight="1">
      <c r="A1439" s="8" t="s">
        <v>3392</v>
      </c>
      <c r="B1439" s="12">
        <v>46917.0</v>
      </c>
      <c r="C1439" s="8" t="s">
        <v>1438</v>
      </c>
      <c r="D1439" s="8" t="s">
        <v>1787</v>
      </c>
      <c r="E1439" s="8" t="s">
        <v>1903</v>
      </c>
      <c r="F1439" s="8">
        <v>1.0</v>
      </c>
      <c r="G1439" s="8">
        <v>209.93</v>
      </c>
      <c r="H1439" s="8">
        <v>0.21</v>
      </c>
      <c r="I1439" s="8">
        <f t="shared" si="1"/>
        <v>209.93</v>
      </c>
      <c r="J1439" s="8">
        <f t="shared" si="2"/>
        <v>-43.8753</v>
      </c>
      <c r="K1439" s="8" t="str">
        <f t="shared" si="3"/>
        <v>Jun</v>
      </c>
      <c r="L1439" s="8">
        <f t="shared" si="4"/>
        <v>2028</v>
      </c>
      <c r="N1439" s="8" t="str">
        <f t="array" ref="N1439">XLOOKUP(C1439,Customer_Dim!A:A,Customer_Dim!B:B,"Not Found")</f>
        <v>Paul Cox</v>
      </c>
      <c r="O1439" s="8" t="str">
        <f t="array" ref="O1439">XLOOKUP(C1439,Customer_Dim!A:A,Customer_Dim!E:E,"Not Found")</f>
        <v>East Julie</v>
      </c>
      <c r="P1439" s="8" t="str">
        <f t="array" ref="P1439">XLOOKUP(D1439,Product_Dim!A:A,Product_Dim!B:B,"Not Found")</f>
        <v>Women's Hair Dryer Brush</v>
      </c>
      <c r="Q1439" s="8" t="str">
        <f t="array" ref="Q1439">XLOOKUP(D1439,Product_Dim!A:A,Product_Dim!C:C,"Not Found")</f>
        <v>Beauty</v>
      </c>
      <c r="R1439" s="8" t="str">
        <f t="array" ref="R1439">XLOOKUP(E1439,Store_Dim!A:A,Store_Dim!B:B,"Not Found")</f>
        <v>North</v>
      </c>
      <c r="S1439" s="8" t="str">
        <f t="array" ref="S1439">XLOOKUP(E1439,Store_Dim!A:A,Store_Dim!D:D,"Not Found")</f>
        <v>Flagship</v>
      </c>
    </row>
    <row r="1440" ht="14.25" customHeight="1">
      <c r="A1440" s="8" t="s">
        <v>3393</v>
      </c>
      <c r="B1440" s="12">
        <v>46918.0</v>
      </c>
      <c r="C1440" s="8" t="s">
        <v>397</v>
      </c>
      <c r="D1440" s="8" t="s">
        <v>1887</v>
      </c>
      <c r="E1440" s="8" t="s">
        <v>1926</v>
      </c>
      <c r="F1440" s="8">
        <v>3.0</v>
      </c>
      <c r="G1440" s="8">
        <v>130.39</v>
      </c>
      <c r="H1440" s="8">
        <v>0.24</v>
      </c>
      <c r="I1440" s="8">
        <f t="shared" si="1"/>
        <v>391.17</v>
      </c>
      <c r="J1440" s="8">
        <f t="shared" si="2"/>
        <v>-93.6408</v>
      </c>
      <c r="K1440" s="8" t="str">
        <f t="shared" si="3"/>
        <v>Jun</v>
      </c>
      <c r="L1440" s="8">
        <f t="shared" si="4"/>
        <v>2028</v>
      </c>
      <c r="N1440" s="8" t="str">
        <f t="array" ref="N1440">XLOOKUP(C1440,Customer_Dim!A:A,Customer_Dim!B:B,"Not Found")</f>
        <v>Ashley Griffin</v>
      </c>
      <c r="O1440" s="8" t="str">
        <f t="array" ref="O1440">XLOOKUP(C1440,Customer_Dim!A:A,Customer_Dim!E:E,"Not Found")</f>
        <v>New Dawnton</v>
      </c>
      <c r="P1440" s="8" t="str">
        <f t="array" ref="P1440">XLOOKUP(D1440,Product_Dim!A:A,Product_Dim!B:B,"Not Found")</f>
        <v>Stainless Steel Cookware Set</v>
      </c>
      <c r="Q1440" s="8" t="str">
        <f t="array" ref="Q1440">XLOOKUP(D1440,Product_Dim!A:A,Product_Dim!C:C,"Not Found")</f>
        <v>Home</v>
      </c>
      <c r="R1440" s="8" t="str">
        <f t="array" ref="R1440">XLOOKUP(E1440,Store_Dim!A:A,Store_Dim!B:B,"Not Found")</f>
        <v>East</v>
      </c>
      <c r="S1440" s="8" t="str">
        <f t="array" ref="S1440">XLOOKUP(E1440,Store_Dim!A:A,Store_Dim!D:D,"Not Found")</f>
        <v>Online</v>
      </c>
    </row>
    <row r="1441" ht="14.25" customHeight="1">
      <c r="A1441" s="8" t="s">
        <v>3394</v>
      </c>
      <c r="B1441" s="12">
        <v>46919.0</v>
      </c>
      <c r="C1441" s="8" t="s">
        <v>938</v>
      </c>
      <c r="D1441" s="8" t="s">
        <v>1869</v>
      </c>
      <c r="E1441" s="8" t="s">
        <v>1919</v>
      </c>
      <c r="F1441" s="8">
        <v>2.0</v>
      </c>
      <c r="G1441" s="8">
        <v>846.18</v>
      </c>
      <c r="H1441" s="8">
        <v>0.1</v>
      </c>
      <c r="I1441" s="8">
        <f t="shared" si="1"/>
        <v>1692.36</v>
      </c>
      <c r="J1441" s="8">
        <f t="shared" si="2"/>
        <v>-169.136</v>
      </c>
      <c r="K1441" s="8" t="str">
        <f t="shared" si="3"/>
        <v>Jun</v>
      </c>
      <c r="L1441" s="8">
        <f t="shared" si="4"/>
        <v>2028</v>
      </c>
      <c r="N1441" s="8" t="str">
        <f t="array" ref="N1441">XLOOKUP(C1441,Customer_Dim!A:A,Customer_Dim!B:B,"Not Found")</f>
        <v>James Powell</v>
      </c>
      <c r="O1441" s="8" t="str">
        <f t="array" ref="O1441">XLOOKUP(C1441,Customer_Dim!A:A,Customer_Dim!E:E,"Not Found")</f>
        <v>West Beverlymouth</v>
      </c>
      <c r="P1441" s="8" t="str">
        <f t="array" ref="P1441">XLOOKUP(D1441,Product_Dim!A:A,Product_Dim!B:B,"Not Found")</f>
        <v>USB-C Laptop Charger</v>
      </c>
      <c r="Q1441" s="8" t="str">
        <f t="array" ref="Q1441">XLOOKUP(D1441,Product_Dim!A:A,Product_Dim!C:C,"Not Found")</f>
        <v>Electronics</v>
      </c>
      <c r="R1441" s="8" t="str">
        <f t="array" ref="R1441">XLOOKUP(E1441,Store_Dim!A:A,Store_Dim!B:B,"Not Found")</f>
        <v>South</v>
      </c>
      <c r="S1441" s="8" t="str">
        <f t="array" ref="S1441">XLOOKUP(E1441,Store_Dim!A:A,Store_Dim!D:D,"Not Found")</f>
        <v>Online</v>
      </c>
    </row>
    <row r="1442" ht="14.25" customHeight="1">
      <c r="A1442" s="8" t="s">
        <v>3395</v>
      </c>
      <c r="B1442" s="12">
        <v>46920.0</v>
      </c>
      <c r="C1442" s="8" t="s">
        <v>1125</v>
      </c>
      <c r="D1442" s="8" t="s">
        <v>1800</v>
      </c>
      <c r="E1442" s="8" t="s">
        <v>1932</v>
      </c>
      <c r="F1442" s="8">
        <v>2.0</v>
      </c>
      <c r="G1442" s="8">
        <v>424.53</v>
      </c>
      <c r="H1442" s="8">
        <v>0.14</v>
      </c>
      <c r="I1442" s="8">
        <f t="shared" si="1"/>
        <v>849.06</v>
      </c>
      <c r="J1442" s="8">
        <f t="shared" si="2"/>
        <v>-118.7284</v>
      </c>
      <c r="K1442" s="8" t="str">
        <f t="shared" si="3"/>
        <v>Jun</v>
      </c>
      <c r="L1442" s="8">
        <f t="shared" si="4"/>
        <v>2028</v>
      </c>
      <c r="N1442" s="8" t="str">
        <f t="array" ref="N1442">XLOOKUP(C1442,Customer_Dim!A:A,Customer_Dim!B:B,"Not Found")</f>
        <v>Ryan Torres</v>
      </c>
      <c r="O1442" s="8" t="str">
        <f t="array" ref="O1442">XLOOKUP(C1442,Customer_Dim!A:A,Customer_Dim!E:E,"Not Found")</f>
        <v>Guerreroport</v>
      </c>
      <c r="P1442" s="8" t="str">
        <f t="array" ref="P1442">XLOOKUP(D1442,Product_Dim!A:A,Product_Dim!B:B,"Not Found")</f>
        <v>Kitchen Storage Rack</v>
      </c>
      <c r="Q1442" s="8" t="str">
        <f t="array" ref="Q1442">XLOOKUP(D1442,Product_Dim!A:A,Product_Dim!C:C,"Not Found")</f>
        <v>Home</v>
      </c>
      <c r="R1442" s="8" t="str">
        <f t="array" ref="R1442">XLOOKUP(E1442,Store_Dim!A:A,Store_Dim!B:B,"Not Found")</f>
        <v>South</v>
      </c>
      <c r="S1442" s="8" t="str">
        <f t="array" ref="S1442">XLOOKUP(E1442,Store_Dim!A:A,Store_Dim!D:D,"Not Found")</f>
        <v>Outlet</v>
      </c>
    </row>
    <row r="1443" ht="14.25" customHeight="1">
      <c r="A1443" s="8" t="s">
        <v>3396</v>
      </c>
      <c r="B1443" s="12">
        <v>46921.0</v>
      </c>
      <c r="C1443" s="8" t="s">
        <v>839</v>
      </c>
      <c r="D1443" s="8" t="s">
        <v>1854</v>
      </c>
      <c r="E1443" s="8" t="s">
        <v>1932</v>
      </c>
      <c r="F1443" s="8">
        <v>4.0</v>
      </c>
      <c r="G1443" s="8">
        <v>450.42</v>
      </c>
      <c r="H1443" s="8">
        <v>0.08</v>
      </c>
      <c r="I1443" s="8">
        <f t="shared" si="1"/>
        <v>1801.68</v>
      </c>
      <c r="J1443" s="8">
        <f t="shared" si="2"/>
        <v>-144.0544</v>
      </c>
      <c r="K1443" s="8" t="str">
        <f t="shared" si="3"/>
        <v>Jun</v>
      </c>
      <c r="L1443" s="8">
        <f t="shared" si="4"/>
        <v>2028</v>
      </c>
      <c r="N1443" s="8" t="str">
        <f t="array" ref="N1443">XLOOKUP(C1443,Customer_Dim!A:A,Customer_Dim!B:B,"Not Found")</f>
        <v>Sarah Stewart</v>
      </c>
      <c r="O1443" s="8" t="str">
        <f t="array" ref="O1443">XLOOKUP(C1443,Customer_Dim!A:A,Customer_Dim!E:E,"Not Found")</f>
        <v>East Richard</v>
      </c>
      <c r="P1443" s="8" t="str">
        <f t="array" ref="P1443">XLOOKUP(D1443,Product_Dim!A:A,Product_Dim!B:B,"Not Found")</f>
        <v>Sports Wrist Sweatbands</v>
      </c>
      <c r="Q1443" s="8" t="str">
        <f t="array" ref="Q1443">XLOOKUP(D1443,Product_Dim!A:A,Product_Dim!C:C,"Not Found")</f>
        <v>Sports</v>
      </c>
      <c r="R1443" s="8" t="str">
        <f t="array" ref="R1443">XLOOKUP(E1443,Store_Dim!A:A,Store_Dim!B:B,"Not Found")</f>
        <v>South</v>
      </c>
      <c r="S1443" s="8" t="str">
        <f t="array" ref="S1443">XLOOKUP(E1443,Store_Dim!A:A,Store_Dim!D:D,"Not Found")</f>
        <v>Outlet</v>
      </c>
    </row>
    <row r="1444" ht="14.25" customHeight="1">
      <c r="A1444" s="8" t="s">
        <v>3397</v>
      </c>
      <c r="B1444" s="12">
        <v>46922.0</v>
      </c>
      <c r="C1444" s="8" t="s">
        <v>535</v>
      </c>
      <c r="D1444" s="8" t="s">
        <v>1662</v>
      </c>
      <c r="E1444" s="8" t="s">
        <v>1924</v>
      </c>
      <c r="F1444" s="8">
        <v>4.0</v>
      </c>
      <c r="G1444" s="8">
        <v>896.91</v>
      </c>
      <c r="H1444" s="8">
        <v>0.1</v>
      </c>
      <c r="I1444" s="8">
        <f t="shared" si="1"/>
        <v>3587.64</v>
      </c>
      <c r="J1444" s="8">
        <f t="shared" si="2"/>
        <v>-358.664</v>
      </c>
      <c r="K1444" s="8" t="str">
        <f t="shared" si="3"/>
        <v>Jun</v>
      </c>
      <c r="L1444" s="8">
        <f t="shared" si="4"/>
        <v>2028</v>
      </c>
      <c r="N1444" s="8" t="str">
        <f t="array" ref="N1444">XLOOKUP(C1444,Customer_Dim!A:A,Customer_Dim!B:B,"Not Found")</f>
        <v>Maria Sanchez</v>
      </c>
      <c r="O1444" s="8" t="str">
        <f t="array" ref="O1444">XLOOKUP(C1444,Customer_Dim!A:A,Customer_Dim!E:E,"Not Found")</f>
        <v>East Peterbury</v>
      </c>
      <c r="P1444" s="8" t="str">
        <f t="array" ref="P1444">XLOOKUP(D1444,Product_Dim!A:A,Product_Dim!B:B,"Not Found")</f>
        <v>Wireless Bluetooth Speaker</v>
      </c>
      <c r="Q1444" s="8" t="str">
        <f t="array" ref="Q1444">XLOOKUP(D1444,Product_Dim!A:A,Product_Dim!C:C,"Not Found")</f>
        <v>Electronics</v>
      </c>
      <c r="R1444" s="8" t="str">
        <f t="array" ref="R1444">XLOOKUP(E1444,Store_Dim!A:A,Store_Dim!B:B,"Not Found")</f>
        <v>South</v>
      </c>
      <c r="S1444" s="8" t="str">
        <f t="array" ref="S1444">XLOOKUP(E1444,Store_Dim!A:A,Store_Dim!D:D,"Not Found")</f>
        <v>Flagship</v>
      </c>
    </row>
    <row r="1445" ht="14.25" customHeight="1">
      <c r="A1445" s="8" t="s">
        <v>3398</v>
      </c>
      <c r="B1445" s="12">
        <v>46923.0</v>
      </c>
      <c r="C1445" s="8" t="s">
        <v>1508</v>
      </c>
      <c r="D1445" s="8" t="s">
        <v>1881</v>
      </c>
      <c r="E1445" s="8" t="s">
        <v>1926</v>
      </c>
      <c r="F1445" s="8">
        <v>3.0</v>
      </c>
      <c r="G1445" s="8">
        <v>679.38</v>
      </c>
      <c r="H1445" s="8">
        <v>0.3</v>
      </c>
      <c r="I1445" s="8">
        <f t="shared" si="1"/>
        <v>2038.14</v>
      </c>
      <c r="J1445" s="8">
        <f t="shared" si="2"/>
        <v>-611.142</v>
      </c>
      <c r="K1445" s="8" t="str">
        <f t="shared" si="3"/>
        <v>Jun</v>
      </c>
      <c r="L1445" s="8">
        <f t="shared" si="4"/>
        <v>2028</v>
      </c>
      <c r="N1445" s="8" t="str">
        <f t="array" ref="N1445">XLOOKUP(C1445,Customer_Dim!A:A,Customer_Dim!B:B,"Not Found")</f>
        <v>Sara Ingram</v>
      </c>
      <c r="O1445" s="8" t="str">
        <f t="array" ref="O1445">XLOOKUP(C1445,Customer_Dim!A:A,Customer_Dim!E:E,"Not Found")</f>
        <v>East Dillonview</v>
      </c>
      <c r="P1445" s="8" t="str">
        <f t="array" ref="P1445">XLOOKUP(D1445,Product_Dim!A:A,Product_Dim!B:B,"Not Found")</f>
        <v>Cricket Bat</v>
      </c>
      <c r="Q1445" s="8" t="str">
        <f t="array" ref="Q1445">XLOOKUP(D1445,Product_Dim!A:A,Product_Dim!C:C,"Not Found")</f>
        <v>Sports</v>
      </c>
      <c r="R1445" s="8" t="str">
        <f t="array" ref="R1445">XLOOKUP(E1445,Store_Dim!A:A,Store_Dim!B:B,"Not Found")</f>
        <v>East</v>
      </c>
      <c r="S1445" s="8" t="str">
        <f t="array" ref="S1445">XLOOKUP(E1445,Store_Dim!A:A,Store_Dim!D:D,"Not Found")</f>
        <v>Online</v>
      </c>
    </row>
    <row r="1446" ht="14.25" customHeight="1">
      <c r="A1446" s="8" t="s">
        <v>3399</v>
      </c>
      <c r="B1446" s="12">
        <v>46924.0</v>
      </c>
      <c r="C1446" s="8" t="s">
        <v>84</v>
      </c>
      <c r="D1446" s="8" t="s">
        <v>1830</v>
      </c>
      <c r="E1446" s="8" t="s">
        <v>1935</v>
      </c>
      <c r="F1446" s="8">
        <v>3.0</v>
      </c>
      <c r="G1446" s="8">
        <v>483.63</v>
      </c>
      <c r="H1446" s="8">
        <v>0.0</v>
      </c>
      <c r="I1446" s="8">
        <f t="shared" si="1"/>
        <v>1450.89</v>
      </c>
      <c r="J1446" s="8">
        <f t="shared" si="2"/>
        <v>0</v>
      </c>
      <c r="K1446" s="8" t="str">
        <f t="shared" si="3"/>
        <v>Jun</v>
      </c>
      <c r="L1446" s="8">
        <f t="shared" si="4"/>
        <v>2028</v>
      </c>
      <c r="N1446" s="8" t="str">
        <f t="array" ref="N1446">XLOOKUP(C1446,Customer_Dim!A:A,Customer_Dim!B:B,"Not Found")</f>
        <v>John Scott</v>
      </c>
      <c r="O1446" s="8" t="str">
        <f t="array" ref="O1446">XLOOKUP(C1446,Customer_Dim!A:A,Customer_Dim!E:E,"Not Found")</f>
        <v>South Christopher</v>
      </c>
      <c r="P1446" s="8" t="str">
        <f t="array" ref="P1446">XLOOKUP(D1446,Product_Dim!A:A,Product_Dim!B:B,"Not Found")</f>
        <v>Wall-Mounted Spice Rack</v>
      </c>
      <c r="Q1446" s="8" t="str">
        <f t="array" ref="Q1446">XLOOKUP(D1446,Product_Dim!A:A,Product_Dim!C:C,"Not Found")</f>
        <v>Home</v>
      </c>
      <c r="R1446" s="8" t="str">
        <f t="array" ref="R1446">XLOOKUP(E1446,Store_Dim!A:A,Store_Dim!B:B,"Not Found")</f>
        <v>West</v>
      </c>
      <c r="S1446" s="8" t="str">
        <f t="array" ref="S1446">XLOOKUP(E1446,Store_Dim!A:A,Store_Dim!D:D,"Not Found")</f>
        <v>Flagship</v>
      </c>
    </row>
    <row r="1447" ht="14.25" customHeight="1">
      <c r="A1447" s="8" t="s">
        <v>3400</v>
      </c>
      <c r="B1447" s="12">
        <v>46925.0</v>
      </c>
      <c r="C1447" s="8" t="s">
        <v>134</v>
      </c>
      <c r="D1447" s="8" t="s">
        <v>1703</v>
      </c>
      <c r="E1447" s="8" t="s">
        <v>1899</v>
      </c>
      <c r="F1447" s="8">
        <v>3.0</v>
      </c>
      <c r="G1447" s="8">
        <v>158.27</v>
      </c>
      <c r="H1447" s="8">
        <v>0.24</v>
      </c>
      <c r="I1447" s="8">
        <f t="shared" si="1"/>
        <v>474.81</v>
      </c>
      <c r="J1447" s="8">
        <f t="shared" si="2"/>
        <v>-113.7144</v>
      </c>
      <c r="K1447" s="8" t="str">
        <f t="shared" si="3"/>
        <v>Jun</v>
      </c>
      <c r="L1447" s="8">
        <f t="shared" si="4"/>
        <v>2028</v>
      </c>
      <c r="N1447" s="8" t="str">
        <f t="array" ref="N1447">XLOOKUP(C1447,Customer_Dim!A:A,Customer_Dim!B:B,"Not Found")</f>
        <v>Jessica Acevedo</v>
      </c>
      <c r="O1447" s="8" t="str">
        <f t="array" ref="O1447">XLOOKUP(C1447,Customer_Dim!A:A,Customer_Dim!E:E,"Not Found")</f>
        <v>Amybury</v>
      </c>
      <c r="P1447" s="8" t="str">
        <f t="array" ref="P1447">XLOOKUP(D1447,Product_Dim!A:A,Product_Dim!B:B,"Not Found")</f>
        <v>Portable Power Bank</v>
      </c>
      <c r="Q1447" s="8" t="str">
        <f t="array" ref="Q1447">XLOOKUP(D1447,Product_Dim!A:A,Product_Dim!C:C,"Not Found")</f>
        <v>Electronics</v>
      </c>
      <c r="R1447" s="8" t="str">
        <f t="array" ref="R1447">XLOOKUP(E1447,Store_Dim!A:A,Store_Dim!B:B,"Not Found")</f>
        <v>East</v>
      </c>
      <c r="S1447" s="8" t="str">
        <f t="array" ref="S1447">XLOOKUP(E1447,Store_Dim!A:A,Store_Dim!D:D,"Not Found")</f>
        <v>Flagship</v>
      </c>
    </row>
    <row r="1448" ht="14.25" customHeight="1">
      <c r="A1448" s="8" t="s">
        <v>3401</v>
      </c>
      <c r="B1448" s="12">
        <v>46926.0</v>
      </c>
      <c r="C1448" s="8" t="s">
        <v>412</v>
      </c>
      <c r="D1448" s="8" t="s">
        <v>1572</v>
      </c>
      <c r="E1448" s="8" t="s">
        <v>1933</v>
      </c>
      <c r="F1448" s="8">
        <v>4.0</v>
      </c>
      <c r="G1448" s="8">
        <v>601.5</v>
      </c>
      <c r="H1448" s="8">
        <v>0.18</v>
      </c>
      <c r="I1448" s="8">
        <f t="shared" si="1"/>
        <v>2406</v>
      </c>
      <c r="J1448" s="8">
        <f t="shared" si="2"/>
        <v>-432.9</v>
      </c>
      <c r="K1448" s="8" t="str">
        <f t="shared" si="3"/>
        <v>Jun</v>
      </c>
      <c r="L1448" s="8">
        <f t="shared" si="4"/>
        <v>2028</v>
      </c>
      <c r="N1448" s="8" t="str">
        <f t="array" ref="N1448">XLOOKUP(C1448,Customer_Dim!A:A,Customer_Dim!B:B,"Not Found")</f>
        <v>Tyler Conrad</v>
      </c>
      <c r="O1448" s="8" t="str">
        <f t="array" ref="O1448">XLOOKUP(C1448,Customer_Dim!A:A,Customer_Dim!E:E,"Not Found")</f>
        <v>North Curtischester</v>
      </c>
      <c r="P1448" s="8" t="str">
        <f t="array" ref="P1448">XLOOKUP(D1448,Product_Dim!A:A,Product_Dim!B:B,"Not Found")</f>
        <v>Women's Casual Hoodie</v>
      </c>
      <c r="Q1448" s="8" t="str">
        <f t="array" ref="Q1448">XLOOKUP(D1448,Product_Dim!A:A,Product_Dim!C:C,"Not Found")</f>
        <v>Clothing</v>
      </c>
      <c r="R1448" s="8" t="str">
        <f t="array" ref="R1448">XLOOKUP(E1448,Store_Dim!A:A,Store_Dim!B:B,"Not Found")</f>
        <v>North</v>
      </c>
      <c r="S1448" s="8" t="str">
        <f t="array" ref="S1448">XLOOKUP(E1448,Store_Dim!A:A,Store_Dim!D:D,"Not Found")</f>
        <v>Flagship</v>
      </c>
    </row>
    <row r="1449" ht="14.25" customHeight="1">
      <c r="A1449" s="8" t="s">
        <v>3402</v>
      </c>
      <c r="B1449" s="12">
        <v>46927.0</v>
      </c>
      <c r="C1449" s="8" t="s">
        <v>265</v>
      </c>
      <c r="D1449" s="8" t="s">
        <v>1677</v>
      </c>
      <c r="E1449" s="8" t="s">
        <v>1939</v>
      </c>
      <c r="F1449" s="8">
        <v>2.0</v>
      </c>
      <c r="G1449" s="8">
        <v>46.39</v>
      </c>
      <c r="H1449" s="8">
        <v>0.07</v>
      </c>
      <c r="I1449" s="8">
        <f t="shared" si="1"/>
        <v>92.78</v>
      </c>
      <c r="J1449" s="8">
        <f t="shared" si="2"/>
        <v>-6.4246</v>
      </c>
      <c r="K1449" s="8" t="str">
        <f t="shared" si="3"/>
        <v>Jun</v>
      </c>
      <c r="L1449" s="8">
        <f t="shared" si="4"/>
        <v>2028</v>
      </c>
      <c r="N1449" s="8" t="str">
        <f t="array" ref="N1449">XLOOKUP(C1449,Customer_Dim!A:A,Customer_Dim!B:B,"Not Found")</f>
        <v>Roy Cole</v>
      </c>
      <c r="O1449" s="8" t="str">
        <f t="array" ref="O1449">XLOOKUP(C1449,Customer_Dim!A:A,Customer_Dim!E:E,"Not Found")</f>
        <v>North Cynthiatown</v>
      </c>
      <c r="P1449" s="8" t="str">
        <f t="array" ref="P1449">XLOOKUP(D1449,Product_Dim!A:A,Product_Dim!B:B,"Not Found")</f>
        <v>Basketball</v>
      </c>
      <c r="Q1449" s="8" t="str">
        <f t="array" ref="Q1449">XLOOKUP(D1449,Product_Dim!A:A,Product_Dim!C:C,"Not Found")</f>
        <v>Sports</v>
      </c>
      <c r="R1449" s="8" t="str">
        <f t="array" ref="R1449">XLOOKUP(E1449,Store_Dim!A:A,Store_Dim!B:B,"Not Found")</f>
        <v>East</v>
      </c>
      <c r="S1449" s="8" t="str">
        <f t="array" ref="S1449">XLOOKUP(E1449,Store_Dim!A:A,Store_Dim!D:D,"Not Found")</f>
        <v>Flagship</v>
      </c>
    </row>
    <row r="1450" ht="14.25" customHeight="1">
      <c r="A1450" s="8" t="s">
        <v>3403</v>
      </c>
      <c r="B1450" s="12">
        <v>46928.0</v>
      </c>
      <c r="C1450" s="8" t="s">
        <v>424</v>
      </c>
      <c r="D1450" s="8" t="s">
        <v>1836</v>
      </c>
      <c r="E1450" s="8" t="s">
        <v>1921</v>
      </c>
      <c r="F1450" s="8">
        <v>4.0</v>
      </c>
      <c r="G1450" s="8">
        <v>892.28</v>
      </c>
      <c r="H1450" s="8">
        <v>0.23</v>
      </c>
      <c r="I1450" s="8">
        <f t="shared" si="1"/>
        <v>3569.12</v>
      </c>
      <c r="J1450" s="8">
        <f t="shared" si="2"/>
        <v>-820.6676</v>
      </c>
      <c r="K1450" s="8" t="str">
        <f t="shared" si="3"/>
        <v>Jun</v>
      </c>
      <c r="L1450" s="8">
        <f t="shared" si="4"/>
        <v>2028</v>
      </c>
      <c r="N1450" s="8" t="str">
        <f t="array" ref="N1450">XLOOKUP(C1450,Customer_Dim!A:A,Customer_Dim!B:B,"Not Found")</f>
        <v>Michael Jones</v>
      </c>
      <c r="O1450" s="8" t="str">
        <f t="array" ref="O1450">XLOOKUP(C1450,Customer_Dim!A:A,Customer_Dim!E:E,"Not Found")</f>
        <v>North Edwardton</v>
      </c>
      <c r="P1450" s="8" t="str">
        <f t="array" ref="P1450">XLOOKUP(D1450,Product_Dim!A:A,Product_Dim!B:B,"Not Found")</f>
        <v>Fitness Resistance Bands</v>
      </c>
      <c r="Q1450" s="8" t="str">
        <f t="array" ref="Q1450">XLOOKUP(D1450,Product_Dim!A:A,Product_Dim!C:C,"Not Found")</f>
        <v>Sports</v>
      </c>
      <c r="R1450" s="8" t="str">
        <f t="array" ref="R1450">XLOOKUP(E1450,Store_Dim!A:A,Store_Dim!B:B,"Not Found")</f>
        <v>West</v>
      </c>
      <c r="S1450" s="8" t="str">
        <f t="array" ref="S1450">XLOOKUP(E1450,Store_Dim!A:A,Store_Dim!D:D,"Not Found")</f>
        <v>Online</v>
      </c>
    </row>
    <row r="1451" ht="14.25" customHeight="1">
      <c r="A1451" s="8" t="s">
        <v>3404</v>
      </c>
      <c r="B1451" s="12">
        <v>46929.0</v>
      </c>
      <c r="C1451" s="8" t="s">
        <v>730</v>
      </c>
      <c r="D1451" s="8" t="s">
        <v>1606</v>
      </c>
      <c r="E1451" s="8" t="s">
        <v>1919</v>
      </c>
      <c r="F1451" s="8">
        <v>2.0</v>
      </c>
      <c r="G1451" s="8">
        <v>164.23</v>
      </c>
      <c r="H1451" s="8">
        <v>0.17</v>
      </c>
      <c r="I1451" s="8">
        <f t="shared" si="1"/>
        <v>328.46</v>
      </c>
      <c r="J1451" s="8">
        <f t="shared" si="2"/>
        <v>-55.6682</v>
      </c>
      <c r="K1451" s="8" t="str">
        <f t="shared" si="3"/>
        <v>Jun</v>
      </c>
      <c r="L1451" s="8">
        <f t="shared" si="4"/>
        <v>2028</v>
      </c>
      <c r="N1451" s="8" t="str">
        <f t="array" ref="N1451">XLOOKUP(C1451,Customer_Dim!A:A,Customer_Dim!B:B,"Not Found")</f>
        <v>Lisa Young</v>
      </c>
      <c r="O1451" s="8" t="str">
        <f t="array" ref="O1451">XLOOKUP(C1451,Customer_Dim!A:A,Customer_Dim!E:E,"Not Found")</f>
        <v>Maybury</v>
      </c>
      <c r="P1451" s="8" t="str">
        <f t="array" ref="P1451">XLOOKUP(D1451,Product_Dim!A:A,Product_Dim!B:B,"Not Found")</f>
        <v>Ceramic Kitchen Bowl Set</v>
      </c>
      <c r="Q1451" s="8" t="str">
        <f t="array" ref="Q1451">XLOOKUP(D1451,Product_Dim!A:A,Product_Dim!C:C,"Not Found")</f>
        <v>Home</v>
      </c>
      <c r="R1451" s="8" t="str">
        <f t="array" ref="R1451">XLOOKUP(E1451,Store_Dim!A:A,Store_Dim!B:B,"Not Found")</f>
        <v>South</v>
      </c>
      <c r="S1451" s="8" t="str">
        <f t="array" ref="S1451">XLOOKUP(E1451,Store_Dim!A:A,Store_Dim!D:D,"Not Found")</f>
        <v>Online</v>
      </c>
    </row>
    <row r="1452" ht="14.25" customHeight="1">
      <c r="A1452" s="8" t="s">
        <v>3405</v>
      </c>
      <c r="B1452" s="12">
        <v>46930.0</v>
      </c>
      <c r="C1452" s="8" t="s">
        <v>1413</v>
      </c>
      <c r="D1452" s="8" t="s">
        <v>1601</v>
      </c>
      <c r="E1452" s="8" t="s">
        <v>1919</v>
      </c>
      <c r="F1452" s="8">
        <v>1.0</v>
      </c>
      <c r="G1452" s="8">
        <v>484.23</v>
      </c>
      <c r="H1452" s="8">
        <v>0.12</v>
      </c>
      <c r="I1452" s="8">
        <f t="shared" si="1"/>
        <v>484.23</v>
      </c>
      <c r="J1452" s="8">
        <f t="shared" si="2"/>
        <v>-57.9876</v>
      </c>
      <c r="K1452" s="8" t="str">
        <f t="shared" si="3"/>
        <v>Jun</v>
      </c>
      <c r="L1452" s="8">
        <f t="shared" si="4"/>
        <v>2028</v>
      </c>
      <c r="N1452" s="8" t="str">
        <f t="array" ref="N1452">XLOOKUP(C1452,Customer_Dim!A:A,Customer_Dim!B:B,"Not Found")</f>
        <v>Jeffery Wolf</v>
      </c>
      <c r="O1452" s="8" t="str">
        <f t="array" ref="O1452">XLOOKUP(C1452,Customer_Dim!A:A,Customer_Dim!E:E,"Not Found")</f>
        <v>New Laura</v>
      </c>
      <c r="P1452" s="8" t="str">
        <f t="array" ref="P1452">XLOOKUP(D1452,Product_Dim!A:A,Product_Dim!B:B,"Not Found")</f>
        <v>Adjustable Dumbbell Set</v>
      </c>
      <c r="Q1452" s="8" t="str">
        <f t="array" ref="Q1452">XLOOKUP(D1452,Product_Dim!A:A,Product_Dim!C:C,"Not Found")</f>
        <v>Sports</v>
      </c>
      <c r="R1452" s="8" t="str">
        <f t="array" ref="R1452">XLOOKUP(E1452,Store_Dim!A:A,Store_Dim!B:B,"Not Found")</f>
        <v>South</v>
      </c>
      <c r="S1452" s="8" t="str">
        <f t="array" ref="S1452">XLOOKUP(E1452,Store_Dim!A:A,Store_Dim!D:D,"Not Found")</f>
        <v>Online</v>
      </c>
    </row>
    <row r="1453" ht="14.25" customHeight="1">
      <c r="A1453" s="8" t="s">
        <v>3406</v>
      </c>
      <c r="B1453" s="12">
        <v>46931.0</v>
      </c>
      <c r="C1453" s="8" t="s">
        <v>40</v>
      </c>
      <c r="D1453" s="8" t="s">
        <v>1690</v>
      </c>
      <c r="E1453" s="8" t="s">
        <v>1939</v>
      </c>
      <c r="F1453" s="8">
        <v>3.0</v>
      </c>
      <c r="G1453" s="8">
        <v>341.51</v>
      </c>
      <c r="H1453" s="8">
        <v>0.22</v>
      </c>
      <c r="I1453" s="8">
        <f t="shared" si="1"/>
        <v>1024.53</v>
      </c>
      <c r="J1453" s="8">
        <f t="shared" si="2"/>
        <v>-225.1766</v>
      </c>
      <c r="K1453" s="8" t="str">
        <f t="shared" si="3"/>
        <v>Jun</v>
      </c>
      <c r="L1453" s="8">
        <f t="shared" si="4"/>
        <v>2028</v>
      </c>
      <c r="N1453" s="8" t="str">
        <f t="array" ref="N1453">XLOOKUP(C1453,Customer_Dim!A:A,Customer_Dim!B:B,"Not Found")</f>
        <v>Christine Vaughn</v>
      </c>
      <c r="O1453" s="8" t="str">
        <f t="array" ref="O1453">XLOOKUP(C1453,Customer_Dim!A:A,Customer_Dim!E:E,"Not Found")</f>
        <v>East Amandamouth</v>
      </c>
      <c r="P1453" s="8" t="str">
        <f t="array" ref="P1453">XLOOKUP(D1453,Product_Dim!A:A,Product_Dim!B:B,"Not Found")</f>
        <v>Bedroom Table Lamp</v>
      </c>
      <c r="Q1453" s="8" t="str">
        <f t="array" ref="Q1453">XLOOKUP(D1453,Product_Dim!A:A,Product_Dim!C:C,"Not Found")</f>
        <v>Home</v>
      </c>
      <c r="R1453" s="8" t="str">
        <f t="array" ref="R1453">XLOOKUP(E1453,Store_Dim!A:A,Store_Dim!B:B,"Not Found")</f>
        <v>East</v>
      </c>
      <c r="S1453" s="8" t="str">
        <f t="array" ref="S1453">XLOOKUP(E1453,Store_Dim!A:A,Store_Dim!D:D,"Not Found")</f>
        <v>Flagship</v>
      </c>
    </row>
    <row r="1454" ht="14.25" customHeight="1">
      <c r="A1454" s="8" t="s">
        <v>3407</v>
      </c>
      <c r="B1454" s="12">
        <v>46932.0</v>
      </c>
      <c r="C1454" s="8" t="s">
        <v>394</v>
      </c>
      <c r="D1454" s="8" t="s">
        <v>1884</v>
      </c>
      <c r="E1454" s="8" t="s">
        <v>1931</v>
      </c>
      <c r="F1454" s="8">
        <v>3.0</v>
      </c>
      <c r="G1454" s="8">
        <v>758.87</v>
      </c>
      <c r="H1454" s="8">
        <v>0.11</v>
      </c>
      <c r="I1454" s="8">
        <f t="shared" si="1"/>
        <v>2276.61</v>
      </c>
      <c r="J1454" s="8">
        <f t="shared" si="2"/>
        <v>-250.3171</v>
      </c>
      <c r="K1454" s="8" t="str">
        <f t="shared" si="3"/>
        <v>Jun</v>
      </c>
      <c r="L1454" s="8">
        <f t="shared" si="4"/>
        <v>2028</v>
      </c>
      <c r="N1454" s="8" t="str">
        <f t="array" ref="N1454">XLOOKUP(C1454,Customer_Dim!A:A,Customer_Dim!B:B,"Not Found")</f>
        <v>Amy Walker</v>
      </c>
      <c r="O1454" s="8" t="str">
        <f t="array" ref="O1454">XLOOKUP(C1454,Customer_Dim!A:A,Customer_Dim!E:E,"Not Found")</f>
        <v>Smithland</v>
      </c>
      <c r="P1454" s="8" t="str">
        <f t="array" ref="P1454">XLOOKUP(D1454,Product_Dim!A:A,Product_Dim!B:B,"Not Found")</f>
        <v>Portable Bluetooth Speaker</v>
      </c>
      <c r="Q1454" s="8" t="str">
        <f t="array" ref="Q1454">XLOOKUP(D1454,Product_Dim!A:A,Product_Dim!C:C,"Not Found")</f>
        <v>Electronics</v>
      </c>
      <c r="R1454" s="8" t="str">
        <f t="array" ref="R1454">XLOOKUP(E1454,Store_Dim!A:A,Store_Dim!B:B,"Not Found")</f>
        <v>East</v>
      </c>
      <c r="S1454" s="8" t="str">
        <f t="array" ref="S1454">XLOOKUP(E1454,Store_Dim!A:A,Store_Dim!D:D,"Not Found")</f>
        <v>Flagship</v>
      </c>
    </row>
    <row r="1455" ht="14.25" customHeight="1">
      <c r="A1455" s="8" t="s">
        <v>3408</v>
      </c>
      <c r="B1455" s="12">
        <v>46933.0</v>
      </c>
      <c r="C1455" s="8" t="s">
        <v>1465</v>
      </c>
      <c r="D1455" s="8" t="s">
        <v>1757</v>
      </c>
      <c r="E1455" s="8" t="s">
        <v>1929</v>
      </c>
      <c r="F1455" s="8">
        <v>3.0</v>
      </c>
      <c r="G1455" s="8">
        <v>560.52</v>
      </c>
      <c r="H1455" s="8">
        <v>0.17</v>
      </c>
      <c r="I1455" s="8">
        <f t="shared" si="1"/>
        <v>1681.56</v>
      </c>
      <c r="J1455" s="8">
        <f t="shared" si="2"/>
        <v>-285.6952</v>
      </c>
      <c r="K1455" s="8" t="str">
        <f t="shared" si="3"/>
        <v>Jun</v>
      </c>
      <c r="L1455" s="8">
        <f t="shared" si="4"/>
        <v>2028</v>
      </c>
      <c r="N1455" s="8" t="str">
        <f t="array" ref="N1455">XLOOKUP(C1455,Customer_Dim!A:A,Customer_Dim!B:B,"Not Found")</f>
        <v>Manuel Fisher</v>
      </c>
      <c r="O1455" s="8" t="str">
        <f t="array" ref="O1455">XLOOKUP(C1455,Customer_Dim!A:A,Customer_Dim!E:E,"Not Found")</f>
        <v>Kanebury</v>
      </c>
      <c r="P1455" s="8" t="str">
        <f t="array" ref="P1455">XLOOKUP(D1455,Product_Dim!A:A,Product_Dim!B:B,"Not Found")</f>
        <v>Premium Blanket Throw</v>
      </c>
      <c r="Q1455" s="8" t="str">
        <f t="array" ref="Q1455">XLOOKUP(D1455,Product_Dim!A:A,Product_Dim!C:C,"Not Found")</f>
        <v>Home</v>
      </c>
      <c r="R1455" s="8" t="str">
        <f t="array" ref="R1455">XLOOKUP(E1455,Store_Dim!A:A,Store_Dim!B:B,"Not Found")</f>
        <v>North</v>
      </c>
      <c r="S1455" s="8" t="str">
        <f t="array" ref="S1455">XLOOKUP(E1455,Store_Dim!A:A,Store_Dim!D:D,"Not Found")</f>
        <v>Online</v>
      </c>
    </row>
    <row r="1456" ht="14.25" customHeight="1">
      <c r="A1456" s="8" t="s">
        <v>3409</v>
      </c>
      <c r="B1456" s="12">
        <v>46934.0</v>
      </c>
      <c r="C1456" s="8" t="s">
        <v>1116</v>
      </c>
      <c r="D1456" s="8" t="s">
        <v>1878</v>
      </c>
      <c r="E1456" s="8" t="s">
        <v>1937</v>
      </c>
      <c r="F1456" s="8">
        <v>2.0</v>
      </c>
      <c r="G1456" s="8">
        <v>977.18</v>
      </c>
      <c r="H1456" s="8">
        <v>0.19</v>
      </c>
      <c r="I1456" s="8">
        <f t="shared" si="1"/>
        <v>1954.36</v>
      </c>
      <c r="J1456" s="8">
        <f t="shared" si="2"/>
        <v>-371.1384</v>
      </c>
      <c r="K1456" s="8" t="str">
        <f t="shared" si="3"/>
        <v>Jun</v>
      </c>
      <c r="L1456" s="8">
        <f t="shared" si="4"/>
        <v>2028</v>
      </c>
      <c r="N1456" s="8" t="str">
        <f t="array" ref="N1456">XLOOKUP(C1456,Customer_Dim!A:A,Customer_Dim!B:B,"Not Found")</f>
        <v>Jeffrey Mccarthy</v>
      </c>
      <c r="O1456" s="8" t="str">
        <f t="array" ref="O1456">XLOOKUP(C1456,Customer_Dim!A:A,Customer_Dim!E:E,"Not Found")</f>
        <v>North Samuel</v>
      </c>
      <c r="P1456" s="8" t="str">
        <f t="array" ref="P1456">XLOOKUP(D1456,Product_Dim!A:A,Product_Dim!B:B,"Not Found")</f>
        <v>Women's Formal Blazer</v>
      </c>
      <c r="Q1456" s="8" t="str">
        <f t="array" ref="Q1456">XLOOKUP(D1456,Product_Dim!A:A,Product_Dim!C:C,"Not Found")</f>
        <v>Clothing</v>
      </c>
      <c r="R1456" s="8" t="str">
        <f t="array" ref="R1456">XLOOKUP(E1456,Store_Dim!A:A,Store_Dim!B:B,"Not Found")</f>
        <v>North</v>
      </c>
      <c r="S1456" s="8" t="str">
        <f t="array" ref="S1456">XLOOKUP(E1456,Store_Dim!A:A,Store_Dim!D:D,"Not Found")</f>
        <v>Flagship</v>
      </c>
    </row>
    <row r="1457" ht="14.25" customHeight="1">
      <c r="A1457" s="8" t="s">
        <v>3410</v>
      </c>
      <c r="B1457" s="12">
        <v>46935.0</v>
      </c>
      <c r="C1457" s="8" t="s">
        <v>773</v>
      </c>
      <c r="D1457" s="8" t="s">
        <v>1989</v>
      </c>
      <c r="E1457" s="8" t="s">
        <v>1932</v>
      </c>
      <c r="F1457" s="8">
        <v>4.0</v>
      </c>
      <c r="G1457" s="8">
        <v>761.35</v>
      </c>
      <c r="H1457" s="8">
        <v>0.08</v>
      </c>
      <c r="I1457" s="8">
        <f t="shared" si="1"/>
        <v>3045.4</v>
      </c>
      <c r="J1457" s="8">
        <f t="shared" si="2"/>
        <v>-243.552</v>
      </c>
      <c r="K1457" s="8" t="str">
        <f t="shared" si="3"/>
        <v>Jul</v>
      </c>
      <c r="L1457" s="8">
        <f t="shared" si="4"/>
        <v>2028</v>
      </c>
      <c r="N1457" s="8" t="str">
        <f t="array" ref="N1457">XLOOKUP(C1457,Customer_Dim!A:A,Customer_Dim!B:B,"Not Found")</f>
        <v>Joshua Wilson</v>
      </c>
      <c r="O1457" s="8" t="str">
        <f t="array" ref="O1457">XLOOKUP(C1457,Customer_Dim!A:A,Customer_Dim!E:E,"Not Found")</f>
        <v>North Larryport</v>
      </c>
      <c r="P1457" s="8" t="str">
        <f t="array" ref="P1457">XLOOKUP(D1457,Product_Dim!A:A,Product_Dim!B:B,"Not Found")</f>
        <v>Not Found</v>
      </c>
      <c r="Q1457" s="8" t="str">
        <f t="array" ref="Q1457">XLOOKUP(D1457,Product_Dim!A:A,Product_Dim!C:C,"Not Found")</f>
        <v>Not Found</v>
      </c>
      <c r="R1457" s="8" t="str">
        <f t="array" ref="R1457">XLOOKUP(E1457,Store_Dim!A:A,Store_Dim!B:B,"Not Found")</f>
        <v>South</v>
      </c>
      <c r="S1457" s="8" t="str">
        <f t="array" ref="S1457">XLOOKUP(E1457,Store_Dim!A:A,Store_Dim!D:D,"Not Found")</f>
        <v>Outlet</v>
      </c>
    </row>
    <row r="1458" ht="14.25" customHeight="1">
      <c r="A1458" s="8" t="s">
        <v>3411</v>
      </c>
      <c r="B1458" s="12">
        <v>46936.0</v>
      </c>
      <c r="C1458" s="8" t="s">
        <v>604</v>
      </c>
      <c r="D1458" s="8" t="s">
        <v>1790</v>
      </c>
      <c r="E1458" s="8" t="s">
        <v>1939</v>
      </c>
      <c r="F1458" s="8">
        <v>2.0</v>
      </c>
      <c r="G1458" s="8">
        <v>947.56</v>
      </c>
      <c r="H1458" s="8">
        <v>0.02</v>
      </c>
      <c r="I1458" s="8">
        <f t="shared" si="1"/>
        <v>1895.12</v>
      </c>
      <c r="J1458" s="8">
        <f t="shared" si="2"/>
        <v>-37.8824</v>
      </c>
      <c r="K1458" s="8" t="str">
        <f t="shared" si="3"/>
        <v>Jul</v>
      </c>
      <c r="L1458" s="8">
        <f t="shared" si="4"/>
        <v>2028</v>
      </c>
      <c r="N1458" s="8" t="str">
        <f t="array" ref="N1458">XLOOKUP(C1458,Customer_Dim!A:A,Customer_Dim!B:B,"Not Found")</f>
        <v>Nicholas Bradshaw</v>
      </c>
      <c r="O1458" s="8" t="str">
        <f t="array" ref="O1458">XLOOKUP(C1458,Customer_Dim!A:A,Customer_Dim!E:E,"Not Found")</f>
        <v>Murphyfurt</v>
      </c>
      <c r="P1458" s="8" t="str">
        <f t="array" ref="P1458">XLOOKUP(D1458,Product_Dim!A:A,Product_Dim!B:B,"Not Found")</f>
        <v>Smart LED Light Strip</v>
      </c>
      <c r="Q1458" s="8" t="str">
        <f t="array" ref="Q1458">XLOOKUP(D1458,Product_Dim!A:A,Product_Dim!C:C,"Not Found")</f>
        <v>Electronics</v>
      </c>
      <c r="R1458" s="8" t="str">
        <f t="array" ref="R1458">XLOOKUP(E1458,Store_Dim!A:A,Store_Dim!B:B,"Not Found")</f>
        <v>East</v>
      </c>
      <c r="S1458" s="8" t="str">
        <f t="array" ref="S1458">XLOOKUP(E1458,Store_Dim!A:A,Store_Dim!D:D,"Not Found")</f>
        <v>Flagship</v>
      </c>
    </row>
    <row r="1459" ht="14.25" customHeight="1">
      <c r="A1459" s="8" t="s">
        <v>3412</v>
      </c>
      <c r="B1459" s="12">
        <v>46937.0</v>
      </c>
      <c r="C1459" s="8" t="s">
        <v>779</v>
      </c>
      <c r="D1459" s="8" t="s">
        <v>1716</v>
      </c>
      <c r="E1459" s="8" t="s">
        <v>1939</v>
      </c>
      <c r="F1459" s="8">
        <v>4.0</v>
      </c>
      <c r="G1459" s="8">
        <v>975.47</v>
      </c>
      <c r="H1459" s="8">
        <v>0.04</v>
      </c>
      <c r="I1459" s="8">
        <f t="shared" si="1"/>
        <v>3901.88</v>
      </c>
      <c r="J1459" s="8">
        <f t="shared" si="2"/>
        <v>-156.0352</v>
      </c>
      <c r="K1459" s="8" t="str">
        <f t="shared" si="3"/>
        <v>Jul</v>
      </c>
      <c r="L1459" s="8">
        <f t="shared" si="4"/>
        <v>2028</v>
      </c>
      <c r="N1459" s="8" t="str">
        <f t="array" ref="N1459">XLOOKUP(C1459,Customer_Dim!A:A,Customer_Dim!B:B,"Not Found")</f>
        <v>Steven Smith</v>
      </c>
      <c r="O1459" s="8" t="str">
        <f t="array" ref="O1459">XLOOKUP(C1459,Customer_Dim!A:A,Customer_Dim!E:E,"Not Found")</f>
        <v>Port Krista</v>
      </c>
      <c r="P1459" s="8" t="str">
        <f t="array" ref="P1459">XLOOKUP(D1459,Product_Dim!A:A,Product_Dim!B:B,"Not Found")</f>
        <v>USB External Hard Drive</v>
      </c>
      <c r="Q1459" s="8" t="str">
        <f t="array" ref="Q1459">XLOOKUP(D1459,Product_Dim!A:A,Product_Dim!C:C,"Not Found")</f>
        <v>Electronics</v>
      </c>
      <c r="R1459" s="8" t="str">
        <f t="array" ref="R1459">XLOOKUP(E1459,Store_Dim!A:A,Store_Dim!B:B,"Not Found")</f>
        <v>East</v>
      </c>
      <c r="S1459" s="8" t="str">
        <f t="array" ref="S1459">XLOOKUP(E1459,Store_Dim!A:A,Store_Dim!D:D,"Not Found")</f>
        <v>Flagship</v>
      </c>
    </row>
    <row r="1460" ht="14.25" customHeight="1">
      <c r="A1460" s="8" t="s">
        <v>3413</v>
      </c>
      <c r="B1460" s="12">
        <v>46938.0</v>
      </c>
      <c r="C1460" s="8" t="s">
        <v>1485</v>
      </c>
      <c r="D1460" s="8" t="s">
        <v>1617</v>
      </c>
      <c r="E1460" s="8" t="s">
        <v>1924</v>
      </c>
      <c r="F1460" s="8">
        <v>3.0</v>
      </c>
      <c r="G1460" s="8">
        <v>769.06</v>
      </c>
      <c r="H1460" s="8">
        <v>0.23</v>
      </c>
      <c r="I1460" s="8">
        <f t="shared" si="1"/>
        <v>2307.18</v>
      </c>
      <c r="J1460" s="8">
        <f t="shared" si="2"/>
        <v>-530.4214</v>
      </c>
      <c r="K1460" s="8" t="str">
        <f t="shared" si="3"/>
        <v>Jul</v>
      </c>
      <c r="L1460" s="8">
        <f t="shared" si="4"/>
        <v>2028</v>
      </c>
      <c r="N1460" s="8" t="str">
        <f t="array" ref="N1460">XLOOKUP(C1460,Customer_Dim!A:A,Customer_Dim!B:B,"Not Found")</f>
        <v>Andrea Harris</v>
      </c>
      <c r="O1460" s="8" t="str">
        <f t="array" ref="O1460">XLOOKUP(C1460,Customer_Dim!A:A,Customer_Dim!E:E,"Not Found")</f>
        <v>West Kelseyberg</v>
      </c>
      <c r="P1460" s="8" t="str">
        <f t="array" ref="P1460">XLOOKUP(D1460,Product_Dim!A:A,Product_Dim!B:B,"Not Found")</f>
        <v>USB-C Fast Charger</v>
      </c>
      <c r="Q1460" s="8" t="str">
        <f t="array" ref="Q1460">XLOOKUP(D1460,Product_Dim!A:A,Product_Dim!C:C,"Not Found")</f>
        <v>Electronics</v>
      </c>
      <c r="R1460" s="8" t="str">
        <f t="array" ref="R1460">XLOOKUP(E1460,Store_Dim!A:A,Store_Dim!B:B,"Not Found")</f>
        <v>South</v>
      </c>
      <c r="S1460" s="8" t="str">
        <f t="array" ref="S1460">XLOOKUP(E1460,Store_Dim!A:A,Store_Dim!D:D,"Not Found")</f>
        <v>Flagship</v>
      </c>
    </row>
    <row r="1461" ht="14.25" customHeight="1">
      <c r="A1461" s="8" t="s">
        <v>3414</v>
      </c>
      <c r="B1461" s="12">
        <v>46939.0</v>
      </c>
      <c r="C1461" s="8" t="s">
        <v>1511</v>
      </c>
      <c r="D1461" s="8" t="s">
        <v>1703</v>
      </c>
      <c r="E1461" s="8" t="s">
        <v>1906</v>
      </c>
      <c r="F1461" s="8">
        <v>3.0</v>
      </c>
      <c r="G1461" s="8">
        <v>824.75</v>
      </c>
      <c r="H1461" s="8">
        <v>0.23</v>
      </c>
      <c r="I1461" s="8">
        <f t="shared" si="1"/>
        <v>2474.25</v>
      </c>
      <c r="J1461" s="8">
        <f t="shared" si="2"/>
        <v>-568.8475</v>
      </c>
      <c r="K1461" s="8" t="str">
        <f t="shared" si="3"/>
        <v>Jul</v>
      </c>
      <c r="L1461" s="8">
        <f t="shared" si="4"/>
        <v>2028</v>
      </c>
      <c r="N1461" s="8" t="str">
        <f t="array" ref="N1461">XLOOKUP(C1461,Customer_Dim!A:A,Customer_Dim!B:B,"Not Found")</f>
        <v>Eric Lee</v>
      </c>
      <c r="O1461" s="8" t="str">
        <f t="array" ref="O1461">XLOOKUP(C1461,Customer_Dim!A:A,Customer_Dim!E:E,"Not Found")</f>
        <v>Lake April</v>
      </c>
      <c r="P1461" s="8" t="str">
        <f t="array" ref="P1461">XLOOKUP(D1461,Product_Dim!A:A,Product_Dim!B:B,"Not Found")</f>
        <v>Portable Power Bank</v>
      </c>
      <c r="Q1461" s="8" t="str">
        <f t="array" ref="Q1461">XLOOKUP(D1461,Product_Dim!A:A,Product_Dim!C:C,"Not Found")</f>
        <v>Electronics</v>
      </c>
      <c r="R1461" s="8" t="str">
        <f t="array" ref="R1461">XLOOKUP(E1461,Store_Dim!A:A,Store_Dim!B:B,"Not Found")</f>
        <v>South</v>
      </c>
      <c r="S1461" s="8" t="str">
        <f t="array" ref="S1461">XLOOKUP(E1461,Store_Dim!A:A,Store_Dim!D:D,"Not Found")</f>
        <v>Outlet</v>
      </c>
    </row>
    <row r="1462" ht="14.25" customHeight="1">
      <c r="A1462" s="8" t="s">
        <v>3415</v>
      </c>
      <c r="B1462" s="12">
        <v>46940.0</v>
      </c>
      <c r="C1462" s="8" t="s">
        <v>1265</v>
      </c>
      <c r="D1462" s="8" t="s">
        <v>1793</v>
      </c>
      <c r="E1462" s="8" t="s">
        <v>1912</v>
      </c>
      <c r="F1462" s="8">
        <v>2.0</v>
      </c>
      <c r="G1462" s="8">
        <v>821.35</v>
      </c>
      <c r="H1462" s="8">
        <v>0.11</v>
      </c>
      <c r="I1462" s="8">
        <f t="shared" si="1"/>
        <v>1642.7</v>
      </c>
      <c r="J1462" s="8">
        <f t="shared" si="2"/>
        <v>-180.587</v>
      </c>
      <c r="K1462" s="8" t="str">
        <f t="shared" si="3"/>
        <v>Jul</v>
      </c>
      <c r="L1462" s="8">
        <f t="shared" si="4"/>
        <v>2028</v>
      </c>
      <c r="N1462" s="8" t="str">
        <f t="array" ref="N1462">XLOOKUP(C1462,Customer_Dim!A:A,Customer_Dim!B:B,"Not Found")</f>
        <v>Terry Moses</v>
      </c>
      <c r="O1462" s="8" t="str">
        <f t="array" ref="O1462">XLOOKUP(C1462,Customer_Dim!A:A,Customer_Dim!E:E,"Not Found")</f>
        <v>Leahmouth</v>
      </c>
      <c r="P1462" s="8" t="str">
        <f t="array" ref="P1462">XLOOKUP(D1462,Product_Dim!A:A,Product_Dim!B:B,"Not Found")</f>
        <v>Wooden Nightstand</v>
      </c>
      <c r="Q1462" s="8" t="str">
        <f t="array" ref="Q1462">XLOOKUP(D1462,Product_Dim!A:A,Product_Dim!C:C,"Not Found")</f>
        <v>Home</v>
      </c>
      <c r="R1462" s="8" t="str">
        <f t="array" ref="R1462">XLOOKUP(E1462,Store_Dim!A:A,Store_Dim!B:B,"Not Found")</f>
        <v>South</v>
      </c>
      <c r="S1462" s="8" t="str">
        <f t="array" ref="S1462">XLOOKUP(E1462,Store_Dim!A:A,Store_Dim!D:D,"Not Found")</f>
        <v>Online</v>
      </c>
    </row>
    <row r="1463" ht="14.25" customHeight="1">
      <c r="A1463" s="8" t="s">
        <v>3416</v>
      </c>
      <c r="B1463" s="12">
        <v>46941.0</v>
      </c>
      <c r="C1463" s="8" t="s">
        <v>1276</v>
      </c>
      <c r="D1463" s="8" t="s">
        <v>1617</v>
      </c>
      <c r="E1463" s="8" t="s">
        <v>1926</v>
      </c>
      <c r="F1463" s="8">
        <v>1.0</v>
      </c>
      <c r="G1463" s="8">
        <v>120.57</v>
      </c>
      <c r="H1463" s="8">
        <v>0.06</v>
      </c>
      <c r="I1463" s="8">
        <f t="shared" si="1"/>
        <v>120.57</v>
      </c>
      <c r="J1463" s="8">
        <f t="shared" si="2"/>
        <v>-7.1742</v>
      </c>
      <c r="K1463" s="8" t="str">
        <f t="shared" si="3"/>
        <v>Jul</v>
      </c>
      <c r="L1463" s="8">
        <f t="shared" si="4"/>
        <v>2028</v>
      </c>
      <c r="N1463" s="8" t="str">
        <f t="array" ref="N1463">XLOOKUP(C1463,Customer_Dim!A:A,Customer_Dim!B:B,"Not Found")</f>
        <v>Eric Wolfe</v>
      </c>
      <c r="O1463" s="8" t="str">
        <f t="array" ref="O1463">XLOOKUP(C1463,Customer_Dim!A:A,Customer_Dim!E:E,"Not Found")</f>
        <v>Garciaview</v>
      </c>
      <c r="P1463" s="8" t="str">
        <f t="array" ref="P1463">XLOOKUP(D1463,Product_Dim!A:A,Product_Dim!B:B,"Not Found")</f>
        <v>USB-C Fast Charger</v>
      </c>
      <c r="Q1463" s="8" t="str">
        <f t="array" ref="Q1463">XLOOKUP(D1463,Product_Dim!A:A,Product_Dim!C:C,"Not Found")</f>
        <v>Electronics</v>
      </c>
      <c r="R1463" s="8" t="str">
        <f t="array" ref="R1463">XLOOKUP(E1463,Store_Dim!A:A,Store_Dim!B:B,"Not Found")</f>
        <v>East</v>
      </c>
      <c r="S1463" s="8" t="str">
        <f t="array" ref="S1463">XLOOKUP(E1463,Store_Dim!A:A,Store_Dim!D:D,"Not Found")</f>
        <v>Online</v>
      </c>
    </row>
    <row r="1464" ht="14.25" customHeight="1">
      <c r="A1464" s="8" t="s">
        <v>3417</v>
      </c>
      <c r="B1464" s="12">
        <v>46942.0</v>
      </c>
      <c r="C1464" s="8" t="s">
        <v>1068</v>
      </c>
      <c r="D1464" s="8" t="s">
        <v>1857</v>
      </c>
      <c r="E1464" s="8" t="s">
        <v>1903</v>
      </c>
      <c r="F1464" s="8">
        <v>1.0</v>
      </c>
      <c r="G1464" s="8">
        <v>122.27</v>
      </c>
      <c r="H1464" s="8">
        <v>0.26</v>
      </c>
      <c r="I1464" s="8">
        <f t="shared" si="1"/>
        <v>122.27</v>
      </c>
      <c r="J1464" s="8">
        <f t="shared" si="2"/>
        <v>-31.5302</v>
      </c>
      <c r="K1464" s="8" t="str">
        <f t="shared" si="3"/>
        <v>Jul</v>
      </c>
      <c r="L1464" s="8">
        <f t="shared" si="4"/>
        <v>2028</v>
      </c>
      <c r="N1464" s="8" t="str">
        <f t="array" ref="N1464">XLOOKUP(C1464,Customer_Dim!A:A,Customer_Dim!B:B,"Not Found")</f>
        <v>Jennifer Woods</v>
      </c>
      <c r="O1464" s="8" t="str">
        <f t="array" ref="O1464">XLOOKUP(C1464,Customer_Dim!A:A,Customer_Dim!E:E,"Not Found")</f>
        <v>West Brendamouth</v>
      </c>
      <c r="P1464" s="8" t="str">
        <f t="array" ref="P1464">XLOOKUP(D1464,Product_Dim!A:A,Product_Dim!B:B,"Not Found")</f>
        <v>Face Foundation Kit</v>
      </c>
      <c r="Q1464" s="8" t="str">
        <f t="array" ref="Q1464">XLOOKUP(D1464,Product_Dim!A:A,Product_Dim!C:C,"Not Found")</f>
        <v>Beauty</v>
      </c>
      <c r="R1464" s="8" t="str">
        <f t="array" ref="R1464">XLOOKUP(E1464,Store_Dim!A:A,Store_Dim!B:B,"Not Found")</f>
        <v>North</v>
      </c>
      <c r="S1464" s="8" t="str">
        <f t="array" ref="S1464">XLOOKUP(E1464,Store_Dim!A:A,Store_Dim!D:D,"Not Found")</f>
        <v>Flagship</v>
      </c>
    </row>
    <row r="1465" ht="14.25" customHeight="1">
      <c r="A1465" s="8" t="s">
        <v>3418</v>
      </c>
      <c r="B1465" s="12">
        <v>46943.0</v>
      </c>
      <c r="C1465" s="8" t="s">
        <v>577</v>
      </c>
      <c r="D1465" s="8" t="s">
        <v>1662</v>
      </c>
      <c r="E1465" s="8" t="s">
        <v>1906</v>
      </c>
      <c r="F1465" s="8">
        <v>2.0</v>
      </c>
      <c r="G1465" s="8">
        <v>182.89</v>
      </c>
      <c r="H1465" s="8">
        <v>0.11</v>
      </c>
      <c r="I1465" s="8">
        <f t="shared" si="1"/>
        <v>365.78</v>
      </c>
      <c r="J1465" s="8">
        <f t="shared" si="2"/>
        <v>-40.1258</v>
      </c>
      <c r="K1465" s="8" t="str">
        <f t="shared" si="3"/>
        <v>Jul</v>
      </c>
      <c r="L1465" s="8">
        <f t="shared" si="4"/>
        <v>2028</v>
      </c>
      <c r="N1465" s="8" t="str">
        <f t="array" ref="N1465">XLOOKUP(C1465,Customer_Dim!A:A,Customer_Dim!B:B,"Not Found")</f>
        <v>Christopher Garcia DDS</v>
      </c>
      <c r="O1465" s="8" t="str">
        <f t="array" ref="O1465">XLOOKUP(C1465,Customer_Dim!A:A,Customer_Dim!E:E,"Not Found")</f>
        <v>New Joseph</v>
      </c>
      <c r="P1465" s="8" t="str">
        <f t="array" ref="P1465">XLOOKUP(D1465,Product_Dim!A:A,Product_Dim!B:B,"Not Found")</f>
        <v>Wireless Bluetooth Speaker</v>
      </c>
      <c r="Q1465" s="8" t="str">
        <f t="array" ref="Q1465">XLOOKUP(D1465,Product_Dim!A:A,Product_Dim!C:C,"Not Found")</f>
        <v>Electronics</v>
      </c>
      <c r="R1465" s="8" t="str">
        <f t="array" ref="R1465">XLOOKUP(E1465,Store_Dim!A:A,Store_Dim!B:B,"Not Found")</f>
        <v>South</v>
      </c>
      <c r="S1465" s="8" t="str">
        <f t="array" ref="S1465">XLOOKUP(E1465,Store_Dim!A:A,Store_Dim!D:D,"Not Found")</f>
        <v>Outlet</v>
      </c>
    </row>
    <row r="1466" ht="14.25" customHeight="1">
      <c r="A1466" s="8" t="s">
        <v>3419</v>
      </c>
      <c r="B1466" s="12">
        <v>46944.0</v>
      </c>
      <c r="C1466" s="8" t="s">
        <v>1176</v>
      </c>
      <c r="D1466" s="8" t="s">
        <v>1725</v>
      </c>
      <c r="E1466" s="8" t="s">
        <v>1912</v>
      </c>
      <c r="F1466" s="8">
        <v>1.0</v>
      </c>
      <c r="G1466" s="8">
        <v>695.26</v>
      </c>
      <c r="H1466" s="8">
        <v>0.23</v>
      </c>
      <c r="I1466" s="8">
        <f t="shared" si="1"/>
        <v>695.26</v>
      </c>
      <c r="J1466" s="8">
        <f t="shared" si="2"/>
        <v>-159.6798</v>
      </c>
      <c r="K1466" s="8" t="str">
        <f t="shared" si="3"/>
        <v>Jul</v>
      </c>
      <c r="L1466" s="8">
        <f t="shared" si="4"/>
        <v>2028</v>
      </c>
      <c r="N1466" s="8" t="str">
        <f t="array" ref="N1466">XLOOKUP(C1466,Customer_Dim!A:A,Customer_Dim!B:B,"Not Found")</f>
        <v>Michael Garner</v>
      </c>
      <c r="O1466" s="8" t="str">
        <f t="array" ref="O1466">XLOOKUP(C1466,Customer_Dim!A:A,Customer_Dim!E:E,"Not Found")</f>
        <v>Port Crystal</v>
      </c>
      <c r="P1466" s="8" t="str">
        <f t="array" ref="P1466">XLOOKUP(D1466,Product_Dim!A:A,Product_Dim!B:B,"Not Found")</f>
        <v>Men's Winter Jacket</v>
      </c>
      <c r="Q1466" s="8" t="str">
        <f t="array" ref="Q1466">XLOOKUP(D1466,Product_Dim!A:A,Product_Dim!C:C,"Not Found")</f>
        <v>Clothing</v>
      </c>
      <c r="R1466" s="8" t="str">
        <f t="array" ref="R1466">XLOOKUP(E1466,Store_Dim!A:A,Store_Dim!B:B,"Not Found")</f>
        <v>South</v>
      </c>
      <c r="S1466" s="8" t="str">
        <f t="array" ref="S1466">XLOOKUP(E1466,Store_Dim!A:A,Store_Dim!D:D,"Not Found")</f>
        <v>Online</v>
      </c>
    </row>
    <row r="1467" ht="14.25" customHeight="1">
      <c r="A1467" s="8" t="s">
        <v>3420</v>
      </c>
      <c r="B1467" s="12">
        <v>46945.0</v>
      </c>
      <c r="C1467" s="8" t="s">
        <v>124</v>
      </c>
      <c r="D1467" s="8" t="s">
        <v>1671</v>
      </c>
      <c r="E1467" s="8" t="s">
        <v>1917</v>
      </c>
      <c r="F1467" s="8">
        <v>2.0</v>
      </c>
      <c r="G1467" s="8">
        <v>408.8</v>
      </c>
      <c r="H1467" s="8">
        <v>0.17</v>
      </c>
      <c r="I1467" s="8">
        <f t="shared" si="1"/>
        <v>817.6</v>
      </c>
      <c r="J1467" s="8">
        <f t="shared" si="2"/>
        <v>-138.822</v>
      </c>
      <c r="K1467" s="8" t="str">
        <f t="shared" si="3"/>
        <v>Jul</v>
      </c>
      <c r="L1467" s="8">
        <f t="shared" si="4"/>
        <v>2028</v>
      </c>
      <c r="N1467" s="8" t="str">
        <f t="array" ref="N1467">XLOOKUP(C1467,Customer_Dim!A:A,Customer_Dim!B:B,"Not Found")</f>
        <v>Leslie Johnson</v>
      </c>
      <c r="O1467" s="8" t="str">
        <f t="array" ref="O1467">XLOOKUP(C1467,Customer_Dim!A:A,Customer_Dim!E:E,"Not Found")</f>
        <v>Mollyshire</v>
      </c>
      <c r="P1467" s="8" t="str">
        <f t="array" ref="P1467">XLOOKUP(D1467,Product_Dim!A:A,Product_Dim!B:B,"Not Found")</f>
        <v>Fabric Sofa Throw Blanket</v>
      </c>
      <c r="Q1467" s="8" t="str">
        <f t="array" ref="Q1467">XLOOKUP(D1467,Product_Dim!A:A,Product_Dim!C:C,"Not Found")</f>
        <v>Home</v>
      </c>
      <c r="R1467" s="8" t="str">
        <f t="array" ref="R1467">XLOOKUP(E1467,Store_Dim!A:A,Store_Dim!B:B,"Not Found")</f>
        <v>East</v>
      </c>
      <c r="S1467" s="8" t="str">
        <f t="array" ref="S1467">XLOOKUP(E1467,Store_Dim!A:A,Store_Dim!D:D,"Not Found")</f>
        <v>Online</v>
      </c>
    </row>
    <row r="1468" ht="14.25" customHeight="1">
      <c r="A1468" s="8" t="s">
        <v>3421</v>
      </c>
      <c r="B1468" s="12">
        <v>46946.0</v>
      </c>
      <c r="C1468" s="8" t="s">
        <v>745</v>
      </c>
      <c r="D1468" s="8" t="s">
        <v>1735</v>
      </c>
      <c r="E1468" s="8" t="s">
        <v>1921</v>
      </c>
      <c r="F1468" s="8">
        <v>3.0</v>
      </c>
      <c r="G1468" s="8">
        <v>512.15</v>
      </c>
      <c r="H1468" s="8">
        <v>0.12</v>
      </c>
      <c r="I1468" s="8">
        <f t="shared" si="1"/>
        <v>1536.45</v>
      </c>
      <c r="J1468" s="8">
        <f t="shared" si="2"/>
        <v>-184.254</v>
      </c>
      <c r="K1468" s="8" t="str">
        <f t="shared" si="3"/>
        <v>Jul</v>
      </c>
      <c r="L1468" s="8">
        <f t="shared" si="4"/>
        <v>2028</v>
      </c>
      <c r="N1468" s="8" t="str">
        <f t="array" ref="N1468">XLOOKUP(C1468,Customer_Dim!A:A,Customer_Dim!B:B,"Not Found")</f>
        <v>Alexis Castaneda</v>
      </c>
      <c r="O1468" s="8" t="str">
        <f t="array" ref="O1468">XLOOKUP(C1468,Customer_Dim!A:A,Customer_Dim!E:E,"Not Found")</f>
        <v>Morrisbury</v>
      </c>
      <c r="P1468" s="8" t="str">
        <f t="array" ref="P1468">XLOOKUP(D1468,Product_Dim!A:A,Product_Dim!B:B,"Not Found")</f>
        <v>Men's Roll-On Perfume</v>
      </c>
      <c r="Q1468" s="8" t="str">
        <f t="array" ref="Q1468">XLOOKUP(D1468,Product_Dim!A:A,Product_Dim!C:C,"Not Found")</f>
        <v>Beauty</v>
      </c>
      <c r="R1468" s="8" t="str">
        <f t="array" ref="R1468">XLOOKUP(E1468,Store_Dim!A:A,Store_Dim!B:B,"Not Found")</f>
        <v>West</v>
      </c>
      <c r="S1468" s="8" t="str">
        <f t="array" ref="S1468">XLOOKUP(E1468,Store_Dim!A:A,Store_Dim!D:D,"Not Found")</f>
        <v>Online</v>
      </c>
    </row>
    <row r="1469" ht="14.25" customHeight="1">
      <c r="A1469" s="8" t="s">
        <v>3422</v>
      </c>
      <c r="B1469" s="12">
        <v>46947.0</v>
      </c>
      <c r="C1469" s="8" t="s">
        <v>1288</v>
      </c>
      <c r="D1469" s="8" t="s">
        <v>1601</v>
      </c>
      <c r="E1469" s="8" t="s">
        <v>1921</v>
      </c>
      <c r="F1469" s="8">
        <v>3.0</v>
      </c>
      <c r="G1469" s="8">
        <v>136.4</v>
      </c>
      <c r="H1469" s="8">
        <v>0.15</v>
      </c>
      <c r="I1469" s="8">
        <f t="shared" si="1"/>
        <v>409.2</v>
      </c>
      <c r="J1469" s="8">
        <f t="shared" si="2"/>
        <v>-61.23</v>
      </c>
      <c r="K1469" s="8" t="str">
        <f t="shared" si="3"/>
        <v>Jul</v>
      </c>
      <c r="L1469" s="8">
        <f t="shared" si="4"/>
        <v>2028</v>
      </c>
      <c r="N1469" s="8" t="str">
        <f t="array" ref="N1469">XLOOKUP(C1469,Customer_Dim!A:A,Customer_Dim!B:B,"Not Found")</f>
        <v>Sarah Smith</v>
      </c>
      <c r="O1469" s="8" t="str">
        <f t="array" ref="O1469">XLOOKUP(C1469,Customer_Dim!A:A,Customer_Dim!E:E,"Not Found")</f>
        <v>Kathleenport</v>
      </c>
      <c r="P1469" s="8" t="str">
        <f t="array" ref="P1469">XLOOKUP(D1469,Product_Dim!A:A,Product_Dim!B:B,"Not Found")</f>
        <v>Adjustable Dumbbell Set</v>
      </c>
      <c r="Q1469" s="8" t="str">
        <f t="array" ref="Q1469">XLOOKUP(D1469,Product_Dim!A:A,Product_Dim!C:C,"Not Found")</f>
        <v>Sports</v>
      </c>
      <c r="R1469" s="8" t="str">
        <f t="array" ref="R1469">XLOOKUP(E1469,Store_Dim!A:A,Store_Dim!B:B,"Not Found")</f>
        <v>West</v>
      </c>
      <c r="S1469" s="8" t="str">
        <f t="array" ref="S1469">XLOOKUP(E1469,Store_Dim!A:A,Store_Dim!D:D,"Not Found")</f>
        <v>Online</v>
      </c>
    </row>
    <row r="1470" ht="14.25" customHeight="1">
      <c r="A1470" s="8" t="s">
        <v>3423</v>
      </c>
      <c r="B1470" s="12">
        <v>46948.0</v>
      </c>
      <c r="C1470" s="8" t="s">
        <v>591</v>
      </c>
      <c r="D1470" s="8" t="s">
        <v>1587</v>
      </c>
      <c r="E1470" s="8" t="s">
        <v>1910</v>
      </c>
      <c r="F1470" s="8">
        <v>2.0</v>
      </c>
      <c r="G1470" s="8">
        <v>42.51</v>
      </c>
      <c r="H1470" s="8">
        <v>0.04</v>
      </c>
      <c r="I1470" s="8">
        <f t="shared" si="1"/>
        <v>85.02</v>
      </c>
      <c r="J1470" s="8">
        <f t="shared" si="2"/>
        <v>-3.3608</v>
      </c>
      <c r="K1470" s="8" t="str">
        <f t="shared" si="3"/>
        <v>Jul</v>
      </c>
      <c r="L1470" s="8">
        <f t="shared" si="4"/>
        <v>2028</v>
      </c>
      <c r="N1470" s="8" t="str">
        <f t="array" ref="N1470">XLOOKUP(C1470,Customer_Dim!A:A,Customer_Dim!B:B,"Not Found")</f>
        <v>Michelle Rogers</v>
      </c>
      <c r="O1470" s="8" t="str">
        <f t="array" ref="O1470">XLOOKUP(C1470,Customer_Dim!A:A,Customer_Dim!E:E,"Not Found")</f>
        <v>East Jessicaborough</v>
      </c>
      <c r="P1470" s="8" t="str">
        <f t="array" ref="P1470">XLOOKUP(D1470,Product_Dim!A:A,Product_Dim!B:B,"Not Found")</f>
        <v>Herbal Face Moisturizer</v>
      </c>
      <c r="Q1470" s="8" t="str">
        <f t="array" ref="Q1470">XLOOKUP(D1470,Product_Dim!A:A,Product_Dim!C:C,"Not Found")</f>
        <v>Beauty</v>
      </c>
      <c r="R1470" s="8" t="str">
        <f t="array" ref="R1470">XLOOKUP(E1470,Store_Dim!A:A,Store_Dim!B:B,"Not Found")</f>
        <v>North</v>
      </c>
      <c r="S1470" s="8" t="str">
        <f t="array" ref="S1470">XLOOKUP(E1470,Store_Dim!A:A,Store_Dim!D:D,"Not Found")</f>
        <v>Outlet</v>
      </c>
    </row>
    <row r="1471" ht="14.25" customHeight="1">
      <c r="A1471" s="8" t="s">
        <v>3424</v>
      </c>
      <c r="B1471" s="12">
        <v>46949.0</v>
      </c>
      <c r="C1471" s="8" t="s">
        <v>1140</v>
      </c>
      <c r="D1471" s="8" t="s">
        <v>1815</v>
      </c>
      <c r="E1471" s="8" t="s">
        <v>1919</v>
      </c>
      <c r="F1471" s="8">
        <v>3.0</v>
      </c>
      <c r="G1471" s="8">
        <v>582.1</v>
      </c>
      <c r="H1471" s="8">
        <v>0.12</v>
      </c>
      <c r="I1471" s="8">
        <f t="shared" si="1"/>
        <v>1746.3</v>
      </c>
      <c r="J1471" s="8">
        <f t="shared" si="2"/>
        <v>-209.436</v>
      </c>
      <c r="K1471" s="8" t="str">
        <f t="shared" si="3"/>
        <v>Jul</v>
      </c>
      <c r="L1471" s="8">
        <f t="shared" si="4"/>
        <v>2028</v>
      </c>
      <c r="N1471" s="8" t="str">
        <f t="array" ref="N1471">XLOOKUP(C1471,Customer_Dim!A:A,Customer_Dim!B:B,"Not Found")</f>
        <v>Melanie Lam</v>
      </c>
      <c r="O1471" s="8" t="str">
        <f t="array" ref="O1471">XLOOKUP(C1471,Customer_Dim!A:A,Customer_Dim!E:E,"Not Found")</f>
        <v>East Michaelton</v>
      </c>
      <c r="P1471" s="8" t="str">
        <f t="array" ref="P1471">XLOOKUP(D1471,Product_Dim!A:A,Product_Dim!B:B,"Not Found")</f>
        <v>Women's Ankle Boots</v>
      </c>
      <c r="Q1471" s="8" t="str">
        <f t="array" ref="Q1471">XLOOKUP(D1471,Product_Dim!A:A,Product_Dim!C:C,"Not Found")</f>
        <v>Clothing</v>
      </c>
      <c r="R1471" s="8" t="str">
        <f t="array" ref="R1471">XLOOKUP(E1471,Store_Dim!A:A,Store_Dim!B:B,"Not Found")</f>
        <v>South</v>
      </c>
      <c r="S1471" s="8" t="str">
        <f t="array" ref="S1471">XLOOKUP(E1471,Store_Dim!A:A,Store_Dim!D:D,"Not Found")</f>
        <v>Online</v>
      </c>
    </row>
    <row r="1472" ht="14.25" customHeight="1">
      <c r="A1472" s="8" t="s">
        <v>3425</v>
      </c>
      <c r="B1472" s="12">
        <v>46950.0</v>
      </c>
      <c r="C1472" s="8" t="s">
        <v>723</v>
      </c>
      <c r="D1472" s="8" t="s">
        <v>1836</v>
      </c>
      <c r="E1472" s="8" t="s">
        <v>1937</v>
      </c>
      <c r="F1472" s="8">
        <v>4.0</v>
      </c>
      <c r="G1472" s="8">
        <v>461.52</v>
      </c>
      <c r="H1472" s="8">
        <v>0.0</v>
      </c>
      <c r="I1472" s="8">
        <f t="shared" si="1"/>
        <v>1846.08</v>
      </c>
      <c r="J1472" s="8">
        <f t="shared" si="2"/>
        <v>0</v>
      </c>
      <c r="K1472" s="8" t="str">
        <f t="shared" si="3"/>
        <v>Jul</v>
      </c>
      <c r="L1472" s="8">
        <f t="shared" si="4"/>
        <v>2028</v>
      </c>
      <c r="N1472" s="8" t="str">
        <f t="array" ref="N1472">XLOOKUP(C1472,Customer_Dim!A:A,Customer_Dim!B:B,"Not Found")</f>
        <v>Jordan Wells</v>
      </c>
      <c r="O1472" s="8" t="str">
        <f t="array" ref="O1472">XLOOKUP(C1472,Customer_Dim!A:A,Customer_Dim!E:E,"Not Found")</f>
        <v>Phillipschester   </v>
      </c>
      <c r="P1472" s="8" t="str">
        <f t="array" ref="P1472">XLOOKUP(D1472,Product_Dim!A:A,Product_Dim!B:B,"Not Found")</f>
        <v>Fitness Resistance Bands</v>
      </c>
      <c r="Q1472" s="8" t="str">
        <f t="array" ref="Q1472">XLOOKUP(D1472,Product_Dim!A:A,Product_Dim!C:C,"Not Found")</f>
        <v>Sports</v>
      </c>
      <c r="R1472" s="8" t="str">
        <f t="array" ref="R1472">XLOOKUP(E1472,Store_Dim!A:A,Store_Dim!B:B,"Not Found")</f>
        <v>North</v>
      </c>
      <c r="S1472" s="8" t="str">
        <f t="array" ref="S1472">XLOOKUP(E1472,Store_Dim!A:A,Store_Dim!D:D,"Not Found")</f>
        <v>Flagship</v>
      </c>
    </row>
    <row r="1473" ht="14.25" customHeight="1">
      <c r="A1473" s="8" t="s">
        <v>3426</v>
      </c>
      <c r="B1473" s="12">
        <v>46951.0</v>
      </c>
      <c r="C1473" s="8" t="s">
        <v>1540</v>
      </c>
      <c r="D1473" s="8" t="s">
        <v>1989</v>
      </c>
      <c r="E1473" s="8" t="s">
        <v>1928</v>
      </c>
      <c r="F1473" s="8">
        <v>1.0</v>
      </c>
      <c r="G1473" s="8">
        <v>558.42</v>
      </c>
      <c r="H1473" s="8">
        <v>0.03</v>
      </c>
      <c r="I1473" s="8">
        <f t="shared" si="1"/>
        <v>558.42</v>
      </c>
      <c r="J1473" s="8">
        <f t="shared" si="2"/>
        <v>-16.7226</v>
      </c>
      <c r="K1473" s="8" t="str">
        <f t="shared" si="3"/>
        <v>Jul</v>
      </c>
      <c r="L1473" s="8">
        <f t="shared" si="4"/>
        <v>2028</v>
      </c>
      <c r="N1473" s="8" t="str">
        <f t="array" ref="N1473">XLOOKUP(C1473,Customer_Dim!A:A,Customer_Dim!B:B,"Not Found")</f>
        <v>Christopher Ford</v>
      </c>
      <c r="O1473" s="8" t="str">
        <f t="array" ref="O1473">XLOOKUP(C1473,Customer_Dim!A:A,Customer_Dim!E:E,"Not Found")</f>
        <v>North Seanfurt</v>
      </c>
      <c r="P1473" s="8" t="str">
        <f t="array" ref="P1473">XLOOKUP(D1473,Product_Dim!A:A,Product_Dim!B:B,"Not Found")</f>
        <v>Not Found</v>
      </c>
      <c r="Q1473" s="8" t="str">
        <f t="array" ref="Q1473">XLOOKUP(D1473,Product_Dim!A:A,Product_Dim!C:C,"Not Found")</f>
        <v>Not Found</v>
      </c>
      <c r="R1473" s="8" t="str">
        <f t="array" ref="R1473">XLOOKUP(E1473,Store_Dim!A:A,Store_Dim!B:B,"Not Found")</f>
        <v>South</v>
      </c>
      <c r="S1473" s="8" t="str">
        <f t="array" ref="S1473">XLOOKUP(E1473,Store_Dim!A:A,Store_Dim!D:D,"Not Found")</f>
        <v>Online</v>
      </c>
    </row>
    <row r="1474" ht="14.25" customHeight="1">
      <c r="A1474" s="8" t="s">
        <v>3427</v>
      </c>
      <c r="B1474" s="12">
        <v>46952.0</v>
      </c>
      <c r="C1474" s="8" t="s">
        <v>854</v>
      </c>
      <c r="D1474" s="8" t="s">
        <v>1613</v>
      </c>
      <c r="E1474" s="8" t="s">
        <v>1939</v>
      </c>
      <c r="F1474" s="8">
        <v>4.0</v>
      </c>
      <c r="G1474" s="8">
        <v>700.98</v>
      </c>
      <c r="H1474" s="8">
        <v>0.12</v>
      </c>
      <c r="I1474" s="8">
        <f t="shared" si="1"/>
        <v>2803.92</v>
      </c>
      <c r="J1474" s="8">
        <f t="shared" si="2"/>
        <v>-336.3504</v>
      </c>
      <c r="K1474" s="8" t="str">
        <f t="shared" si="3"/>
        <v>Jul</v>
      </c>
      <c r="L1474" s="8">
        <f t="shared" si="4"/>
        <v>2028</v>
      </c>
      <c r="N1474" s="8" t="str">
        <f t="array" ref="N1474">XLOOKUP(C1474,Customer_Dim!A:A,Customer_Dim!B:B,"Not Found")</f>
        <v>Crystal Davis</v>
      </c>
      <c r="O1474" s="8" t="str">
        <f t="array" ref="O1474">XLOOKUP(C1474,Customer_Dim!A:A,Customer_Dim!E:E,"Not Found")</f>
        <v>Sallymouth</v>
      </c>
      <c r="P1474" s="8" t="str">
        <f t="array" ref="P1474">XLOOKUP(D1474,Product_Dim!A:A,Product_Dim!B:B,"Not Found")</f>
        <v>Hair Strengthening Shampoo</v>
      </c>
      <c r="Q1474" s="8" t="str">
        <f t="array" ref="Q1474">XLOOKUP(D1474,Product_Dim!A:A,Product_Dim!C:C,"Not Found")</f>
        <v>Beauty</v>
      </c>
      <c r="R1474" s="8" t="str">
        <f t="array" ref="R1474">XLOOKUP(E1474,Store_Dim!A:A,Store_Dim!B:B,"Not Found")</f>
        <v>East</v>
      </c>
      <c r="S1474" s="8" t="str">
        <f t="array" ref="S1474">XLOOKUP(E1474,Store_Dim!A:A,Store_Dim!D:D,"Not Found")</f>
        <v>Flagship</v>
      </c>
    </row>
    <row r="1475" ht="14.25" customHeight="1">
      <c r="A1475" s="8" t="s">
        <v>3428</v>
      </c>
      <c r="B1475" s="12">
        <v>46953.0</v>
      </c>
      <c r="C1475" s="8" t="s">
        <v>1276</v>
      </c>
      <c r="D1475" s="8" t="s">
        <v>1845</v>
      </c>
      <c r="E1475" s="8" t="s">
        <v>1939</v>
      </c>
      <c r="F1475" s="8">
        <v>2.0</v>
      </c>
      <c r="G1475" s="8">
        <v>227.97</v>
      </c>
      <c r="H1475" s="8">
        <v>0.08</v>
      </c>
      <c r="I1475" s="8">
        <f t="shared" si="1"/>
        <v>455.94</v>
      </c>
      <c r="J1475" s="8">
        <f t="shared" si="2"/>
        <v>-36.3952</v>
      </c>
      <c r="K1475" s="8" t="str">
        <f t="shared" si="3"/>
        <v>Jul</v>
      </c>
      <c r="L1475" s="8">
        <f t="shared" si="4"/>
        <v>2028</v>
      </c>
      <c r="N1475" s="8" t="str">
        <f t="array" ref="N1475">XLOOKUP(C1475,Customer_Dim!A:A,Customer_Dim!B:B,"Not Found")</f>
        <v>Eric Wolfe</v>
      </c>
      <c r="O1475" s="8" t="str">
        <f t="array" ref="O1475">XLOOKUP(C1475,Customer_Dim!A:A,Customer_Dim!E:E,"Not Found")</f>
        <v>Garciaview</v>
      </c>
      <c r="P1475" s="8" t="str">
        <f t="array" ref="P1475">XLOOKUP(D1475,Product_Dim!A:A,Product_Dim!B:B,"Not Found")</f>
        <v>Women's Beanie Hat</v>
      </c>
      <c r="Q1475" s="8" t="str">
        <f t="array" ref="Q1475">XLOOKUP(D1475,Product_Dim!A:A,Product_Dim!C:C,"Not Found")</f>
        <v>Clothing</v>
      </c>
      <c r="R1475" s="8" t="str">
        <f t="array" ref="R1475">XLOOKUP(E1475,Store_Dim!A:A,Store_Dim!B:B,"Not Found")</f>
        <v>East</v>
      </c>
      <c r="S1475" s="8" t="str">
        <f t="array" ref="S1475">XLOOKUP(E1475,Store_Dim!A:A,Store_Dim!D:D,"Not Found")</f>
        <v>Flagship</v>
      </c>
    </row>
    <row r="1476" ht="14.25" customHeight="1">
      <c r="A1476" s="8" t="s">
        <v>3429</v>
      </c>
      <c r="B1476" s="12">
        <v>46954.0</v>
      </c>
      <c r="C1476" s="8" t="s">
        <v>1477</v>
      </c>
      <c r="D1476" s="8" t="s">
        <v>1703</v>
      </c>
      <c r="E1476" s="8" t="s">
        <v>1928</v>
      </c>
      <c r="F1476" s="8">
        <v>4.0</v>
      </c>
      <c r="G1476" s="8">
        <v>278.71</v>
      </c>
      <c r="H1476" s="8">
        <v>0.2</v>
      </c>
      <c r="I1476" s="8">
        <f t="shared" si="1"/>
        <v>1114.84</v>
      </c>
      <c r="J1476" s="8">
        <f t="shared" si="2"/>
        <v>-222.768</v>
      </c>
      <c r="K1476" s="8" t="str">
        <f t="shared" si="3"/>
        <v>Jul</v>
      </c>
      <c r="L1476" s="8">
        <f t="shared" si="4"/>
        <v>2028</v>
      </c>
      <c r="N1476" s="8" t="str">
        <f t="array" ref="N1476">XLOOKUP(C1476,Customer_Dim!A:A,Customer_Dim!B:B,"Not Found")</f>
        <v>Joshua Howard</v>
      </c>
      <c r="O1476" s="8" t="str">
        <f t="array" ref="O1476">XLOOKUP(C1476,Customer_Dim!A:A,Customer_Dim!E:E,"Not Found")</f>
        <v>East Christopherhaven</v>
      </c>
      <c r="P1476" s="8" t="str">
        <f t="array" ref="P1476">XLOOKUP(D1476,Product_Dim!A:A,Product_Dim!B:B,"Not Found")</f>
        <v>Portable Power Bank</v>
      </c>
      <c r="Q1476" s="8" t="str">
        <f t="array" ref="Q1476">XLOOKUP(D1476,Product_Dim!A:A,Product_Dim!C:C,"Not Found")</f>
        <v>Electronics</v>
      </c>
      <c r="R1476" s="8" t="str">
        <f t="array" ref="R1476">XLOOKUP(E1476,Store_Dim!A:A,Store_Dim!B:B,"Not Found")</f>
        <v>South</v>
      </c>
      <c r="S1476" s="8" t="str">
        <f t="array" ref="S1476">XLOOKUP(E1476,Store_Dim!A:A,Store_Dim!D:D,"Not Found")</f>
        <v>Online</v>
      </c>
    </row>
    <row r="1477" ht="14.25" customHeight="1">
      <c r="A1477" s="8" t="s">
        <v>3430</v>
      </c>
      <c r="B1477" s="12">
        <v>46955.0</v>
      </c>
      <c r="C1477" s="8" t="s">
        <v>842</v>
      </c>
      <c r="D1477" s="8" t="s">
        <v>1887</v>
      </c>
      <c r="E1477" s="8" t="s">
        <v>1921</v>
      </c>
      <c r="F1477" s="8">
        <v>2.0</v>
      </c>
      <c r="G1477" s="8">
        <v>916.12</v>
      </c>
      <c r="H1477" s="8">
        <v>0.05</v>
      </c>
      <c r="I1477" s="8">
        <f t="shared" si="1"/>
        <v>1832.24</v>
      </c>
      <c r="J1477" s="8">
        <f t="shared" si="2"/>
        <v>-91.562</v>
      </c>
      <c r="K1477" s="8" t="str">
        <f t="shared" si="3"/>
        <v>Jul</v>
      </c>
      <c r="L1477" s="8">
        <f t="shared" si="4"/>
        <v>2028</v>
      </c>
      <c r="N1477" s="8" t="str">
        <f t="array" ref="N1477">XLOOKUP(C1477,Customer_Dim!A:A,Customer_Dim!B:B,"Not Found")</f>
        <v>Beth Allen</v>
      </c>
      <c r="O1477" s="8" t="str">
        <f t="array" ref="O1477">XLOOKUP(C1477,Customer_Dim!A:A,Customer_Dim!E:E,"Not Found")</f>
        <v>South Kathrynmouth</v>
      </c>
      <c r="P1477" s="8" t="str">
        <f t="array" ref="P1477">XLOOKUP(D1477,Product_Dim!A:A,Product_Dim!B:B,"Not Found")</f>
        <v>Stainless Steel Cookware Set</v>
      </c>
      <c r="Q1477" s="8" t="str">
        <f t="array" ref="Q1477">XLOOKUP(D1477,Product_Dim!A:A,Product_Dim!C:C,"Not Found")</f>
        <v>Home</v>
      </c>
      <c r="R1477" s="8" t="str">
        <f t="array" ref="R1477">XLOOKUP(E1477,Store_Dim!A:A,Store_Dim!B:B,"Not Found")</f>
        <v>West</v>
      </c>
      <c r="S1477" s="8" t="str">
        <f t="array" ref="S1477">XLOOKUP(E1477,Store_Dim!A:A,Store_Dim!D:D,"Not Found")</f>
        <v>Online</v>
      </c>
    </row>
    <row r="1478" ht="14.25" customHeight="1">
      <c r="A1478" s="8" t="s">
        <v>3431</v>
      </c>
      <c r="B1478" s="12">
        <v>46956.0</v>
      </c>
      <c r="C1478" s="8" t="s">
        <v>467</v>
      </c>
      <c r="D1478" s="8" t="s">
        <v>1606</v>
      </c>
      <c r="E1478" s="8" t="s">
        <v>1929</v>
      </c>
      <c r="F1478" s="8">
        <v>4.0</v>
      </c>
      <c r="G1478" s="8">
        <v>228.98</v>
      </c>
      <c r="H1478" s="8">
        <v>0.22</v>
      </c>
      <c r="I1478" s="8">
        <f t="shared" si="1"/>
        <v>915.92</v>
      </c>
      <c r="J1478" s="8">
        <f t="shared" si="2"/>
        <v>-201.2824</v>
      </c>
      <c r="K1478" s="8" t="str">
        <f t="shared" si="3"/>
        <v>Jul</v>
      </c>
      <c r="L1478" s="8">
        <f t="shared" si="4"/>
        <v>2028</v>
      </c>
      <c r="N1478" s="8" t="str">
        <f t="array" ref="N1478">XLOOKUP(C1478,Customer_Dim!A:A,Customer_Dim!B:B,"Not Found")</f>
        <v>Hayley Pope</v>
      </c>
      <c r="O1478" s="8" t="str">
        <f t="array" ref="O1478">XLOOKUP(C1478,Customer_Dim!A:A,Customer_Dim!E:E,"Not Found")</f>
        <v>West Stephenville</v>
      </c>
      <c r="P1478" s="8" t="str">
        <f t="array" ref="P1478">XLOOKUP(D1478,Product_Dim!A:A,Product_Dim!B:B,"Not Found")</f>
        <v>Ceramic Kitchen Bowl Set</v>
      </c>
      <c r="Q1478" s="8" t="str">
        <f t="array" ref="Q1478">XLOOKUP(D1478,Product_Dim!A:A,Product_Dim!C:C,"Not Found")</f>
        <v>Home</v>
      </c>
      <c r="R1478" s="8" t="str">
        <f t="array" ref="R1478">XLOOKUP(E1478,Store_Dim!A:A,Store_Dim!B:B,"Not Found")</f>
        <v>North</v>
      </c>
      <c r="S1478" s="8" t="str">
        <f t="array" ref="S1478">XLOOKUP(E1478,Store_Dim!A:A,Store_Dim!D:D,"Not Found")</f>
        <v>Online</v>
      </c>
    </row>
    <row r="1479" ht="14.25" customHeight="1">
      <c r="A1479" s="8" t="s">
        <v>3432</v>
      </c>
      <c r="B1479" s="12">
        <v>46957.0</v>
      </c>
      <c r="C1479" s="8" t="s">
        <v>767</v>
      </c>
      <c r="D1479" s="8" t="s">
        <v>1857</v>
      </c>
      <c r="E1479" s="8" t="s">
        <v>1933</v>
      </c>
      <c r="F1479" s="8">
        <v>4.0</v>
      </c>
      <c r="G1479" s="8">
        <v>904.82</v>
      </c>
      <c r="H1479" s="8">
        <v>0.09</v>
      </c>
      <c r="I1479" s="8">
        <f t="shared" si="1"/>
        <v>3619.28</v>
      </c>
      <c r="J1479" s="8">
        <f t="shared" si="2"/>
        <v>-325.6452</v>
      </c>
      <c r="K1479" s="8" t="str">
        <f t="shared" si="3"/>
        <v>Jul</v>
      </c>
      <c r="L1479" s="8">
        <f t="shared" si="4"/>
        <v>2028</v>
      </c>
      <c r="N1479" s="8" t="str">
        <f t="array" ref="N1479">XLOOKUP(C1479,Customer_Dim!A:A,Customer_Dim!B:B,"Not Found")</f>
        <v>Nathaniel Hill</v>
      </c>
      <c r="O1479" s="8" t="str">
        <f t="array" ref="O1479">XLOOKUP(C1479,Customer_Dim!A:A,Customer_Dim!E:E,"Not Found")</f>
        <v>Lake Mark</v>
      </c>
      <c r="P1479" s="8" t="str">
        <f t="array" ref="P1479">XLOOKUP(D1479,Product_Dim!A:A,Product_Dim!B:B,"Not Found")</f>
        <v>Face Foundation Kit</v>
      </c>
      <c r="Q1479" s="8" t="str">
        <f t="array" ref="Q1479">XLOOKUP(D1479,Product_Dim!A:A,Product_Dim!C:C,"Not Found")</f>
        <v>Beauty</v>
      </c>
      <c r="R1479" s="8" t="str">
        <f t="array" ref="R1479">XLOOKUP(E1479,Store_Dim!A:A,Store_Dim!B:B,"Not Found")</f>
        <v>North</v>
      </c>
      <c r="S1479" s="8" t="str">
        <f t="array" ref="S1479">XLOOKUP(E1479,Store_Dim!A:A,Store_Dim!D:D,"Not Found")</f>
        <v>Flagship</v>
      </c>
    </row>
    <row r="1480" ht="14.25" customHeight="1">
      <c r="A1480" s="8" t="s">
        <v>3433</v>
      </c>
      <c r="B1480" s="12">
        <v>46958.0</v>
      </c>
      <c r="C1480" s="8" t="s">
        <v>305</v>
      </c>
      <c r="D1480" s="8" t="s">
        <v>1652</v>
      </c>
      <c r="E1480" s="8" t="s">
        <v>1928</v>
      </c>
      <c r="F1480" s="8">
        <v>1.0</v>
      </c>
      <c r="G1480" s="8">
        <v>588.61</v>
      </c>
      <c r="H1480" s="8">
        <v>0.1</v>
      </c>
      <c r="I1480" s="8">
        <f t="shared" si="1"/>
        <v>588.61</v>
      </c>
      <c r="J1480" s="8">
        <f t="shared" si="2"/>
        <v>-58.761</v>
      </c>
      <c r="K1480" s="8" t="str">
        <f t="shared" si="3"/>
        <v>Jul</v>
      </c>
      <c r="L1480" s="8">
        <f t="shared" si="4"/>
        <v>2028</v>
      </c>
      <c r="N1480" s="8" t="str">
        <f t="array" ref="N1480">XLOOKUP(C1480,Customer_Dim!A:A,Customer_Dim!B:B,"Not Found")</f>
        <v>Krystal Ford</v>
      </c>
      <c r="O1480" s="8" t="str">
        <f t="array" ref="O1480">XLOOKUP(C1480,Customer_Dim!A:A,Customer_Dim!E:E,"Not Found")</f>
        <v>South David</v>
      </c>
      <c r="P1480" s="8" t="str">
        <f t="array" ref="P1480">XLOOKUP(D1480,Product_Dim!A:A,Product_Dim!B:B,"Not Found")</f>
        <v>Men's Formal Shirt</v>
      </c>
      <c r="Q1480" s="8" t="str">
        <f t="array" ref="Q1480">XLOOKUP(D1480,Product_Dim!A:A,Product_Dim!C:C,"Not Found")</f>
        <v>Clothing</v>
      </c>
      <c r="R1480" s="8" t="str">
        <f t="array" ref="R1480">XLOOKUP(E1480,Store_Dim!A:A,Store_Dim!B:B,"Not Found")</f>
        <v>South</v>
      </c>
      <c r="S1480" s="8" t="str">
        <f t="array" ref="S1480">XLOOKUP(E1480,Store_Dim!A:A,Store_Dim!D:D,"Not Found")</f>
        <v>Online</v>
      </c>
    </row>
    <row r="1481" ht="14.25" customHeight="1">
      <c r="A1481" s="8" t="s">
        <v>3434</v>
      </c>
      <c r="B1481" s="12">
        <v>46959.0</v>
      </c>
      <c r="C1481" s="8" t="s">
        <v>406</v>
      </c>
      <c r="D1481" s="8" t="s">
        <v>1684</v>
      </c>
      <c r="E1481" s="8" t="s">
        <v>1910</v>
      </c>
      <c r="F1481" s="8">
        <v>4.0</v>
      </c>
      <c r="G1481" s="8">
        <v>695.97</v>
      </c>
      <c r="H1481" s="8">
        <v>0.02</v>
      </c>
      <c r="I1481" s="8">
        <f t="shared" si="1"/>
        <v>2783.88</v>
      </c>
      <c r="J1481" s="8">
        <f t="shared" si="2"/>
        <v>-55.6576</v>
      </c>
      <c r="K1481" s="8" t="str">
        <f t="shared" si="3"/>
        <v>Jul</v>
      </c>
      <c r="L1481" s="8">
        <f t="shared" si="4"/>
        <v>2028</v>
      </c>
      <c r="N1481" s="8" t="str">
        <f t="array" ref="N1481">XLOOKUP(C1481,Customer_Dim!A:A,Customer_Dim!B:B,"Not Found")</f>
        <v>Edward Hall</v>
      </c>
      <c r="O1481" s="8" t="str">
        <f t="array" ref="O1481">XLOOKUP(C1481,Customer_Dim!A:A,Customer_Dim!E:E,"Not Found")</f>
        <v>New William</v>
      </c>
      <c r="P1481" s="8" t="str">
        <f t="array" ref="P1481">XLOOKUP(D1481,Product_Dim!A:A,Product_Dim!B:B,"Not Found")</f>
        <v>Modern Wall Clock</v>
      </c>
      <c r="Q1481" s="8" t="str">
        <f t="array" ref="Q1481">XLOOKUP(D1481,Product_Dim!A:A,Product_Dim!C:C,"Not Found")</f>
        <v>Home</v>
      </c>
      <c r="R1481" s="8" t="str">
        <f t="array" ref="R1481">XLOOKUP(E1481,Store_Dim!A:A,Store_Dim!B:B,"Not Found")</f>
        <v>North</v>
      </c>
      <c r="S1481" s="8" t="str">
        <f t="array" ref="S1481">XLOOKUP(E1481,Store_Dim!A:A,Store_Dim!D:D,"Not Found")</f>
        <v>Outlet</v>
      </c>
    </row>
    <row r="1482" ht="14.25" customHeight="1">
      <c r="A1482" s="8" t="s">
        <v>3435</v>
      </c>
      <c r="B1482" s="12">
        <v>46960.0</v>
      </c>
      <c r="C1482" s="8" t="s">
        <v>966</v>
      </c>
      <c r="D1482" s="8" t="s">
        <v>1881</v>
      </c>
      <c r="E1482" s="8" t="s">
        <v>1928</v>
      </c>
      <c r="F1482" s="8">
        <v>2.0</v>
      </c>
      <c r="G1482" s="8">
        <v>181.42</v>
      </c>
      <c r="H1482" s="8">
        <v>0.08</v>
      </c>
      <c r="I1482" s="8">
        <f t="shared" si="1"/>
        <v>362.84</v>
      </c>
      <c r="J1482" s="8">
        <f t="shared" si="2"/>
        <v>-28.9472</v>
      </c>
      <c r="K1482" s="8" t="str">
        <f t="shared" si="3"/>
        <v>Jul</v>
      </c>
      <c r="L1482" s="8">
        <f t="shared" si="4"/>
        <v>2028</v>
      </c>
      <c r="N1482" s="8" t="str">
        <f t="array" ref="N1482">XLOOKUP(C1482,Customer_Dim!A:A,Customer_Dim!B:B,"Not Found")</f>
        <v>Ryan Kane</v>
      </c>
      <c r="O1482" s="8" t="str">
        <f t="array" ref="O1482">XLOOKUP(C1482,Customer_Dim!A:A,Customer_Dim!E:E,"Not Found")</f>
        <v>West Bruceburgh</v>
      </c>
      <c r="P1482" s="8" t="str">
        <f t="array" ref="P1482">XLOOKUP(D1482,Product_Dim!A:A,Product_Dim!B:B,"Not Found")</f>
        <v>Cricket Bat</v>
      </c>
      <c r="Q1482" s="8" t="str">
        <f t="array" ref="Q1482">XLOOKUP(D1482,Product_Dim!A:A,Product_Dim!C:C,"Not Found")</f>
        <v>Sports</v>
      </c>
      <c r="R1482" s="8" t="str">
        <f t="array" ref="R1482">XLOOKUP(E1482,Store_Dim!A:A,Store_Dim!B:B,"Not Found")</f>
        <v>South</v>
      </c>
      <c r="S1482" s="8" t="str">
        <f t="array" ref="S1482">XLOOKUP(E1482,Store_Dim!A:A,Store_Dim!D:D,"Not Found")</f>
        <v>Online</v>
      </c>
    </row>
    <row r="1483" ht="14.25" customHeight="1">
      <c r="A1483" s="8" t="s">
        <v>3436</v>
      </c>
      <c r="B1483" s="12">
        <v>46961.0</v>
      </c>
      <c r="C1483" s="8" t="s">
        <v>110</v>
      </c>
      <c r="D1483" s="8" t="s">
        <v>1881</v>
      </c>
      <c r="E1483" s="8" t="s">
        <v>1931</v>
      </c>
      <c r="F1483" s="8">
        <v>1.0</v>
      </c>
      <c r="G1483" s="8">
        <v>439.55</v>
      </c>
      <c r="H1483" s="8">
        <v>0.29</v>
      </c>
      <c r="I1483" s="8">
        <f t="shared" si="1"/>
        <v>439.55</v>
      </c>
      <c r="J1483" s="8">
        <f t="shared" si="2"/>
        <v>-127.1795</v>
      </c>
      <c r="K1483" s="8" t="str">
        <f t="shared" si="3"/>
        <v>Jul</v>
      </c>
      <c r="L1483" s="8">
        <f t="shared" si="4"/>
        <v>2028</v>
      </c>
      <c r="N1483" s="8" t="str">
        <f t="array" ref="N1483">XLOOKUP(C1483,Customer_Dim!A:A,Customer_Dim!B:B,"Not Found")</f>
        <v>Jonathan Steele</v>
      </c>
      <c r="O1483" s="8" t="str">
        <f t="array" ref="O1483">XLOOKUP(C1483,Customer_Dim!A:A,Customer_Dim!E:E,"Not Found")</f>
        <v>Molinabury</v>
      </c>
      <c r="P1483" s="8" t="str">
        <f t="array" ref="P1483">XLOOKUP(D1483,Product_Dim!A:A,Product_Dim!B:B,"Not Found")</f>
        <v>Cricket Bat</v>
      </c>
      <c r="Q1483" s="8" t="str">
        <f t="array" ref="Q1483">XLOOKUP(D1483,Product_Dim!A:A,Product_Dim!C:C,"Not Found")</f>
        <v>Sports</v>
      </c>
      <c r="R1483" s="8" t="str">
        <f t="array" ref="R1483">XLOOKUP(E1483,Store_Dim!A:A,Store_Dim!B:B,"Not Found")</f>
        <v>East</v>
      </c>
      <c r="S1483" s="8" t="str">
        <f t="array" ref="S1483">XLOOKUP(E1483,Store_Dim!A:A,Store_Dim!D:D,"Not Found")</f>
        <v>Flagship</v>
      </c>
    </row>
    <row r="1484" ht="14.25" customHeight="1">
      <c r="A1484" s="8" t="s">
        <v>3437</v>
      </c>
      <c r="B1484" s="12">
        <v>46962.0</v>
      </c>
      <c r="C1484" s="8" t="s">
        <v>409</v>
      </c>
      <c r="D1484" s="8" t="s">
        <v>1754</v>
      </c>
      <c r="E1484" s="8" t="s">
        <v>1939</v>
      </c>
      <c r="F1484" s="8">
        <v>3.0</v>
      </c>
      <c r="G1484" s="8">
        <v>471.27</v>
      </c>
      <c r="H1484" s="8">
        <v>0.27</v>
      </c>
      <c r="I1484" s="8">
        <f t="shared" si="1"/>
        <v>1413.81</v>
      </c>
      <c r="J1484" s="8">
        <f t="shared" si="2"/>
        <v>-381.4587</v>
      </c>
      <c r="K1484" s="8" t="str">
        <f t="shared" si="3"/>
        <v>Jul</v>
      </c>
      <c r="L1484" s="8">
        <f t="shared" si="4"/>
        <v>2028</v>
      </c>
      <c r="N1484" s="8" t="str">
        <f t="array" ref="N1484">XLOOKUP(C1484,Customer_Dim!A:A,Customer_Dim!B:B,"Not Found")</f>
        <v>Ryan Hernandez</v>
      </c>
      <c r="O1484" s="8" t="str">
        <f t="array" ref="O1484">XLOOKUP(C1484,Customer_Dim!A:A,Customer_Dim!E:E,"Not Found")</f>
        <v>East Donna</v>
      </c>
      <c r="P1484" s="8" t="str">
        <f t="array" ref="P1484">XLOOKUP(D1484,Product_Dim!A:A,Product_Dim!B:B,"Not Found")</f>
        <v>Ceramic Plant Pot</v>
      </c>
      <c r="Q1484" s="8" t="str">
        <f t="array" ref="Q1484">XLOOKUP(D1484,Product_Dim!A:A,Product_Dim!C:C,"Not Found")</f>
        <v>Home</v>
      </c>
      <c r="R1484" s="8" t="str">
        <f t="array" ref="R1484">XLOOKUP(E1484,Store_Dim!A:A,Store_Dim!B:B,"Not Found")</f>
        <v>East</v>
      </c>
      <c r="S1484" s="8" t="str">
        <f t="array" ref="S1484">XLOOKUP(E1484,Store_Dim!A:A,Store_Dim!D:D,"Not Found")</f>
        <v>Flagship</v>
      </c>
    </row>
    <row r="1485" ht="14.25" customHeight="1">
      <c r="A1485" s="8" t="s">
        <v>3438</v>
      </c>
      <c r="B1485" s="12">
        <v>46963.0</v>
      </c>
      <c r="C1485" s="8" t="s">
        <v>182</v>
      </c>
      <c r="D1485" s="8" t="s">
        <v>1766</v>
      </c>
      <c r="E1485" s="8" t="s">
        <v>1929</v>
      </c>
      <c r="F1485" s="8">
        <v>1.0</v>
      </c>
      <c r="G1485" s="8">
        <v>758.89</v>
      </c>
      <c r="H1485" s="8">
        <v>0.1</v>
      </c>
      <c r="I1485" s="8">
        <f t="shared" si="1"/>
        <v>758.89</v>
      </c>
      <c r="J1485" s="8">
        <f t="shared" si="2"/>
        <v>-75.789</v>
      </c>
      <c r="K1485" s="8" t="str">
        <f t="shared" si="3"/>
        <v>Jul</v>
      </c>
      <c r="L1485" s="8">
        <f t="shared" si="4"/>
        <v>2028</v>
      </c>
      <c r="N1485" s="8" t="str">
        <f t="array" ref="N1485">XLOOKUP(C1485,Customer_Dim!A:A,Customer_Dim!B:B,"Not Found")</f>
        <v>Denise Williams</v>
      </c>
      <c r="O1485" s="8" t="str">
        <f t="array" ref="O1485">XLOOKUP(C1485,Customer_Dim!A:A,Customer_Dim!E:E,"Not Found")</f>
        <v>Christianstad</v>
      </c>
      <c r="P1485" s="8" t="str">
        <f t="array" ref="P1485">XLOOKUP(D1485,Product_Dim!A:A,Product_Dim!B:B,"Not Found")</f>
        <v>Men's Hair Styling Gel</v>
      </c>
      <c r="Q1485" s="8" t="str">
        <f t="array" ref="Q1485">XLOOKUP(D1485,Product_Dim!A:A,Product_Dim!C:C,"Not Found")</f>
        <v>Beauty</v>
      </c>
      <c r="R1485" s="8" t="str">
        <f t="array" ref="R1485">XLOOKUP(E1485,Store_Dim!A:A,Store_Dim!B:B,"Not Found")</f>
        <v>North</v>
      </c>
      <c r="S1485" s="8" t="str">
        <f t="array" ref="S1485">XLOOKUP(E1485,Store_Dim!A:A,Store_Dim!D:D,"Not Found")</f>
        <v>Online</v>
      </c>
    </row>
    <row r="1486" ht="14.25" customHeight="1">
      <c r="A1486" s="8" t="s">
        <v>3439</v>
      </c>
      <c r="B1486" s="12">
        <v>46964.0</v>
      </c>
      <c r="C1486" s="8" t="s">
        <v>1508</v>
      </c>
      <c r="D1486" s="8" t="s">
        <v>1875</v>
      </c>
      <c r="E1486" s="8" t="s">
        <v>1933</v>
      </c>
      <c r="F1486" s="8">
        <v>4.0</v>
      </c>
      <c r="G1486" s="8">
        <v>918.1</v>
      </c>
      <c r="H1486" s="8">
        <v>0.19</v>
      </c>
      <c r="I1486" s="8">
        <f t="shared" si="1"/>
        <v>3672.4</v>
      </c>
      <c r="J1486" s="8">
        <f t="shared" si="2"/>
        <v>-697.566</v>
      </c>
      <c r="K1486" s="8" t="str">
        <f t="shared" si="3"/>
        <v>Jul</v>
      </c>
      <c r="L1486" s="8">
        <f t="shared" si="4"/>
        <v>2028</v>
      </c>
      <c r="N1486" s="8" t="str">
        <f t="array" ref="N1486">XLOOKUP(C1486,Customer_Dim!A:A,Customer_Dim!B:B,"Not Found")</f>
        <v>Sara Ingram</v>
      </c>
      <c r="O1486" s="8" t="str">
        <f t="array" ref="O1486">XLOOKUP(C1486,Customer_Dim!A:A,Customer_Dim!E:E,"Not Found")</f>
        <v>East Dillonview</v>
      </c>
      <c r="P1486" s="8" t="str">
        <f t="array" ref="P1486">XLOOKUP(D1486,Product_Dim!A:A,Product_Dim!B:B,"Not Found")</f>
        <v>Sports Stopwatch Basic</v>
      </c>
      <c r="Q1486" s="8" t="str">
        <f t="array" ref="Q1486">XLOOKUP(D1486,Product_Dim!A:A,Product_Dim!C:C,"Not Found")</f>
        <v>Sports</v>
      </c>
      <c r="R1486" s="8" t="str">
        <f t="array" ref="R1486">XLOOKUP(E1486,Store_Dim!A:A,Store_Dim!B:B,"Not Found")</f>
        <v>North</v>
      </c>
      <c r="S1486" s="8" t="str">
        <f t="array" ref="S1486">XLOOKUP(E1486,Store_Dim!A:A,Store_Dim!D:D,"Not Found")</f>
        <v>Flagship</v>
      </c>
    </row>
    <row r="1487" ht="14.25" customHeight="1">
      <c r="A1487" s="8" t="s">
        <v>3440</v>
      </c>
      <c r="B1487" s="12">
        <v>46965.0</v>
      </c>
      <c r="C1487" s="8" t="s">
        <v>842</v>
      </c>
      <c r="D1487" s="8" t="s">
        <v>1872</v>
      </c>
      <c r="E1487" s="8" t="s">
        <v>1928</v>
      </c>
      <c r="F1487" s="8">
        <v>1.0</v>
      </c>
      <c r="G1487" s="8">
        <v>861.5</v>
      </c>
      <c r="H1487" s="8">
        <v>0.05</v>
      </c>
      <c r="I1487" s="8">
        <f t="shared" si="1"/>
        <v>861.5</v>
      </c>
      <c r="J1487" s="8">
        <f t="shared" si="2"/>
        <v>-43.025</v>
      </c>
      <c r="K1487" s="8" t="str">
        <f t="shared" si="3"/>
        <v>Jul</v>
      </c>
      <c r="L1487" s="8">
        <f t="shared" si="4"/>
        <v>2028</v>
      </c>
      <c r="N1487" s="8" t="str">
        <f t="array" ref="N1487">XLOOKUP(C1487,Customer_Dim!A:A,Customer_Dim!B:B,"Not Found")</f>
        <v>Beth Allen</v>
      </c>
      <c r="O1487" s="8" t="str">
        <f t="array" ref="O1487">XLOOKUP(C1487,Customer_Dim!A:A,Customer_Dim!E:E,"Not Found")</f>
        <v>South Kathrynmouth</v>
      </c>
      <c r="P1487" s="8" t="str">
        <f t="array" ref="P1487">XLOOKUP(D1487,Product_Dim!A:A,Product_Dim!B:B,"Not Found")</f>
        <v>Vitamin E Body Lotion</v>
      </c>
      <c r="Q1487" s="8" t="str">
        <f t="array" ref="Q1487">XLOOKUP(D1487,Product_Dim!A:A,Product_Dim!C:C,"Not Found")</f>
        <v>Beauty</v>
      </c>
      <c r="R1487" s="8" t="str">
        <f t="array" ref="R1487">XLOOKUP(E1487,Store_Dim!A:A,Store_Dim!B:B,"Not Found")</f>
        <v>South</v>
      </c>
      <c r="S1487" s="8" t="str">
        <f t="array" ref="S1487">XLOOKUP(E1487,Store_Dim!A:A,Store_Dim!D:D,"Not Found")</f>
        <v>Online</v>
      </c>
    </row>
    <row r="1488" ht="14.25" customHeight="1">
      <c r="A1488" s="8" t="s">
        <v>3441</v>
      </c>
      <c r="B1488" s="12">
        <v>46966.0</v>
      </c>
      <c r="C1488" s="8" t="s">
        <v>1441</v>
      </c>
      <c r="D1488" s="8" t="s">
        <v>1649</v>
      </c>
      <c r="E1488" s="8" t="s">
        <v>1932</v>
      </c>
      <c r="F1488" s="8">
        <v>1.0</v>
      </c>
      <c r="G1488" s="8">
        <v>588.3</v>
      </c>
      <c r="H1488" s="8">
        <v>0.26</v>
      </c>
      <c r="I1488" s="8">
        <f t="shared" si="1"/>
        <v>588.3</v>
      </c>
      <c r="J1488" s="8">
        <f t="shared" si="2"/>
        <v>-152.698</v>
      </c>
      <c r="K1488" s="8" t="str">
        <f t="shared" si="3"/>
        <v>Aug</v>
      </c>
      <c r="L1488" s="8">
        <f t="shared" si="4"/>
        <v>2028</v>
      </c>
      <c r="N1488" s="8" t="str">
        <f t="array" ref="N1488">XLOOKUP(C1488,Customer_Dim!A:A,Customer_Dim!B:B,"Not Found")</f>
        <v>Beth Martin</v>
      </c>
      <c r="O1488" s="8" t="str">
        <f t="array" ref="O1488">XLOOKUP(C1488,Customer_Dim!A:A,Customer_Dim!E:E,"Not Found")</f>
        <v>Burkefurt</v>
      </c>
      <c r="P1488" s="8" t="str">
        <f t="array" ref="P1488">XLOOKUP(D1488,Product_Dim!A:A,Product_Dim!B:B,"Not Found")</f>
        <v>Carbon Fiber Tennis Racket</v>
      </c>
      <c r="Q1488" s="8" t="str">
        <f t="array" ref="Q1488">XLOOKUP(D1488,Product_Dim!A:A,Product_Dim!C:C,"Not Found")</f>
        <v>Sports</v>
      </c>
      <c r="R1488" s="8" t="str">
        <f t="array" ref="R1488">XLOOKUP(E1488,Store_Dim!A:A,Store_Dim!B:B,"Not Found")</f>
        <v>South</v>
      </c>
      <c r="S1488" s="8" t="str">
        <f t="array" ref="S1488">XLOOKUP(E1488,Store_Dim!A:A,Store_Dim!D:D,"Not Found")</f>
        <v>Outlet</v>
      </c>
    </row>
    <row r="1489" ht="14.25" customHeight="1">
      <c r="A1489" s="8" t="s">
        <v>3442</v>
      </c>
      <c r="B1489" s="12">
        <v>46967.0</v>
      </c>
      <c r="C1489" s="8" t="s">
        <v>1441</v>
      </c>
      <c r="D1489" s="8" t="s">
        <v>1754</v>
      </c>
      <c r="E1489" s="8" t="s">
        <v>1919</v>
      </c>
      <c r="F1489" s="8">
        <v>1.0</v>
      </c>
      <c r="G1489" s="8">
        <v>917.26</v>
      </c>
      <c r="H1489" s="8">
        <v>0.05</v>
      </c>
      <c r="I1489" s="8">
        <f t="shared" si="1"/>
        <v>917.26</v>
      </c>
      <c r="J1489" s="8">
        <f t="shared" si="2"/>
        <v>-45.813</v>
      </c>
      <c r="K1489" s="8" t="str">
        <f t="shared" si="3"/>
        <v>Aug</v>
      </c>
      <c r="L1489" s="8">
        <f t="shared" si="4"/>
        <v>2028</v>
      </c>
      <c r="N1489" s="8" t="str">
        <f t="array" ref="N1489">XLOOKUP(C1489,Customer_Dim!A:A,Customer_Dim!B:B,"Not Found")</f>
        <v>Beth Martin</v>
      </c>
      <c r="O1489" s="8" t="str">
        <f t="array" ref="O1489">XLOOKUP(C1489,Customer_Dim!A:A,Customer_Dim!E:E,"Not Found")</f>
        <v>Burkefurt</v>
      </c>
      <c r="P1489" s="8" t="str">
        <f t="array" ref="P1489">XLOOKUP(D1489,Product_Dim!A:A,Product_Dim!B:B,"Not Found")</f>
        <v>Ceramic Plant Pot</v>
      </c>
      <c r="Q1489" s="8" t="str">
        <f t="array" ref="Q1489">XLOOKUP(D1489,Product_Dim!A:A,Product_Dim!C:C,"Not Found")</f>
        <v>Home</v>
      </c>
      <c r="R1489" s="8" t="str">
        <f t="array" ref="R1489">XLOOKUP(E1489,Store_Dim!A:A,Store_Dim!B:B,"Not Found")</f>
        <v>South</v>
      </c>
      <c r="S1489" s="8" t="str">
        <f t="array" ref="S1489">XLOOKUP(E1489,Store_Dim!A:A,Store_Dim!D:D,"Not Found")</f>
        <v>Online</v>
      </c>
    </row>
    <row r="1490" ht="14.25" customHeight="1">
      <c r="A1490" s="8" t="s">
        <v>3443</v>
      </c>
      <c r="B1490" s="12">
        <v>46968.0</v>
      </c>
      <c r="C1490" s="8" t="s">
        <v>764</v>
      </c>
      <c r="D1490" s="8" t="s">
        <v>1587</v>
      </c>
      <c r="E1490" s="8" t="s">
        <v>1939</v>
      </c>
      <c r="F1490" s="8">
        <v>4.0</v>
      </c>
      <c r="G1490" s="8">
        <v>96.78</v>
      </c>
      <c r="H1490" s="8">
        <v>0.11</v>
      </c>
      <c r="I1490" s="8">
        <f t="shared" si="1"/>
        <v>387.12</v>
      </c>
      <c r="J1490" s="8">
        <f t="shared" si="2"/>
        <v>-42.4732</v>
      </c>
      <c r="K1490" s="8" t="str">
        <f t="shared" si="3"/>
        <v>Aug</v>
      </c>
      <c r="L1490" s="8">
        <f t="shared" si="4"/>
        <v>2028</v>
      </c>
      <c r="N1490" s="8" t="str">
        <f t="array" ref="N1490">XLOOKUP(C1490,Customer_Dim!A:A,Customer_Dim!B:B,"Not Found")</f>
        <v>Michelle Gonzalez</v>
      </c>
      <c r="O1490" s="8" t="str">
        <f t="array" ref="O1490">XLOOKUP(C1490,Customer_Dim!A:A,Customer_Dim!E:E,"Not Found")</f>
        <v>Clarkport</v>
      </c>
      <c r="P1490" s="8" t="str">
        <f t="array" ref="P1490">XLOOKUP(D1490,Product_Dim!A:A,Product_Dim!B:B,"Not Found")</f>
        <v>Herbal Face Moisturizer</v>
      </c>
      <c r="Q1490" s="8" t="str">
        <f t="array" ref="Q1490">XLOOKUP(D1490,Product_Dim!A:A,Product_Dim!C:C,"Not Found")</f>
        <v>Beauty</v>
      </c>
      <c r="R1490" s="8" t="str">
        <f t="array" ref="R1490">XLOOKUP(E1490,Store_Dim!A:A,Store_Dim!B:B,"Not Found")</f>
        <v>East</v>
      </c>
      <c r="S1490" s="8" t="str">
        <f t="array" ref="S1490">XLOOKUP(E1490,Store_Dim!A:A,Store_Dim!D:D,"Not Found")</f>
        <v>Flagship</v>
      </c>
    </row>
    <row r="1491" ht="14.25" customHeight="1">
      <c r="A1491" s="8" t="s">
        <v>3444</v>
      </c>
      <c r="B1491" s="12">
        <v>46969.0</v>
      </c>
      <c r="C1491" s="8" t="s">
        <v>1488</v>
      </c>
      <c r="D1491" s="8" t="s">
        <v>1668</v>
      </c>
      <c r="E1491" s="8" t="s">
        <v>1912</v>
      </c>
      <c r="F1491" s="8">
        <v>3.0</v>
      </c>
      <c r="G1491" s="8">
        <v>199.41</v>
      </c>
      <c r="H1491" s="8">
        <v>0.16</v>
      </c>
      <c r="I1491" s="8">
        <f t="shared" si="1"/>
        <v>598.23</v>
      </c>
      <c r="J1491" s="8">
        <f t="shared" si="2"/>
        <v>-95.5568</v>
      </c>
      <c r="K1491" s="8" t="str">
        <f t="shared" si="3"/>
        <v>Aug</v>
      </c>
      <c r="L1491" s="8">
        <f t="shared" si="4"/>
        <v>2028</v>
      </c>
      <c r="N1491" s="8" t="str">
        <f t="array" ref="N1491">XLOOKUP(C1491,Customer_Dim!A:A,Customer_Dim!B:B,"Not Found")</f>
        <v>Earl Smith DDS</v>
      </c>
      <c r="O1491" s="8" t="str">
        <f t="array" ref="O1491">XLOOKUP(C1491,Customer_Dim!A:A,Customer_Dim!E:E,"Not Found")</f>
        <v>West Sarah</v>
      </c>
      <c r="P1491" s="8" t="str">
        <f t="array" ref="P1491">XLOOKUP(D1491,Product_Dim!A:A,Product_Dim!B:B,"Not Found")</f>
        <v>Sports Stopwatch Timer</v>
      </c>
      <c r="Q1491" s="8" t="str">
        <f t="array" ref="Q1491">XLOOKUP(D1491,Product_Dim!A:A,Product_Dim!C:C,"Not Found")</f>
        <v>Sports</v>
      </c>
      <c r="R1491" s="8" t="str">
        <f t="array" ref="R1491">XLOOKUP(E1491,Store_Dim!A:A,Store_Dim!B:B,"Not Found")</f>
        <v>South</v>
      </c>
      <c r="S1491" s="8" t="str">
        <f t="array" ref="S1491">XLOOKUP(E1491,Store_Dim!A:A,Store_Dim!D:D,"Not Found")</f>
        <v>Online</v>
      </c>
    </row>
    <row r="1492" ht="14.25" customHeight="1">
      <c r="A1492" s="8" t="s">
        <v>3445</v>
      </c>
      <c r="B1492" s="12">
        <v>46970.0</v>
      </c>
      <c r="C1492" s="8" t="s">
        <v>94</v>
      </c>
      <c r="D1492" s="8" t="s">
        <v>1751</v>
      </c>
      <c r="E1492" s="8" t="s">
        <v>1924</v>
      </c>
      <c r="F1492" s="8">
        <v>1.0</v>
      </c>
      <c r="G1492" s="8">
        <v>687.91</v>
      </c>
      <c r="H1492" s="8">
        <v>0.25</v>
      </c>
      <c r="I1492" s="8">
        <f t="shared" si="1"/>
        <v>687.91</v>
      </c>
      <c r="J1492" s="8">
        <f t="shared" si="2"/>
        <v>-171.7275</v>
      </c>
      <c r="K1492" s="8" t="str">
        <f t="shared" si="3"/>
        <v>Aug</v>
      </c>
      <c r="L1492" s="8">
        <f t="shared" si="4"/>
        <v>2028</v>
      </c>
      <c r="N1492" s="8" t="str">
        <f t="array" ref="N1492">XLOOKUP(C1492,Customer_Dim!A:A,Customer_Dim!B:B,"Not Found")</f>
        <v>Michael Torres</v>
      </c>
      <c r="O1492" s="8" t="str">
        <f t="array" ref="O1492">XLOOKUP(C1492,Customer_Dim!A:A,Customer_Dim!E:E,"Not Found")</f>
        <v>Gonzalezfort</v>
      </c>
      <c r="P1492" s="8" t="str">
        <f t="array" ref="P1492">XLOOKUP(D1492,Product_Dim!A:A,Product_Dim!B:B,"Not Found")</f>
        <v>Sports Stopwatch Pro</v>
      </c>
      <c r="Q1492" s="8" t="str">
        <f t="array" ref="Q1492">XLOOKUP(D1492,Product_Dim!A:A,Product_Dim!C:C,"Not Found")</f>
        <v>Sports</v>
      </c>
      <c r="R1492" s="8" t="str">
        <f t="array" ref="R1492">XLOOKUP(E1492,Store_Dim!A:A,Store_Dim!B:B,"Not Found")</f>
        <v>South</v>
      </c>
      <c r="S1492" s="8" t="str">
        <f t="array" ref="S1492">XLOOKUP(E1492,Store_Dim!A:A,Store_Dim!D:D,"Not Found")</f>
        <v>Flagship</v>
      </c>
    </row>
    <row r="1493" ht="14.25" customHeight="1">
      <c r="A1493" s="8" t="s">
        <v>3446</v>
      </c>
      <c r="B1493" s="12">
        <v>46971.0</v>
      </c>
      <c r="C1493" s="8" t="s">
        <v>163</v>
      </c>
      <c r="D1493" s="8" t="s">
        <v>1803</v>
      </c>
      <c r="E1493" s="8" t="s">
        <v>1906</v>
      </c>
      <c r="F1493" s="8">
        <v>3.0</v>
      </c>
      <c r="G1493" s="8">
        <v>769.62</v>
      </c>
      <c r="H1493" s="8">
        <v>0.09</v>
      </c>
      <c r="I1493" s="8">
        <f t="shared" si="1"/>
        <v>2308.86</v>
      </c>
      <c r="J1493" s="8">
        <f t="shared" si="2"/>
        <v>-207.7074</v>
      </c>
      <c r="K1493" s="8" t="str">
        <f t="shared" si="3"/>
        <v>Aug</v>
      </c>
      <c r="L1493" s="8">
        <f t="shared" si="4"/>
        <v>2028</v>
      </c>
      <c r="N1493" s="8" t="str">
        <f t="array" ref="N1493">XLOOKUP(C1493,Customer_Dim!A:A,Customer_Dim!B:B,"Not Found")</f>
        <v>Tonya Reynolds</v>
      </c>
      <c r="O1493" s="8" t="str">
        <f t="array" ref="O1493">XLOOKUP(C1493,Customer_Dim!A:A,Customer_Dim!E:E,"Not Found")</f>
        <v>Darleneton</v>
      </c>
      <c r="P1493" s="8" t="str">
        <f t="array" ref="P1493">XLOOKUP(D1493,Product_Dim!A:A,Product_Dim!B:B,"Not Found")</f>
        <v>Hair Repair Oil Treatment</v>
      </c>
      <c r="Q1493" s="8" t="str">
        <f t="array" ref="Q1493">XLOOKUP(D1493,Product_Dim!A:A,Product_Dim!C:C,"Not Found")</f>
        <v>Beauty</v>
      </c>
      <c r="R1493" s="8" t="str">
        <f t="array" ref="R1493">XLOOKUP(E1493,Store_Dim!A:A,Store_Dim!B:B,"Not Found")</f>
        <v>South</v>
      </c>
      <c r="S1493" s="8" t="str">
        <f t="array" ref="S1493">XLOOKUP(E1493,Store_Dim!A:A,Store_Dim!D:D,"Not Found")</f>
        <v>Outlet</v>
      </c>
    </row>
    <row r="1494" ht="14.25" customHeight="1">
      <c r="A1494" s="8" t="s">
        <v>3447</v>
      </c>
      <c r="B1494" s="12">
        <v>46972.0</v>
      </c>
      <c r="C1494" s="8" t="s">
        <v>726</v>
      </c>
      <c r="D1494" s="8" t="s">
        <v>1579</v>
      </c>
      <c r="E1494" s="8" t="s">
        <v>1910</v>
      </c>
      <c r="F1494" s="8">
        <v>1.0</v>
      </c>
      <c r="G1494" s="8">
        <v>492.05</v>
      </c>
      <c r="H1494" s="8">
        <v>0.27</v>
      </c>
      <c r="I1494" s="8">
        <f t="shared" si="1"/>
        <v>492.05</v>
      </c>
      <c r="J1494" s="8">
        <f t="shared" si="2"/>
        <v>-132.5835</v>
      </c>
      <c r="K1494" s="8" t="str">
        <f t="shared" si="3"/>
        <v>Aug</v>
      </c>
      <c r="L1494" s="8">
        <f t="shared" si="4"/>
        <v>2028</v>
      </c>
      <c r="N1494" s="8" t="str">
        <f t="array" ref="N1494">XLOOKUP(C1494,Customer_Dim!A:A,Customer_Dim!B:B,"Not Found")</f>
        <v>George Davis</v>
      </c>
      <c r="O1494" s="8" t="str">
        <f t="array" ref="O1494">XLOOKUP(C1494,Customer_Dim!A:A,Customer_Dim!E:E,"Not Found")</f>
        <v>    lake lisa</v>
      </c>
      <c r="P1494" s="8" t="str">
        <f t="array" ref="P1494">XLOOKUP(D1494,Product_Dim!A:A,Product_Dim!B:B,"Not Found")</f>
        <v>Women's Yoga Pants</v>
      </c>
      <c r="Q1494" s="8" t="str">
        <f t="array" ref="Q1494">XLOOKUP(D1494,Product_Dim!A:A,Product_Dim!C:C,"Not Found")</f>
        <v>Clothing</v>
      </c>
      <c r="R1494" s="8" t="str">
        <f t="array" ref="R1494">XLOOKUP(E1494,Store_Dim!A:A,Store_Dim!B:B,"Not Found")</f>
        <v>North</v>
      </c>
      <c r="S1494" s="8" t="str">
        <f t="array" ref="S1494">XLOOKUP(E1494,Store_Dim!A:A,Store_Dim!D:D,"Not Found")</f>
        <v>Outlet</v>
      </c>
    </row>
    <row r="1495" ht="14.25" customHeight="1">
      <c r="A1495" s="8" t="s">
        <v>3448</v>
      </c>
      <c r="B1495" s="12">
        <v>46973.0</v>
      </c>
      <c r="C1495" s="8" t="s">
        <v>379</v>
      </c>
      <c r="D1495" s="8" t="s">
        <v>1632</v>
      </c>
      <c r="E1495" s="8" t="s">
        <v>1929</v>
      </c>
      <c r="F1495" s="8">
        <v>2.0</v>
      </c>
      <c r="G1495" s="8">
        <v>428.55</v>
      </c>
      <c r="H1495" s="8">
        <v>0.0</v>
      </c>
      <c r="I1495" s="8">
        <f t="shared" si="1"/>
        <v>857.1</v>
      </c>
      <c r="J1495" s="8">
        <f t="shared" si="2"/>
        <v>0</v>
      </c>
      <c r="K1495" s="8" t="str">
        <f t="shared" si="3"/>
        <v>Aug</v>
      </c>
      <c r="L1495" s="8">
        <f t="shared" si="4"/>
        <v>2028</v>
      </c>
      <c r="N1495" s="8" t="str">
        <f t="array" ref="N1495">XLOOKUP(C1495,Customer_Dim!A:A,Customer_Dim!B:B,"Not Found")</f>
        <v>Christopher Lester</v>
      </c>
      <c r="O1495" s="8" t="str">
        <f t="array" ref="O1495">XLOOKUP(C1495,Customer_Dim!A:A,Customer_Dim!E:E,"Not Found")</f>
        <v>South Jenniferville</v>
      </c>
      <c r="P1495" s="8" t="str">
        <f t="array" ref="P1495">XLOOKUP(D1495,Product_Dim!A:A,Product_Dim!B:B,"Not Found")</f>
        <v>Soccer Training Cone Set</v>
      </c>
      <c r="Q1495" s="8" t="str">
        <f t="array" ref="Q1495">XLOOKUP(D1495,Product_Dim!A:A,Product_Dim!C:C,"Not Found")</f>
        <v>Sports</v>
      </c>
      <c r="R1495" s="8" t="str">
        <f t="array" ref="R1495">XLOOKUP(E1495,Store_Dim!A:A,Store_Dim!B:B,"Not Found")</f>
        <v>North</v>
      </c>
      <c r="S1495" s="8" t="str">
        <f t="array" ref="S1495">XLOOKUP(E1495,Store_Dim!A:A,Store_Dim!D:D,"Not Found")</f>
        <v>Online</v>
      </c>
    </row>
    <row r="1496" ht="14.25" customHeight="1">
      <c r="A1496" s="8" t="s">
        <v>3449</v>
      </c>
      <c r="B1496" s="12">
        <v>46974.0</v>
      </c>
      <c r="C1496" s="8" t="s">
        <v>752</v>
      </c>
      <c r="D1496" s="8" t="s">
        <v>1606</v>
      </c>
      <c r="E1496" s="8" t="s">
        <v>1933</v>
      </c>
      <c r="F1496" s="8">
        <v>4.0</v>
      </c>
      <c r="G1496" s="8">
        <v>316.18</v>
      </c>
      <c r="H1496" s="8">
        <v>0.12</v>
      </c>
      <c r="I1496" s="8">
        <f t="shared" si="1"/>
        <v>1264.72</v>
      </c>
      <c r="J1496" s="8">
        <f t="shared" si="2"/>
        <v>-151.6464</v>
      </c>
      <c r="K1496" s="8" t="str">
        <f t="shared" si="3"/>
        <v>Aug</v>
      </c>
      <c r="L1496" s="8">
        <f t="shared" si="4"/>
        <v>2028</v>
      </c>
      <c r="N1496" s="8" t="str">
        <f t="array" ref="N1496">XLOOKUP(C1496,Customer_Dim!A:A,Customer_Dim!B:B,"Not Found")</f>
        <v>Tanner Thompson</v>
      </c>
      <c r="O1496" s="8" t="str">
        <f t="array" ref="O1496">XLOOKUP(C1496,Customer_Dim!A:A,Customer_Dim!E:E,"Not Found")</f>
        <v>Port Lisashire</v>
      </c>
      <c r="P1496" s="8" t="str">
        <f t="array" ref="P1496">XLOOKUP(D1496,Product_Dim!A:A,Product_Dim!B:B,"Not Found")</f>
        <v>Ceramic Kitchen Bowl Set</v>
      </c>
      <c r="Q1496" s="8" t="str">
        <f t="array" ref="Q1496">XLOOKUP(D1496,Product_Dim!A:A,Product_Dim!C:C,"Not Found")</f>
        <v>Home</v>
      </c>
      <c r="R1496" s="8" t="str">
        <f t="array" ref="R1496">XLOOKUP(E1496,Store_Dim!A:A,Store_Dim!B:B,"Not Found")</f>
        <v>North</v>
      </c>
      <c r="S1496" s="8" t="str">
        <f t="array" ref="S1496">XLOOKUP(E1496,Store_Dim!A:A,Store_Dim!D:D,"Not Found")</f>
        <v>Flagship</v>
      </c>
    </row>
    <row r="1497" ht="14.25" customHeight="1">
      <c r="A1497" s="8" t="s">
        <v>3450</v>
      </c>
      <c r="B1497" s="12">
        <v>46975.0</v>
      </c>
      <c r="C1497" s="8" t="s">
        <v>48</v>
      </c>
      <c r="D1497" s="8" t="s">
        <v>1617</v>
      </c>
      <c r="E1497" s="8" t="s">
        <v>1910</v>
      </c>
      <c r="F1497" s="8">
        <v>3.0</v>
      </c>
      <c r="G1497" s="8">
        <v>162.17</v>
      </c>
      <c r="H1497" s="8">
        <v>0.15</v>
      </c>
      <c r="I1497" s="8">
        <f t="shared" si="1"/>
        <v>486.51</v>
      </c>
      <c r="J1497" s="8">
        <f t="shared" si="2"/>
        <v>-72.8265</v>
      </c>
      <c r="K1497" s="8" t="str">
        <f t="shared" si="3"/>
        <v>Aug</v>
      </c>
      <c r="L1497" s="8">
        <f t="shared" si="4"/>
        <v>2028</v>
      </c>
      <c r="N1497" s="8" t="str">
        <f t="array" ref="N1497">XLOOKUP(C1497,Customer_Dim!A:A,Customer_Dim!B:B,"Not Found")</f>
        <v>Daniel Boyd</v>
      </c>
      <c r="O1497" s="8" t="str">
        <f t="array" ref="O1497">XLOOKUP(C1497,Customer_Dim!A:A,Customer_Dim!E:E,"Not Found")</f>
        <v>West Pamelafurt</v>
      </c>
      <c r="P1497" s="8" t="str">
        <f t="array" ref="P1497">XLOOKUP(D1497,Product_Dim!A:A,Product_Dim!B:B,"Not Found")</f>
        <v>USB-C Fast Charger</v>
      </c>
      <c r="Q1497" s="8" t="str">
        <f t="array" ref="Q1497">XLOOKUP(D1497,Product_Dim!A:A,Product_Dim!C:C,"Not Found")</f>
        <v>Electronics</v>
      </c>
      <c r="R1497" s="8" t="str">
        <f t="array" ref="R1497">XLOOKUP(E1497,Store_Dim!A:A,Store_Dim!B:B,"Not Found")</f>
        <v>North</v>
      </c>
      <c r="S1497" s="8" t="str">
        <f t="array" ref="S1497">XLOOKUP(E1497,Store_Dim!A:A,Store_Dim!D:D,"Not Found")</f>
        <v>Outlet</v>
      </c>
    </row>
    <row r="1498" ht="14.25" customHeight="1">
      <c r="A1498" s="8" t="s">
        <v>3451</v>
      </c>
      <c r="B1498" s="12">
        <v>46976.0</v>
      </c>
      <c r="C1498" s="8" t="s">
        <v>1056</v>
      </c>
      <c r="D1498" s="8" t="s">
        <v>1579</v>
      </c>
      <c r="E1498" s="8" t="s">
        <v>1910</v>
      </c>
      <c r="F1498" s="8">
        <v>3.0</v>
      </c>
      <c r="G1498" s="8">
        <v>698.14</v>
      </c>
      <c r="H1498" s="8">
        <v>0.04</v>
      </c>
      <c r="I1498" s="8">
        <f t="shared" si="1"/>
        <v>2094.42</v>
      </c>
      <c r="J1498" s="8">
        <f t="shared" si="2"/>
        <v>-83.7368</v>
      </c>
      <c r="K1498" s="8" t="str">
        <f t="shared" si="3"/>
        <v>Aug</v>
      </c>
      <c r="L1498" s="8">
        <f t="shared" si="4"/>
        <v>2028</v>
      </c>
      <c r="N1498" s="8" t="str">
        <f t="array" ref="N1498">XLOOKUP(C1498,Customer_Dim!A:A,Customer_Dim!B:B,"Not Found")</f>
        <v>Maria Phillips</v>
      </c>
      <c r="O1498" s="8" t="str">
        <f t="array" ref="O1498">XLOOKUP(C1498,Customer_Dim!A:A,Customer_Dim!E:E,"Not Found")</f>
        <v>North Kathytown</v>
      </c>
      <c r="P1498" s="8" t="str">
        <f t="array" ref="P1498">XLOOKUP(D1498,Product_Dim!A:A,Product_Dim!B:B,"Not Found")</f>
        <v>Women's Yoga Pants</v>
      </c>
      <c r="Q1498" s="8" t="str">
        <f t="array" ref="Q1498">XLOOKUP(D1498,Product_Dim!A:A,Product_Dim!C:C,"Not Found")</f>
        <v>Clothing</v>
      </c>
      <c r="R1498" s="8" t="str">
        <f t="array" ref="R1498">XLOOKUP(E1498,Store_Dim!A:A,Store_Dim!B:B,"Not Found")</f>
        <v>North</v>
      </c>
      <c r="S1498" s="8" t="str">
        <f t="array" ref="S1498">XLOOKUP(E1498,Store_Dim!A:A,Store_Dim!D:D,"Not Found")</f>
        <v>Outlet</v>
      </c>
    </row>
    <row r="1499" ht="14.25" customHeight="1">
      <c r="A1499" s="8" t="s">
        <v>3452</v>
      </c>
      <c r="B1499" s="12">
        <v>46977.0</v>
      </c>
      <c r="C1499" s="8" t="s">
        <v>993</v>
      </c>
      <c r="D1499" s="8" t="s">
        <v>1812</v>
      </c>
      <c r="E1499" s="8" t="s">
        <v>1939</v>
      </c>
      <c r="F1499" s="8">
        <v>1.0</v>
      </c>
      <c r="G1499" s="8">
        <v>478.08</v>
      </c>
      <c r="H1499" s="8">
        <v>0.07</v>
      </c>
      <c r="I1499" s="8">
        <f t="shared" si="1"/>
        <v>478.08</v>
      </c>
      <c r="J1499" s="8">
        <f t="shared" si="2"/>
        <v>-33.3956</v>
      </c>
      <c r="K1499" s="8" t="str">
        <f t="shared" si="3"/>
        <v>Aug</v>
      </c>
      <c r="L1499" s="8">
        <f t="shared" si="4"/>
        <v>2028</v>
      </c>
      <c r="N1499" s="8" t="str">
        <f t="array" ref="N1499">XLOOKUP(C1499,Customer_Dim!A:A,Customer_Dim!B:B,"Not Found")</f>
        <v>Kara Dodson</v>
      </c>
      <c r="O1499" s="8" t="str">
        <f t="array" ref="O1499">XLOOKUP(C1499,Customer_Dim!A:A,Customer_Dim!E:E,"Not Found")</f>
        <v>Joelside</v>
      </c>
      <c r="P1499" s="8" t="str">
        <f t="array" ref="P1499">XLOOKUP(D1499,Product_Dim!A:A,Product_Dim!B:B,"Not Found")</f>
        <v>Bluetooth Car Audio System</v>
      </c>
      <c r="Q1499" s="8" t="str">
        <f t="array" ref="Q1499">XLOOKUP(D1499,Product_Dim!A:A,Product_Dim!C:C,"Not Found")</f>
        <v>Electronics</v>
      </c>
      <c r="R1499" s="8" t="str">
        <f t="array" ref="R1499">XLOOKUP(E1499,Store_Dim!A:A,Store_Dim!B:B,"Not Found")</f>
        <v>East</v>
      </c>
      <c r="S1499" s="8" t="str">
        <f t="array" ref="S1499">XLOOKUP(E1499,Store_Dim!A:A,Store_Dim!D:D,"Not Found")</f>
        <v>Flagship</v>
      </c>
    </row>
    <row r="1500" ht="14.25" customHeight="1">
      <c r="A1500" s="8" t="s">
        <v>3453</v>
      </c>
      <c r="B1500" s="12">
        <v>46978.0</v>
      </c>
      <c r="C1500" s="8" t="s">
        <v>690</v>
      </c>
      <c r="D1500" s="8" t="s">
        <v>1766</v>
      </c>
      <c r="E1500" s="8" t="s">
        <v>1919</v>
      </c>
      <c r="F1500" s="8">
        <v>2.0</v>
      </c>
      <c r="G1500" s="8">
        <v>958.64</v>
      </c>
      <c r="H1500" s="8">
        <v>0.2</v>
      </c>
      <c r="I1500" s="8">
        <f t="shared" si="1"/>
        <v>1917.28</v>
      </c>
      <c r="J1500" s="8">
        <f t="shared" si="2"/>
        <v>-383.256</v>
      </c>
      <c r="K1500" s="8" t="str">
        <f t="shared" si="3"/>
        <v>Aug</v>
      </c>
      <c r="L1500" s="8">
        <f t="shared" si="4"/>
        <v>2028</v>
      </c>
      <c r="N1500" s="8" t="str">
        <f t="array" ref="N1500">XLOOKUP(C1500,Customer_Dim!A:A,Customer_Dim!B:B,"Not Found")</f>
        <v>John Perez</v>
      </c>
      <c r="O1500" s="8" t="str">
        <f t="array" ref="O1500">XLOOKUP(C1500,Customer_Dim!A:A,Customer_Dim!E:E,"Not Found")</f>
        <v>Kathrynview</v>
      </c>
      <c r="P1500" s="8" t="str">
        <f t="array" ref="P1500">XLOOKUP(D1500,Product_Dim!A:A,Product_Dim!B:B,"Not Found")</f>
        <v>Men's Hair Styling Gel</v>
      </c>
      <c r="Q1500" s="8" t="str">
        <f t="array" ref="Q1500">XLOOKUP(D1500,Product_Dim!A:A,Product_Dim!C:C,"Not Found")</f>
        <v>Beauty</v>
      </c>
      <c r="R1500" s="8" t="str">
        <f t="array" ref="R1500">XLOOKUP(E1500,Store_Dim!A:A,Store_Dim!B:B,"Not Found")</f>
        <v>South</v>
      </c>
      <c r="S1500" s="8" t="str">
        <f t="array" ref="S1500">XLOOKUP(E1500,Store_Dim!A:A,Store_Dim!D:D,"Not Found")</f>
        <v>Online</v>
      </c>
    </row>
    <row r="1501" ht="14.25" customHeight="1">
      <c r="A1501" s="8" t="s">
        <v>3454</v>
      </c>
      <c r="B1501" s="12">
        <v>46979.0</v>
      </c>
      <c r="C1501" s="8" t="s">
        <v>1447</v>
      </c>
      <c r="D1501" s="8" t="s">
        <v>1710</v>
      </c>
      <c r="E1501" s="8" t="s">
        <v>1929</v>
      </c>
      <c r="F1501" s="8">
        <v>2.0</v>
      </c>
      <c r="G1501" s="8">
        <v>581.19</v>
      </c>
      <c r="H1501" s="8">
        <v>0.07</v>
      </c>
      <c r="I1501" s="8">
        <f t="shared" si="1"/>
        <v>1162.38</v>
      </c>
      <c r="J1501" s="8">
        <f t="shared" si="2"/>
        <v>-81.2966</v>
      </c>
      <c r="K1501" s="8" t="str">
        <f t="shared" si="3"/>
        <v>Aug</v>
      </c>
      <c r="L1501" s="8">
        <f t="shared" si="4"/>
        <v>2028</v>
      </c>
      <c r="N1501" s="8" t="str">
        <f t="array" ref="N1501">XLOOKUP(C1501,Customer_Dim!A:A,Customer_Dim!B:B,"Not Found")</f>
        <v>David Pierce</v>
      </c>
      <c r="O1501" s="8" t="str">
        <f t="array" ref="O1501">XLOOKUP(C1501,Customer_Dim!A:A,Customer_Dim!E:E,"Not Found")</f>
        <v>Grayland</v>
      </c>
      <c r="P1501" s="8" t="str">
        <f t="array" ref="P1501">XLOOKUP(D1501,Product_Dim!A:A,Product_Dim!B:B,"Not Found")</f>
        <v>Yoga Exercise Mat</v>
      </c>
      <c r="Q1501" s="8" t="str">
        <f t="array" ref="Q1501">XLOOKUP(D1501,Product_Dim!A:A,Product_Dim!C:C,"Not Found")</f>
        <v>Sports</v>
      </c>
      <c r="R1501" s="8" t="str">
        <f t="array" ref="R1501">XLOOKUP(E1501,Store_Dim!A:A,Store_Dim!B:B,"Not Found")</f>
        <v>North</v>
      </c>
      <c r="S1501" s="8" t="str">
        <f t="array" ref="S1501">XLOOKUP(E1501,Store_Dim!A:A,Store_Dim!D:D,"Not Found")</f>
        <v>Online</v>
      </c>
    </row>
    <row r="1502" ht="14.25" customHeight="1">
      <c r="A1502" s="8" t="s">
        <v>3455</v>
      </c>
      <c r="B1502" s="12">
        <v>46980.0</v>
      </c>
      <c r="C1502" s="8" t="s">
        <v>403</v>
      </c>
      <c r="D1502" s="8" t="s">
        <v>1887</v>
      </c>
      <c r="E1502" s="8" t="s">
        <v>1928</v>
      </c>
      <c r="F1502" s="8">
        <v>1.0</v>
      </c>
      <c r="G1502" s="8">
        <v>736.54</v>
      </c>
      <c r="H1502" s="8">
        <v>0.16</v>
      </c>
      <c r="I1502" s="8">
        <f t="shared" si="1"/>
        <v>736.54</v>
      </c>
      <c r="J1502" s="8">
        <f t="shared" si="2"/>
        <v>-117.6864</v>
      </c>
      <c r="K1502" s="8" t="str">
        <f t="shared" si="3"/>
        <v>Aug</v>
      </c>
      <c r="L1502" s="8">
        <f t="shared" si="4"/>
        <v>2028</v>
      </c>
      <c r="N1502" s="8" t="str">
        <f t="array" ref="N1502">XLOOKUP(C1502,Customer_Dim!A:A,Customer_Dim!B:B,"Not Found")</f>
        <v>David Cole</v>
      </c>
      <c r="O1502" s="8" t="str">
        <f t="array" ref="O1502">XLOOKUP(C1502,Customer_Dim!A:A,Customer_Dim!E:E,"Not Found")</f>
        <v>Lake Michael</v>
      </c>
      <c r="P1502" s="8" t="str">
        <f t="array" ref="P1502">XLOOKUP(D1502,Product_Dim!A:A,Product_Dim!B:B,"Not Found")</f>
        <v>Stainless Steel Cookware Set</v>
      </c>
      <c r="Q1502" s="8" t="str">
        <f t="array" ref="Q1502">XLOOKUP(D1502,Product_Dim!A:A,Product_Dim!C:C,"Not Found")</f>
        <v>Home</v>
      </c>
      <c r="R1502" s="8" t="str">
        <f t="array" ref="R1502">XLOOKUP(E1502,Store_Dim!A:A,Store_Dim!B:B,"Not Found")</f>
        <v>South</v>
      </c>
      <c r="S1502" s="8" t="str">
        <f t="array" ref="S1502">XLOOKUP(E1502,Store_Dim!A:A,Store_Dim!D:D,"Not Found")</f>
        <v>Online</v>
      </c>
    </row>
    <row r="1503" ht="14.25" customHeight="1">
      <c r="A1503" s="8" t="s">
        <v>3456</v>
      </c>
      <c r="B1503" s="12">
        <v>46981.0</v>
      </c>
      <c r="C1503" s="8" t="s">
        <v>1265</v>
      </c>
      <c r="D1503" s="8" t="s">
        <v>1784</v>
      </c>
      <c r="E1503" s="8" t="s">
        <v>1933</v>
      </c>
      <c r="F1503" s="8">
        <v>1.0</v>
      </c>
      <c r="G1503" s="8">
        <v>524.0</v>
      </c>
      <c r="H1503" s="8">
        <v>0.28</v>
      </c>
      <c r="I1503" s="8">
        <f t="shared" si="1"/>
        <v>524</v>
      </c>
      <c r="J1503" s="8">
        <f t="shared" si="2"/>
        <v>-146.44</v>
      </c>
      <c r="K1503" s="8" t="str">
        <f t="shared" si="3"/>
        <v>Aug</v>
      </c>
      <c r="L1503" s="8">
        <f t="shared" si="4"/>
        <v>2028</v>
      </c>
      <c r="N1503" s="8" t="str">
        <f t="array" ref="N1503">XLOOKUP(C1503,Customer_Dim!A:A,Customer_Dim!B:B,"Not Found")</f>
        <v>Terry Moses</v>
      </c>
      <c r="O1503" s="8" t="str">
        <f t="array" ref="O1503">XLOOKUP(C1503,Customer_Dim!A:A,Customer_Dim!E:E,"Not Found")</f>
        <v>Leahmouth</v>
      </c>
      <c r="P1503" s="8" t="str">
        <f t="array" ref="P1503">XLOOKUP(D1503,Product_Dim!A:A,Product_Dim!B:B,"Not Found")</f>
        <v>Adjustable Dumbbells 20kg</v>
      </c>
      <c r="Q1503" s="8" t="str">
        <f t="array" ref="Q1503">XLOOKUP(D1503,Product_Dim!A:A,Product_Dim!C:C,"Not Found")</f>
        <v>Sports</v>
      </c>
      <c r="R1503" s="8" t="str">
        <f t="array" ref="R1503">XLOOKUP(E1503,Store_Dim!A:A,Store_Dim!B:B,"Not Found")</f>
        <v>North</v>
      </c>
      <c r="S1503" s="8" t="str">
        <f t="array" ref="S1503">XLOOKUP(E1503,Store_Dim!A:A,Store_Dim!D:D,"Not Found")</f>
        <v>Flagship</v>
      </c>
    </row>
    <row r="1504" ht="14.25" customHeight="1">
      <c r="A1504" s="8" t="s">
        <v>3457</v>
      </c>
      <c r="B1504" s="12">
        <v>46982.0</v>
      </c>
      <c r="C1504" s="8" t="s">
        <v>188</v>
      </c>
      <c r="D1504" s="8" t="s">
        <v>1668</v>
      </c>
      <c r="E1504" s="8" t="s">
        <v>1910</v>
      </c>
      <c r="F1504" s="8">
        <v>4.0</v>
      </c>
      <c r="G1504" s="8">
        <v>566.09</v>
      </c>
      <c r="H1504" s="8">
        <v>0.28</v>
      </c>
      <c r="I1504" s="8">
        <f t="shared" si="1"/>
        <v>2264.36</v>
      </c>
      <c r="J1504" s="8">
        <f t="shared" si="2"/>
        <v>-633.7408</v>
      </c>
      <c r="K1504" s="8" t="str">
        <f t="shared" si="3"/>
        <v>Aug</v>
      </c>
      <c r="L1504" s="8">
        <f t="shared" si="4"/>
        <v>2028</v>
      </c>
      <c r="N1504" s="8" t="str">
        <f t="array" ref="N1504">XLOOKUP(C1504,Customer_Dim!A:A,Customer_Dim!B:B,"Not Found")</f>
        <v>Michelle Garcia DDS</v>
      </c>
      <c r="O1504" s="8" t="str">
        <f t="array" ref="O1504">XLOOKUP(C1504,Customer_Dim!A:A,Customer_Dim!E:E,"Not Found")</f>
        <v>Perezbury</v>
      </c>
      <c r="P1504" s="8" t="str">
        <f t="array" ref="P1504">XLOOKUP(D1504,Product_Dim!A:A,Product_Dim!B:B,"Not Found")</f>
        <v>Sports Stopwatch Timer</v>
      </c>
      <c r="Q1504" s="8" t="str">
        <f t="array" ref="Q1504">XLOOKUP(D1504,Product_Dim!A:A,Product_Dim!C:C,"Not Found")</f>
        <v>Sports</v>
      </c>
      <c r="R1504" s="8" t="str">
        <f t="array" ref="R1504">XLOOKUP(E1504,Store_Dim!A:A,Store_Dim!B:B,"Not Found")</f>
        <v>North</v>
      </c>
      <c r="S1504" s="8" t="str">
        <f t="array" ref="S1504">XLOOKUP(E1504,Store_Dim!A:A,Store_Dim!D:D,"Not Found")</f>
        <v>Outlet</v>
      </c>
    </row>
    <row r="1505" ht="14.25" customHeight="1">
      <c r="A1505" s="8" t="s">
        <v>3458</v>
      </c>
      <c r="B1505" s="12">
        <v>46983.0</v>
      </c>
      <c r="C1505" s="8" t="s">
        <v>842</v>
      </c>
      <c r="D1505" s="8" t="s">
        <v>1645</v>
      </c>
      <c r="E1505" s="8" t="s">
        <v>1926</v>
      </c>
      <c r="F1505" s="8">
        <v>1.0</v>
      </c>
      <c r="G1505" s="8">
        <v>251.99</v>
      </c>
      <c r="H1505" s="8">
        <v>0.09</v>
      </c>
      <c r="I1505" s="8">
        <f t="shared" si="1"/>
        <v>251.99</v>
      </c>
      <c r="J1505" s="8">
        <f t="shared" si="2"/>
        <v>-22.5891</v>
      </c>
      <c r="K1505" s="8" t="str">
        <f t="shared" si="3"/>
        <v>Aug</v>
      </c>
      <c r="L1505" s="8">
        <f t="shared" si="4"/>
        <v>2028</v>
      </c>
      <c r="N1505" s="8" t="str">
        <f t="array" ref="N1505">XLOOKUP(C1505,Customer_Dim!A:A,Customer_Dim!B:B,"Not Found")</f>
        <v>Beth Allen</v>
      </c>
      <c r="O1505" s="8" t="str">
        <f t="array" ref="O1505">XLOOKUP(C1505,Customer_Dim!A:A,Customer_Dim!E:E,"Not Found")</f>
        <v>South Kathrynmouth</v>
      </c>
      <c r="P1505" s="8" t="str">
        <f t="array" ref="P1505">XLOOKUP(D1505,Product_Dim!A:A,Product_Dim!B:B,"Not Found")</f>
        <v>Multi-Purpose Storage Box</v>
      </c>
      <c r="Q1505" s="8" t="str">
        <f t="array" ref="Q1505">XLOOKUP(D1505,Product_Dim!A:A,Product_Dim!C:C,"Not Found")</f>
        <v>Home</v>
      </c>
      <c r="R1505" s="8" t="str">
        <f t="array" ref="R1505">XLOOKUP(E1505,Store_Dim!A:A,Store_Dim!B:B,"Not Found")</f>
        <v>East</v>
      </c>
      <c r="S1505" s="8" t="str">
        <f t="array" ref="S1505">XLOOKUP(E1505,Store_Dim!A:A,Store_Dim!D:D,"Not Found")</f>
        <v>Online</v>
      </c>
    </row>
    <row r="1506" ht="14.25" customHeight="1">
      <c r="A1506" s="8" t="s">
        <v>3459</v>
      </c>
      <c r="B1506" s="12">
        <v>46984.0</v>
      </c>
      <c r="C1506" s="8" t="s">
        <v>730</v>
      </c>
      <c r="D1506" s="8" t="s">
        <v>1632</v>
      </c>
      <c r="E1506" s="8" t="s">
        <v>1941</v>
      </c>
      <c r="F1506" s="8">
        <v>1.0</v>
      </c>
      <c r="G1506" s="8">
        <v>259.2</v>
      </c>
      <c r="H1506" s="8">
        <v>0.27</v>
      </c>
      <c r="I1506" s="8">
        <f t="shared" si="1"/>
        <v>259.2</v>
      </c>
      <c r="J1506" s="8">
        <f t="shared" si="2"/>
        <v>-69.714</v>
      </c>
      <c r="K1506" s="8" t="str">
        <f t="shared" si="3"/>
        <v>Aug</v>
      </c>
      <c r="L1506" s="8">
        <f t="shared" si="4"/>
        <v>2028</v>
      </c>
      <c r="N1506" s="8" t="str">
        <f t="array" ref="N1506">XLOOKUP(C1506,Customer_Dim!A:A,Customer_Dim!B:B,"Not Found")</f>
        <v>Lisa Young</v>
      </c>
      <c r="O1506" s="8" t="str">
        <f t="array" ref="O1506">XLOOKUP(C1506,Customer_Dim!A:A,Customer_Dim!E:E,"Not Found")</f>
        <v>Maybury</v>
      </c>
      <c r="P1506" s="8" t="str">
        <f t="array" ref="P1506">XLOOKUP(D1506,Product_Dim!A:A,Product_Dim!B:B,"Not Found")</f>
        <v>Soccer Training Cone Set</v>
      </c>
      <c r="Q1506" s="8" t="str">
        <f t="array" ref="Q1506">XLOOKUP(D1506,Product_Dim!A:A,Product_Dim!C:C,"Not Found")</f>
        <v>Sports</v>
      </c>
      <c r="R1506" s="8" t="str">
        <f t="array" ref="R1506">XLOOKUP(E1506,Store_Dim!A:A,Store_Dim!B:B,"Not Found")</f>
        <v>East</v>
      </c>
      <c r="S1506" s="8" t="str">
        <f t="array" ref="S1506">XLOOKUP(E1506,Store_Dim!A:A,Store_Dim!D:D,"Not Found")</f>
        <v>Online</v>
      </c>
    </row>
    <row r="1507" ht="14.25" customHeight="1">
      <c r="A1507" s="8" t="s">
        <v>3460</v>
      </c>
      <c r="B1507" s="12">
        <v>46985.0</v>
      </c>
      <c r="C1507" s="8" t="s">
        <v>1396</v>
      </c>
      <c r="D1507" s="8" t="s">
        <v>1766</v>
      </c>
      <c r="E1507" s="8" t="s">
        <v>1933</v>
      </c>
      <c r="F1507" s="8">
        <v>1.0</v>
      </c>
      <c r="G1507" s="8">
        <v>935.66</v>
      </c>
      <c r="H1507" s="8">
        <v>0.26</v>
      </c>
      <c r="I1507" s="8">
        <f t="shared" si="1"/>
        <v>935.66</v>
      </c>
      <c r="J1507" s="8">
        <f t="shared" si="2"/>
        <v>-243.0116</v>
      </c>
      <c r="K1507" s="8" t="str">
        <f t="shared" si="3"/>
        <v>Aug</v>
      </c>
      <c r="L1507" s="8">
        <f t="shared" si="4"/>
        <v>2028</v>
      </c>
      <c r="N1507" s="8" t="str">
        <f t="array" ref="N1507">XLOOKUP(C1507,Customer_Dim!A:A,Customer_Dim!B:B,"Not Found")</f>
        <v>Shannon Turner</v>
      </c>
      <c r="O1507" s="8" t="str">
        <f t="array" ref="O1507">XLOOKUP(C1507,Customer_Dim!A:A,Customer_Dim!E:E,"Not Found")</f>
        <v>West Jorge</v>
      </c>
      <c r="P1507" s="8" t="str">
        <f t="array" ref="P1507">XLOOKUP(D1507,Product_Dim!A:A,Product_Dim!B:B,"Not Found")</f>
        <v>Men's Hair Styling Gel</v>
      </c>
      <c r="Q1507" s="8" t="str">
        <f t="array" ref="Q1507">XLOOKUP(D1507,Product_Dim!A:A,Product_Dim!C:C,"Not Found")</f>
        <v>Beauty</v>
      </c>
      <c r="R1507" s="8" t="str">
        <f t="array" ref="R1507">XLOOKUP(E1507,Store_Dim!A:A,Store_Dim!B:B,"Not Found")</f>
        <v>North</v>
      </c>
      <c r="S1507" s="8" t="str">
        <f t="array" ref="S1507">XLOOKUP(E1507,Store_Dim!A:A,Store_Dim!D:D,"Not Found")</f>
        <v>Flagship</v>
      </c>
    </row>
    <row r="1508" ht="14.25" customHeight="1">
      <c r="A1508" s="8" t="s">
        <v>3461</v>
      </c>
      <c r="B1508" s="12">
        <v>46986.0</v>
      </c>
      <c r="C1508" s="8" t="s">
        <v>1462</v>
      </c>
      <c r="D1508" s="8" t="s">
        <v>1690</v>
      </c>
      <c r="E1508" s="8" t="s">
        <v>1921</v>
      </c>
      <c r="F1508" s="8">
        <v>4.0</v>
      </c>
      <c r="G1508" s="8">
        <v>480.75</v>
      </c>
      <c r="H1508" s="8">
        <v>0.02</v>
      </c>
      <c r="I1508" s="8">
        <f t="shared" si="1"/>
        <v>1923</v>
      </c>
      <c r="J1508" s="8">
        <f t="shared" si="2"/>
        <v>-38.44</v>
      </c>
      <c r="K1508" s="8" t="str">
        <f t="shared" si="3"/>
        <v>Aug</v>
      </c>
      <c r="L1508" s="8">
        <f t="shared" si="4"/>
        <v>2028</v>
      </c>
      <c r="N1508" s="8" t="str">
        <f t="array" ref="N1508">XLOOKUP(C1508,Customer_Dim!A:A,Customer_Dim!B:B,"Not Found")</f>
        <v>James Foster</v>
      </c>
      <c r="O1508" s="8" t="str">
        <f t="array" ref="O1508">XLOOKUP(C1508,Customer_Dim!A:A,Customer_Dim!E:E,"Not Found")</f>
        <v>East Audrey</v>
      </c>
      <c r="P1508" s="8" t="str">
        <f t="array" ref="P1508">XLOOKUP(D1508,Product_Dim!A:A,Product_Dim!B:B,"Not Found")</f>
        <v>Bedroom Table Lamp</v>
      </c>
      <c r="Q1508" s="8" t="str">
        <f t="array" ref="Q1508">XLOOKUP(D1508,Product_Dim!A:A,Product_Dim!C:C,"Not Found")</f>
        <v>Home</v>
      </c>
      <c r="R1508" s="8" t="str">
        <f t="array" ref="R1508">XLOOKUP(E1508,Store_Dim!A:A,Store_Dim!B:B,"Not Found")</f>
        <v>West</v>
      </c>
      <c r="S1508" s="8" t="str">
        <f t="array" ref="S1508">XLOOKUP(E1508,Store_Dim!A:A,Store_Dim!D:D,"Not Found")</f>
        <v>Online</v>
      </c>
    </row>
    <row r="1509" ht="14.25" customHeight="1">
      <c r="A1509" s="8" t="s">
        <v>3462</v>
      </c>
      <c r="B1509" s="12">
        <v>46987.0</v>
      </c>
      <c r="C1509" s="8" t="s">
        <v>1170</v>
      </c>
      <c r="D1509" s="8" t="s">
        <v>1833</v>
      </c>
      <c r="E1509" s="8" t="s">
        <v>1933</v>
      </c>
      <c r="F1509" s="8">
        <v>2.0</v>
      </c>
      <c r="G1509" s="8">
        <v>457.83</v>
      </c>
      <c r="H1509" s="8">
        <v>0.01</v>
      </c>
      <c r="I1509" s="8">
        <f t="shared" si="1"/>
        <v>915.66</v>
      </c>
      <c r="J1509" s="8">
        <f t="shared" si="2"/>
        <v>-9.1466</v>
      </c>
      <c r="K1509" s="8" t="str">
        <f t="shared" si="3"/>
        <v>Aug</v>
      </c>
      <c r="L1509" s="8">
        <f t="shared" si="4"/>
        <v>2028</v>
      </c>
      <c r="N1509" s="8" t="str">
        <f t="array" ref="N1509">XLOOKUP(C1509,Customer_Dim!A:A,Customer_Dim!B:B,"Not Found")</f>
        <v>Gregory Allen</v>
      </c>
      <c r="O1509" s="8" t="str">
        <f t="array" ref="O1509">XLOOKUP(C1509,Customer_Dim!A:A,Customer_Dim!E:E,"Not Found")</f>
        <v>West Bruce</v>
      </c>
      <c r="P1509" s="8" t="str">
        <f t="array" ref="P1509">XLOOKUP(D1509,Product_Dim!A:A,Product_Dim!B:B,"Not Found")</f>
        <v>Badminton Racket Set</v>
      </c>
      <c r="Q1509" s="8" t="str">
        <f t="array" ref="Q1509">XLOOKUP(D1509,Product_Dim!A:A,Product_Dim!C:C,"Not Found")</f>
        <v>Sports</v>
      </c>
      <c r="R1509" s="8" t="str">
        <f t="array" ref="R1509">XLOOKUP(E1509,Store_Dim!A:A,Store_Dim!B:B,"Not Found")</f>
        <v>North</v>
      </c>
      <c r="S1509" s="8" t="str">
        <f t="array" ref="S1509">XLOOKUP(E1509,Store_Dim!A:A,Store_Dim!D:D,"Not Found")</f>
        <v>Flagship</v>
      </c>
    </row>
    <row r="1510" ht="14.25" customHeight="1">
      <c r="A1510" s="8" t="s">
        <v>3463</v>
      </c>
      <c r="B1510" s="12">
        <v>46988.0</v>
      </c>
      <c r="C1510" s="8" t="s">
        <v>559</v>
      </c>
      <c r="D1510" s="8" t="s">
        <v>1732</v>
      </c>
      <c r="E1510" s="8" t="s">
        <v>1932</v>
      </c>
      <c r="F1510" s="8">
        <v>1.0</v>
      </c>
      <c r="G1510" s="8">
        <v>994.63</v>
      </c>
      <c r="H1510" s="8">
        <v>0.28</v>
      </c>
      <c r="I1510" s="8">
        <f t="shared" si="1"/>
        <v>994.63</v>
      </c>
      <c r="J1510" s="8">
        <f t="shared" si="2"/>
        <v>-278.2164</v>
      </c>
      <c r="K1510" s="8" t="str">
        <f t="shared" si="3"/>
        <v>Aug</v>
      </c>
      <c r="L1510" s="8">
        <f t="shared" si="4"/>
        <v>2028</v>
      </c>
      <c r="N1510" s="8" t="str">
        <f t="array" ref="N1510">XLOOKUP(C1510,Customer_Dim!A:A,Customer_Dim!B:B,"Not Found")</f>
        <v>Daniel Rivas</v>
      </c>
      <c r="O1510" s="8" t="str">
        <f t="array" ref="O1510">XLOOKUP(C1510,Customer_Dim!A:A,Customer_Dim!E:E,"Not Found")</f>
        <v>Dominiquefort</v>
      </c>
      <c r="P1510" s="8" t="str">
        <f t="array" ref="P1510">XLOOKUP(D1510,Product_Dim!A:A,Product_Dim!B:B,"Not Found")</f>
        <v>Car Dashboard Phone Holder</v>
      </c>
      <c r="Q1510" s="8" t="str">
        <f t="array" ref="Q1510">XLOOKUP(D1510,Product_Dim!A:A,Product_Dim!C:C,"Not Found")</f>
        <v>Electronics</v>
      </c>
      <c r="R1510" s="8" t="str">
        <f t="array" ref="R1510">XLOOKUP(E1510,Store_Dim!A:A,Store_Dim!B:B,"Not Found")</f>
        <v>South</v>
      </c>
      <c r="S1510" s="8" t="str">
        <f t="array" ref="S1510">XLOOKUP(E1510,Store_Dim!A:A,Store_Dim!D:D,"Not Found")</f>
        <v>Outlet</v>
      </c>
    </row>
    <row r="1511" ht="14.25" customHeight="1">
      <c r="A1511" s="8" t="s">
        <v>3464</v>
      </c>
      <c r="B1511" s="12">
        <v>46989.0</v>
      </c>
      <c r="C1511" s="8" t="s">
        <v>800</v>
      </c>
      <c r="D1511" s="8" t="s">
        <v>1860</v>
      </c>
      <c r="E1511" s="8" t="s">
        <v>1899</v>
      </c>
      <c r="F1511" s="8">
        <v>3.0</v>
      </c>
      <c r="G1511" s="8">
        <v>65.57</v>
      </c>
      <c r="H1511" s="8">
        <v>0.3</v>
      </c>
      <c r="I1511" s="8">
        <f t="shared" si="1"/>
        <v>196.71</v>
      </c>
      <c r="J1511" s="8">
        <f t="shared" si="2"/>
        <v>-58.713</v>
      </c>
      <c r="K1511" s="8" t="str">
        <f t="shared" si="3"/>
        <v>Aug</v>
      </c>
      <c r="L1511" s="8">
        <f t="shared" si="4"/>
        <v>2028</v>
      </c>
      <c r="N1511" s="8" t="str">
        <f t="array" ref="N1511">XLOOKUP(C1511,Customer_Dim!A:A,Customer_Dim!B:B,"Not Found")</f>
        <v>Laura Soto</v>
      </c>
      <c r="O1511" s="8" t="str">
        <f t="array" ref="O1511">XLOOKUP(C1511,Customer_Dim!A:A,Customer_Dim!E:E,"Not Found")</f>
        <v>Rodriguezton</v>
      </c>
      <c r="P1511" s="8" t="str">
        <f t="array" ref="P1511">XLOOKUP(D1511,Product_Dim!A:A,Product_Dim!B:B,"Not Found")</f>
        <v>Gaming Mouse Pad XL</v>
      </c>
      <c r="Q1511" s="8" t="str">
        <f t="array" ref="Q1511">XLOOKUP(D1511,Product_Dim!A:A,Product_Dim!C:C,"Not Found")</f>
        <v>Electronics</v>
      </c>
      <c r="R1511" s="8" t="str">
        <f t="array" ref="R1511">XLOOKUP(E1511,Store_Dim!A:A,Store_Dim!B:B,"Not Found")</f>
        <v>East</v>
      </c>
      <c r="S1511" s="8" t="str">
        <f t="array" ref="S1511">XLOOKUP(E1511,Store_Dim!A:A,Store_Dim!D:D,"Not Found")</f>
        <v>Flagship</v>
      </c>
    </row>
    <row r="1512" ht="14.25" customHeight="1">
      <c r="A1512" s="8" t="s">
        <v>3465</v>
      </c>
      <c r="B1512" s="12">
        <v>46990.0</v>
      </c>
      <c r="C1512" s="8" t="s">
        <v>547</v>
      </c>
      <c r="D1512" s="8" t="s">
        <v>1763</v>
      </c>
      <c r="E1512" s="8" t="s">
        <v>1937</v>
      </c>
      <c r="F1512" s="8">
        <v>3.0</v>
      </c>
      <c r="G1512" s="8">
        <v>622.98</v>
      </c>
      <c r="H1512" s="8">
        <v>0.28</v>
      </c>
      <c r="I1512" s="8">
        <f t="shared" si="1"/>
        <v>1868.94</v>
      </c>
      <c r="J1512" s="8">
        <f t="shared" si="2"/>
        <v>-523.0232</v>
      </c>
      <c r="K1512" s="8" t="str">
        <f t="shared" si="3"/>
        <v>Aug</v>
      </c>
      <c r="L1512" s="8">
        <f t="shared" si="4"/>
        <v>2028</v>
      </c>
      <c r="N1512" s="8" t="str">
        <f t="array" ref="N1512">XLOOKUP(C1512,Customer_Dim!A:A,Customer_Dim!B:B,"Not Found")</f>
        <v>John Lawson</v>
      </c>
      <c r="O1512" s="8" t="str">
        <f t="array" ref="O1512">XLOOKUP(C1512,Customer_Dim!A:A,Customer_Dim!E:E,"Not Found")</f>
        <v>New Juliemouth</v>
      </c>
      <c r="P1512" s="8" t="str">
        <f t="array" ref="P1512">XLOOKUP(D1512,Product_Dim!A:A,Product_Dim!B:B,"Not Found")</f>
        <v>Womens Cotton Scarf</v>
      </c>
      <c r="Q1512" s="8" t="str">
        <f t="array" ref="Q1512">XLOOKUP(D1512,Product_Dim!A:A,Product_Dim!C:C,"Not Found")</f>
        <v>Clothing</v>
      </c>
      <c r="R1512" s="8" t="str">
        <f t="array" ref="R1512">XLOOKUP(E1512,Store_Dim!A:A,Store_Dim!B:B,"Not Found")</f>
        <v>North</v>
      </c>
      <c r="S1512" s="8" t="str">
        <f t="array" ref="S1512">XLOOKUP(E1512,Store_Dim!A:A,Store_Dim!D:D,"Not Found")</f>
        <v>Flagship</v>
      </c>
    </row>
    <row r="1513" ht="14.25" customHeight="1">
      <c r="A1513" s="8" t="s">
        <v>3466</v>
      </c>
      <c r="B1513" s="12">
        <v>46991.0</v>
      </c>
      <c r="C1513" s="8" t="s">
        <v>815</v>
      </c>
      <c r="D1513" s="8" t="s">
        <v>1754</v>
      </c>
      <c r="E1513" s="8" t="s">
        <v>1931</v>
      </c>
      <c r="F1513" s="8">
        <v>1.0</v>
      </c>
      <c r="G1513" s="8">
        <v>170.68</v>
      </c>
      <c r="H1513" s="8">
        <v>0.13</v>
      </c>
      <c r="I1513" s="8">
        <f t="shared" si="1"/>
        <v>170.68</v>
      </c>
      <c r="J1513" s="8">
        <f t="shared" si="2"/>
        <v>-22.0584</v>
      </c>
      <c r="K1513" s="8" t="str">
        <f t="shared" si="3"/>
        <v>Aug</v>
      </c>
      <c r="L1513" s="8">
        <f t="shared" si="4"/>
        <v>2028</v>
      </c>
      <c r="N1513" s="8" t="str">
        <f t="array" ref="N1513">XLOOKUP(C1513,Customer_Dim!A:A,Customer_Dim!B:B,"Not Found")</f>
        <v>Veronica Newman</v>
      </c>
      <c r="O1513" s="8" t="str">
        <f t="array" ref="O1513">XLOOKUP(C1513,Customer_Dim!A:A,Customer_Dim!E:E,"Not Found")</f>
        <v>New Daniel</v>
      </c>
      <c r="P1513" s="8" t="str">
        <f t="array" ref="P1513">XLOOKUP(D1513,Product_Dim!A:A,Product_Dim!B:B,"Not Found")</f>
        <v>Ceramic Plant Pot</v>
      </c>
      <c r="Q1513" s="8" t="str">
        <f t="array" ref="Q1513">XLOOKUP(D1513,Product_Dim!A:A,Product_Dim!C:C,"Not Found")</f>
        <v>Home</v>
      </c>
      <c r="R1513" s="8" t="str">
        <f t="array" ref="R1513">XLOOKUP(E1513,Store_Dim!A:A,Store_Dim!B:B,"Not Found")</f>
        <v>East</v>
      </c>
      <c r="S1513" s="8" t="str">
        <f t="array" ref="S1513">XLOOKUP(E1513,Store_Dim!A:A,Store_Dim!D:D,"Not Found")</f>
        <v>Flagship</v>
      </c>
    </row>
    <row r="1514" ht="14.25" customHeight="1">
      <c r="A1514" s="8" t="s">
        <v>3467</v>
      </c>
      <c r="B1514" s="12">
        <v>46992.0</v>
      </c>
      <c r="C1514" s="8" t="s">
        <v>354</v>
      </c>
      <c r="D1514" s="8" t="s">
        <v>1592</v>
      </c>
      <c r="E1514" s="8" t="s">
        <v>1921</v>
      </c>
      <c r="F1514" s="8">
        <v>4.0</v>
      </c>
      <c r="G1514" s="8">
        <v>797.83</v>
      </c>
      <c r="H1514" s="8">
        <v>0.08</v>
      </c>
      <c r="I1514" s="8">
        <f t="shared" si="1"/>
        <v>3191.32</v>
      </c>
      <c r="J1514" s="8">
        <f t="shared" si="2"/>
        <v>-255.2256</v>
      </c>
      <c r="K1514" s="8" t="str">
        <f t="shared" si="3"/>
        <v>Aug</v>
      </c>
      <c r="L1514" s="8">
        <f t="shared" si="4"/>
        <v>2028</v>
      </c>
      <c r="N1514" s="8" t="str">
        <f t="array" ref="N1514">XLOOKUP(C1514,Customer_Dim!A:A,Customer_Dim!B:B,"Not Found")</f>
        <v>Samantha Walker</v>
      </c>
      <c r="O1514" s="8" t="str">
        <f t="array" ref="O1514">XLOOKUP(C1514,Customer_Dim!A:A,Customer_Dim!E:E,"Not Found")</f>
        <v>Timothyburgh</v>
      </c>
      <c r="P1514" s="8" t="str">
        <f t="array" ref="P1514">XLOOKUP(D1514,Product_Dim!A:A,Product_Dim!B:B,"Not Found")</f>
        <v>LED Table Lamp</v>
      </c>
      <c r="Q1514" s="8" t="str">
        <f t="array" ref="Q1514">XLOOKUP(D1514,Product_Dim!A:A,Product_Dim!C:C,"Not Found")</f>
        <v>Home</v>
      </c>
      <c r="R1514" s="8" t="str">
        <f t="array" ref="R1514">XLOOKUP(E1514,Store_Dim!A:A,Store_Dim!B:B,"Not Found")</f>
        <v>West</v>
      </c>
      <c r="S1514" s="8" t="str">
        <f t="array" ref="S1514">XLOOKUP(E1514,Store_Dim!A:A,Store_Dim!D:D,"Not Found")</f>
        <v>Online</v>
      </c>
    </row>
    <row r="1515" ht="14.25" customHeight="1">
      <c r="A1515" s="8" t="s">
        <v>3468</v>
      </c>
      <c r="B1515" s="12">
        <v>46993.0</v>
      </c>
      <c r="C1515" s="8" t="s">
        <v>360</v>
      </c>
      <c r="D1515" s="8" t="s">
        <v>1572</v>
      </c>
      <c r="E1515" s="8" t="s">
        <v>1935</v>
      </c>
      <c r="F1515" s="8">
        <v>1.0</v>
      </c>
      <c r="G1515" s="8">
        <v>372.75</v>
      </c>
      <c r="H1515" s="8">
        <v>0.12</v>
      </c>
      <c r="I1515" s="8">
        <f t="shared" si="1"/>
        <v>372.75</v>
      </c>
      <c r="J1515" s="8">
        <f t="shared" si="2"/>
        <v>-44.61</v>
      </c>
      <c r="K1515" s="8" t="str">
        <f t="shared" si="3"/>
        <v>Aug</v>
      </c>
      <c r="L1515" s="8">
        <f t="shared" si="4"/>
        <v>2028</v>
      </c>
      <c r="N1515" s="8" t="str">
        <f t="array" ref="N1515">XLOOKUP(C1515,Customer_Dim!A:A,Customer_Dim!B:B,"Not Found")</f>
        <v>Brittney Morgan</v>
      </c>
      <c r="O1515" s="8" t="str">
        <f t="array" ref="O1515">XLOOKUP(C1515,Customer_Dim!A:A,Customer_Dim!E:E,"Not Found")</f>
        <v>Lake Kaylahaven</v>
      </c>
      <c r="P1515" s="8" t="str">
        <f t="array" ref="P1515">XLOOKUP(D1515,Product_Dim!A:A,Product_Dim!B:B,"Not Found")</f>
        <v>Women's Casual Hoodie</v>
      </c>
      <c r="Q1515" s="8" t="str">
        <f t="array" ref="Q1515">XLOOKUP(D1515,Product_Dim!A:A,Product_Dim!C:C,"Not Found")</f>
        <v>Clothing</v>
      </c>
      <c r="R1515" s="8" t="str">
        <f t="array" ref="R1515">XLOOKUP(E1515,Store_Dim!A:A,Store_Dim!B:B,"Not Found")</f>
        <v>West</v>
      </c>
      <c r="S1515" s="8" t="str">
        <f t="array" ref="S1515">XLOOKUP(E1515,Store_Dim!A:A,Store_Dim!D:D,"Not Found")</f>
        <v>Flagship</v>
      </c>
    </row>
    <row r="1516" ht="14.25" customHeight="1">
      <c r="A1516" s="8" t="s">
        <v>3469</v>
      </c>
      <c r="B1516" s="12">
        <v>46994.0</v>
      </c>
      <c r="C1516" s="8" t="s">
        <v>1251</v>
      </c>
      <c r="D1516" s="8" t="s">
        <v>1772</v>
      </c>
      <c r="E1516" s="8" t="s">
        <v>1912</v>
      </c>
      <c r="F1516" s="8">
        <v>1.0</v>
      </c>
      <c r="G1516" s="8">
        <v>994.18</v>
      </c>
      <c r="H1516" s="8">
        <v>0.05</v>
      </c>
      <c r="I1516" s="8">
        <f t="shared" si="1"/>
        <v>994.18</v>
      </c>
      <c r="J1516" s="8">
        <f t="shared" si="2"/>
        <v>-49.659</v>
      </c>
      <c r="K1516" s="8" t="str">
        <f t="shared" si="3"/>
        <v>Aug</v>
      </c>
      <c r="L1516" s="8">
        <f t="shared" si="4"/>
        <v>2028</v>
      </c>
      <c r="N1516" s="8" t="str">
        <f t="array" ref="N1516">XLOOKUP(C1516,Customer_Dim!A:A,Customer_Dim!B:B,"Not Found")</f>
        <v>Alexander Byrd</v>
      </c>
      <c r="O1516" s="8" t="str">
        <f t="array" ref="O1516">XLOOKUP(C1516,Customer_Dim!A:A,Customer_Dim!E:E,"Not Found")</f>
        <v>Parkerview</v>
      </c>
      <c r="P1516" s="8" t="str">
        <f t="array" ref="P1516">XLOOKUP(D1516,Product_Dim!A:A,Product_Dim!B:B,"Not Found")</f>
        <v>Tennis Ball 3-Pack</v>
      </c>
      <c r="Q1516" s="8" t="str">
        <f t="array" ref="Q1516">XLOOKUP(D1516,Product_Dim!A:A,Product_Dim!C:C,"Not Found")</f>
        <v>Sports</v>
      </c>
      <c r="R1516" s="8" t="str">
        <f t="array" ref="R1516">XLOOKUP(E1516,Store_Dim!A:A,Store_Dim!B:B,"Not Found")</f>
        <v>South</v>
      </c>
      <c r="S1516" s="8" t="str">
        <f t="array" ref="S1516">XLOOKUP(E1516,Store_Dim!A:A,Store_Dim!D:D,"Not Found")</f>
        <v>Online</v>
      </c>
    </row>
    <row r="1517" ht="14.25" customHeight="1">
      <c r="A1517" s="8" t="s">
        <v>3470</v>
      </c>
      <c r="B1517" s="12">
        <v>46995.0</v>
      </c>
      <c r="C1517" s="8" t="s">
        <v>1326</v>
      </c>
      <c r="D1517" s="8" t="s">
        <v>1642</v>
      </c>
      <c r="E1517" s="8" t="s">
        <v>1931</v>
      </c>
      <c r="F1517" s="8">
        <v>1.0</v>
      </c>
      <c r="G1517" s="8">
        <v>136.12</v>
      </c>
      <c r="H1517" s="8">
        <v>0.07</v>
      </c>
      <c r="I1517" s="8">
        <f t="shared" si="1"/>
        <v>136.12</v>
      </c>
      <c r="J1517" s="8">
        <f t="shared" si="2"/>
        <v>-9.4584</v>
      </c>
      <c r="K1517" s="8" t="str">
        <f t="shared" si="3"/>
        <v>Aug</v>
      </c>
      <c r="L1517" s="8">
        <f t="shared" si="4"/>
        <v>2028</v>
      </c>
      <c r="N1517" s="8" t="str">
        <f t="array" ref="N1517">XLOOKUP(C1517,Customer_Dim!A:A,Customer_Dim!B:B,"Not Found")</f>
        <v>Brittany Edwards DDS</v>
      </c>
      <c r="O1517" s="8" t="str">
        <f t="array" ref="O1517">XLOOKUP(C1517,Customer_Dim!A:A,Customer_Dim!E:E,"Not Found")</f>
        <v>Aliciahaven</v>
      </c>
      <c r="P1517" s="8" t="str">
        <f t="array" ref="P1517">XLOOKUP(D1517,Product_Dim!A:A,Product_Dim!B:B,"Not Found")</f>
        <v>Outdoor Sports Water Bottle</v>
      </c>
      <c r="Q1517" s="8" t="str">
        <f t="array" ref="Q1517">XLOOKUP(D1517,Product_Dim!A:A,Product_Dim!C:C,"Not Found")</f>
        <v>Sports</v>
      </c>
      <c r="R1517" s="8" t="str">
        <f t="array" ref="R1517">XLOOKUP(E1517,Store_Dim!A:A,Store_Dim!B:B,"Not Found")</f>
        <v>East</v>
      </c>
      <c r="S1517" s="8" t="str">
        <f t="array" ref="S1517">XLOOKUP(E1517,Store_Dim!A:A,Store_Dim!D:D,"Not Found")</f>
        <v>Flagship</v>
      </c>
    </row>
    <row r="1518" ht="14.25" customHeight="1">
      <c r="A1518" s="8" t="s">
        <v>3471</v>
      </c>
      <c r="B1518" s="12">
        <v>46996.0</v>
      </c>
      <c r="C1518" s="8" t="s">
        <v>134</v>
      </c>
      <c r="D1518" s="8" t="s">
        <v>1745</v>
      </c>
      <c r="E1518" s="8" t="s">
        <v>1939</v>
      </c>
      <c r="F1518" s="8">
        <v>3.0</v>
      </c>
      <c r="G1518" s="8">
        <v>634.45</v>
      </c>
      <c r="H1518" s="8">
        <v>0.17</v>
      </c>
      <c r="I1518" s="8">
        <f t="shared" si="1"/>
        <v>1903.35</v>
      </c>
      <c r="J1518" s="8">
        <f t="shared" si="2"/>
        <v>-323.3995</v>
      </c>
      <c r="K1518" s="8" t="str">
        <f t="shared" si="3"/>
        <v>Aug</v>
      </c>
      <c r="L1518" s="8">
        <f t="shared" si="4"/>
        <v>2028</v>
      </c>
      <c r="N1518" s="8" t="str">
        <f t="array" ref="N1518">XLOOKUP(C1518,Customer_Dim!A:A,Customer_Dim!B:B,"Not Found")</f>
        <v>Jessica Acevedo</v>
      </c>
      <c r="O1518" s="8" t="str">
        <f t="array" ref="O1518">XLOOKUP(C1518,Customer_Dim!A:A,Customer_Dim!E:E,"Not Found")</f>
        <v>Amybury</v>
      </c>
      <c r="P1518" s="8" t="str">
        <f t="array" ref="P1518">XLOOKUP(D1518,Product_Dim!A:A,Product_Dim!B:B,"Not Found")</f>
        <v>Rugby Ball</v>
      </c>
      <c r="Q1518" s="8" t="str">
        <f t="array" ref="Q1518">XLOOKUP(D1518,Product_Dim!A:A,Product_Dim!C:C,"Not Found")</f>
        <v>Sports</v>
      </c>
      <c r="R1518" s="8" t="str">
        <f t="array" ref="R1518">XLOOKUP(E1518,Store_Dim!A:A,Store_Dim!B:B,"Not Found")</f>
        <v>East</v>
      </c>
      <c r="S1518" s="8" t="str">
        <f t="array" ref="S1518">XLOOKUP(E1518,Store_Dim!A:A,Store_Dim!D:D,"Not Found")</f>
        <v>Flagship</v>
      </c>
    </row>
    <row r="1519" ht="14.25" customHeight="1">
      <c r="A1519" s="8" t="s">
        <v>3472</v>
      </c>
      <c r="B1519" s="12">
        <v>46997.0</v>
      </c>
      <c r="C1519" s="8" t="s">
        <v>1050</v>
      </c>
      <c r="D1519" s="8" t="s">
        <v>1781</v>
      </c>
      <c r="E1519" s="8" t="s">
        <v>1899</v>
      </c>
      <c r="F1519" s="8">
        <v>4.0</v>
      </c>
      <c r="G1519" s="8">
        <v>179.62</v>
      </c>
      <c r="H1519" s="8">
        <v>0.05</v>
      </c>
      <c r="I1519" s="8">
        <f t="shared" si="1"/>
        <v>718.48</v>
      </c>
      <c r="J1519" s="8">
        <f t="shared" si="2"/>
        <v>-35.874</v>
      </c>
      <c r="K1519" s="8" t="str">
        <f t="shared" si="3"/>
        <v>Sep</v>
      </c>
      <c r="L1519" s="8">
        <f t="shared" si="4"/>
        <v>2028</v>
      </c>
      <c r="N1519" s="8" t="str">
        <f t="array" ref="N1519">XLOOKUP(C1519,Customer_Dim!A:A,Customer_Dim!B:B,"Not Found")</f>
        <v>Victor Mcintosh</v>
      </c>
      <c r="O1519" s="8" t="str">
        <f t="array" ref="O1519">XLOOKUP(C1519,Customer_Dim!A:A,Customer_Dim!E:E,"Not Found")</f>
        <v>Tiffanyshire</v>
      </c>
      <c r="P1519" s="8" t="str">
        <f t="array" ref="P1519">XLOOKUP(D1519,Product_Dim!A:A,Product_Dim!B:B,"Not Found")</f>
        <v>Matte Lipstick Set</v>
      </c>
      <c r="Q1519" s="8" t="str">
        <f t="array" ref="Q1519">XLOOKUP(D1519,Product_Dim!A:A,Product_Dim!C:C,"Not Found")</f>
        <v>Beauty</v>
      </c>
      <c r="R1519" s="8" t="str">
        <f t="array" ref="R1519">XLOOKUP(E1519,Store_Dim!A:A,Store_Dim!B:B,"Not Found")</f>
        <v>East</v>
      </c>
      <c r="S1519" s="8" t="str">
        <f t="array" ref="S1519">XLOOKUP(E1519,Store_Dim!A:A,Store_Dim!D:D,"Not Found")</f>
        <v>Flagship</v>
      </c>
    </row>
    <row r="1520" ht="14.25" customHeight="1">
      <c r="A1520" s="8" t="s">
        <v>3473</v>
      </c>
      <c r="B1520" s="12">
        <v>46998.0</v>
      </c>
      <c r="C1520" s="8" t="s">
        <v>947</v>
      </c>
      <c r="D1520" s="8" t="s">
        <v>1642</v>
      </c>
      <c r="E1520" s="8" t="s">
        <v>1939</v>
      </c>
      <c r="F1520" s="8">
        <v>4.0</v>
      </c>
      <c r="G1520" s="8">
        <v>558.83</v>
      </c>
      <c r="H1520" s="8">
        <v>0.16</v>
      </c>
      <c r="I1520" s="8">
        <f t="shared" si="1"/>
        <v>2235.32</v>
      </c>
      <c r="J1520" s="8">
        <f t="shared" si="2"/>
        <v>-357.4912</v>
      </c>
      <c r="K1520" s="8" t="str">
        <f t="shared" si="3"/>
        <v>Sep</v>
      </c>
      <c r="L1520" s="8">
        <f t="shared" si="4"/>
        <v>2028</v>
      </c>
      <c r="N1520" s="8" t="str">
        <f t="array" ref="N1520">XLOOKUP(C1520,Customer_Dim!A:A,Customer_Dim!B:B,"Not Found")</f>
        <v>Lisa Chandler</v>
      </c>
      <c r="O1520" s="8" t="str">
        <f t="array" ref="O1520">XLOOKUP(C1520,Customer_Dim!A:A,Customer_Dim!E:E,"Not Found")</f>
        <v>Port Richard</v>
      </c>
      <c r="P1520" s="8" t="str">
        <f t="array" ref="P1520">XLOOKUP(D1520,Product_Dim!A:A,Product_Dim!B:B,"Not Found")</f>
        <v>Outdoor Sports Water Bottle</v>
      </c>
      <c r="Q1520" s="8" t="str">
        <f t="array" ref="Q1520">XLOOKUP(D1520,Product_Dim!A:A,Product_Dim!C:C,"Not Found")</f>
        <v>Sports</v>
      </c>
      <c r="R1520" s="8" t="str">
        <f t="array" ref="R1520">XLOOKUP(E1520,Store_Dim!A:A,Store_Dim!B:B,"Not Found")</f>
        <v>East</v>
      </c>
      <c r="S1520" s="8" t="str">
        <f t="array" ref="S1520">XLOOKUP(E1520,Store_Dim!A:A,Store_Dim!D:D,"Not Found")</f>
        <v>Flagship</v>
      </c>
    </row>
    <row r="1521" ht="14.25" customHeight="1">
      <c r="A1521" s="8" t="s">
        <v>3474</v>
      </c>
      <c r="B1521" s="12">
        <v>46999.0</v>
      </c>
      <c r="C1521" s="8" t="s">
        <v>580</v>
      </c>
      <c r="D1521" s="8" t="s">
        <v>1872</v>
      </c>
      <c r="E1521" s="8" t="s">
        <v>1917</v>
      </c>
      <c r="F1521" s="8">
        <v>2.0</v>
      </c>
      <c r="G1521" s="8">
        <v>859.74</v>
      </c>
      <c r="H1521" s="8">
        <v>0.25</v>
      </c>
      <c r="I1521" s="8">
        <f t="shared" si="1"/>
        <v>1719.48</v>
      </c>
      <c r="J1521" s="8">
        <f t="shared" si="2"/>
        <v>-429.62</v>
      </c>
      <c r="K1521" s="8" t="str">
        <f t="shared" si="3"/>
        <v>Sep</v>
      </c>
      <c r="L1521" s="8">
        <f t="shared" si="4"/>
        <v>2028</v>
      </c>
      <c r="N1521" s="8" t="str">
        <f t="array" ref="N1521">XLOOKUP(C1521,Customer_Dim!A:A,Customer_Dim!B:B,"Not Found")</f>
        <v>Amy Wilson</v>
      </c>
      <c r="O1521" s="8" t="str">
        <f t="array" ref="O1521">XLOOKUP(C1521,Customer_Dim!A:A,Customer_Dim!E:E,"Not Found")</f>
        <v>Morrisburgh</v>
      </c>
      <c r="P1521" s="8" t="str">
        <f t="array" ref="P1521">XLOOKUP(D1521,Product_Dim!A:A,Product_Dim!B:B,"Not Found")</f>
        <v>Vitamin E Body Lotion</v>
      </c>
      <c r="Q1521" s="8" t="str">
        <f t="array" ref="Q1521">XLOOKUP(D1521,Product_Dim!A:A,Product_Dim!C:C,"Not Found")</f>
        <v>Beauty</v>
      </c>
      <c r="R1521" s="8" t="str">
        <f t="array" ref="R1521">XLOOKUP(E1521,Store_Dim!A:A,Store_Dim!B:B,"Not Found")</f>
        <v>East</v>
      </c>
      <c r="S1521" s="8" t="str">
        <f t="array" ref="S1521">XLOOKUP(E1521,Store_Dim!A:A,Store_Dim!D:D,"Not Found")</f>
        <v>Online</v>
      </c>
    </row>
    <row r="1522" ht="14.25" customHeight="1">
      <c r="A1522" s="8" t="s">
        <v>3475</v>
      </c>
      <c r="B1522" s="12">
        <v>47000.0</v>
      </c>
      <c r="C1522" s="8" t="s">
        <v>385</v>
      </c>
      <c r="D1522" s="8" t="s">
        <v>1784</v>
      </c>
      <c r="E1522" s="8" t="s">
        <v>1935</v>
      </c>
      <c r="F1522" s="8">
        <v>3.0</v>
      </c>
      <c r="G1522" s="8">
        <v>578.47</v>
      </c>
      <c r="H1522" s="8">
        <v>0.06</v>
      </c>
      <c r="I1522" s="8">
        <f t="shared" si="1"/>
        <v>1735.41</v>
      </c>
      <c r="J1522" s="8">
        <f t="shared" si="2"/>
        <v>-104.0646</v>
      </c>
      <c r="K1522" s="8" t="str">
        <f t="shared" si="3"/>
        <v>Sep</v>
      </c>
      <c r="L1522" s="8">
        <f t="shared" si="4"/>
        <v>2028</v>
      </c>
      <c r="N1522" s="8" t="str">
        <f t="array" ref="N1522">XLOOKUP(C1522,Customer_Dim!A:A,Customer_Dim!B:B,"Not Found")</f>
        <v>Howard Summers</v>
      </c>
      <c r="O1522" s="8" t="str">
        <f t="array" ref="O1522">XLOOKUP(C1522,Customer_Dim!A:A,Customer_Dim!E:E,"Not Found")</f>
        <v>East Linda</v>
      </c>
      <c r="P1522" s="8" t="str">
        <f t="array" ref="P1522">XLOOKUP(D1522,Product_Dim!A:A,Product_Dim!B:B,"Not Found")</f>
        <v>Adjustable Dumbbells 20kg</v>
      </c>
      <c r="Q1522" s="8" t="str">
        <f t="array" ref="Q1522">XLOOKUP(D1522,Product_Dim!A:A,Product_Dim!C:C,"Not Found")</f>
        <v>Sports</v>
      </c>
      <c r="R1522" s="8" t="str">
        <f t="array" ref="R1522">XLOOKUP(E1522,Store_Dim!A:A,Store_Dim!B:B,"Not Found")</f>
        <v>West</v>
      </c>
      <c r="S1522" s="8" t="str">
        <f t="array" ref="S1522">XLOOKUP(E1522,Store_Dim!A:A,Store_Dim!D:D,"Not Found")</f>
        <v>Flagship</v>
      </c>
    </row>
    <row r="1523" ht="14.25" customHeight="1">
      <c r="A1523" s="8" t="s">
        <v>3476</v>
      </c>
      <c r="B1523" s="12">
        <v>47001.0</v>
      </c>
      <c r="C1523" s="8" t="s">
        <v>218</v>
      </c>
      <c r="D1523" s="8" t="s">
        <v>1645</v>
      </c>
      <c r="E1523" s="8" t="s">
        <v>1929</v>
      </c>
      <c r="F1523" s="8">
        <v>1.0</v>
      </c>
      <c r="G1523" s="8">
        <v>440.48</v>
      </c>
      <c r="H1523" s="8">
        <v>0.11</v>
      </c>
      <c r="I1523" s="8">
        <f t="shared" si="1"/>
        <v>440.48</v>
      </c>
      <c r="J1523" s="8">
        <f t="shared" si="2"/>
        <v>-48.3428</v>
      </c>
      <c r="K1523" s="8" t="str">
        <f t="shared" si="3"/>
        <v>Sep</v>
      </c>
      <c r="L1523" s="8">
        <f t="shared" si="4"/>
        <v>2028</v>
      </c>
      <c r="N1523" s="8" t="str">
        <f t="array" ref="N1523">XLOOKUP(C1523,Customer_Dim!A:A,Customer_Dim!B:B,"Not Found")</f>
        <v>Wayne Mcpherson</v>
      </c>
      <c r="O1523" s="8" t="str">
        <f t="array" ref="O1523">XLOOKUP(C1523,Customer_Dim!A:A,Customer_Dim!E:E,"Not Found")</f>
        <v>Edwardsfort</v>
      </c>
      <c r="P1523" s="8" t="str">
        <f t="array" ref="P1523">XLOOKUP(D1523,Product_Dim!A:A,Product_Dim!B:B,"Not Found")</f>
        <v>Multi-Purpose Storage Box</v>
      </c>
      <c r="Q1523" s="8" t="str">
        <f t="array" ref="Q1523">XLOOKUP(D1523,Product_Dim!A:A,Product_Dim!C:C,"Not Found")</f>
        <v>Home</v>
      </c>
      <c r="R1523" s="8" t="str">
        <f t="array" ref="R1523">XLOOKUP(E1523,Store_Dim!A:A,Store_Dim!B:B,"Not Found")</f>
        <v>North</v>
      </c>
      <c r="S1523" s="8" t="str">
        <f t="array" ref="S1523">XLOOKUP(E1523,Store_Dim!A:A,Store_Dim!D:D,"Not Found")</f>
        <v>Online</v>
      </c>
    </row>
    <row r="1524" ht="14.25" customHeight="1">
      <c r="A1524" s="8" t="s">
        <v>3477</v>
      </c>
      <c r="B1524" s="12">
        <v>47002.0</v>
      </c>
      <c r="C1524" s="8" t="s">
        <v>84</v>
      </c>
      <c r="D1524" s="8" t="s">
        <v>1989</v>
      </c>
      <c r="E1524" s="8" t="s">
        <v>1941</v>
      </c>
      <c r="F1524" s="8">
        <v>2.0</v>
      </c>
      <c r="G1524" s="8">
        <v>303.67</v>
      </c>
      <c r="H1524" s="8">
        <v>0.05</v>
      </c>
      <c r="I1524" s="8">
        <f t="shared" si="1"/>
        <v>607.34</v>
      </c>
      <c r="J1524" s="8">
        <f t="shared" si="2"/>
        <v>-30.317</v>
      </c>
      <c r="K1524" s="8" t="str">
        <f t="shared" si="3"/>
        <v>Sep</v>
      </c>
      <c r="L1524" s="8">
        <f t="shared" si="4"/>
        <v>2028</v>
      </c>
      <c r="N1524" s="8" t="str">
        <f t="array" ref="N1524">XLOOKUP(C1524,Customer_Dim!A:A,Customer_Dim!B:B,"Not Found")</f>
        <v>John Scott</v>
      </c>
      <c r="O1524" s="8" t="str">
        <f t="array" ref="O1524">XLOOKUP(C1524,Customer_Dim!A:A,Customer_Dim!E:E,"Not Found")</f>
        <v>South Christopher</v>
      </c>
      <c r="P1524" s="8" t="str">
        <f t="array" ref="P1524">XLOOKUP(D1524,Product_Dim!A:A,Product_Dim!B:B,"Not Found")</f>
        <v>Not Found</v>
      </c>
      <c r="Q1524" s="8" t="str">
        <f t="array" ref="Q1524">XLOOKUP(D1524,Product_Dim!A:A,Product_Dim!C:C,"Not Found")</f>
        <v>Not Found</v>
      </c>
      <c r="R1524" s="8" t="str">
        <f t="array" ref="R1524">XLOOKUP(E1524,Store_Dim!A:A,Store_Dim!B:B,"Not Found")</f>
        <v>East</v>
      </c>
      <c r="S1524" s="8" t="str">
        <f t="array" ref="S1524">XLOOKUP(E1524,Store_Dim!A:A,Store_Dim!D:D,"Not Found")</f>
        <v>Online</v>
      </c>
    </row>
    <row r="1525" ht="14.25" customHeight="1">
      <c r="A1525" s="8" t="s">
        <v>3478</v>
      </c>
      <c r="B1525" s="12">
        <v>47003.0</v>
      </c>
      <c r="C1525" s="8" t="s">
        <v>1071</v>
      </c>
      <c r="D1525" s="8" t="s">
        <v>1812</v>
      </c>
      <c r="E1525" s="8" t="s">
        <v>1932</v>
      </c>
      <c r="F1525" s="8">
        <v>2.0</v>
      </c>
      <c r="G1525" s="8">
        <v>611.21</v>
      </c>
      <c r="H1525" s="8">
        <v>0.22</v>
      </c>
      <c r="I1525" s="8">
        <f t="shared" si="1"/>
        <v>1222.42</v>
      </c>
      <c r="J1525" s="8">
        <f t="shared" si="2"/>
        <v>-268.7124</v>
      </c>
      <c r="K1525" s="8" t="str">
        <f t="shared" si="3"/>
        <v>Sep</v>
      </c>
      <c r="L1525" s="8">
        <f t="shared" si="4"/>
        <v>2028</v>
      </c>
      <c r="N1525" s="8" t="str">
        <f t="array" ref="N1525">XLOOKUP(C1525,Customer_Dim!A:A,Customer_Dim!B:B,"Not Found")</f>
        <v>John Jones</v>
      </c>
      <c r="O1525" s="8" t="str">
        <f t="array" ref="O1525">XLOOKUP(C1525,Customer_Dim!A:A,Customer_Dim!E:E,"Not Found")</f>
        <v>North Michaelborough</v>
      </c>
      <c r="P1525" s="8" t="str">
        <f t="array" ref="P1525">XLOOKUP(D1525,Product_Dim!A:A,Product_Dim!B:B,"Not Found")</f>
        <v>Bluetooth Car Audio System</v>
      </c>
      <c r="Q1525" s="8" t="str">
        <f t="array" ref="Q1525">XLOOKUP(D1525,Product_Dim!A:A,Product_Dim!C:C,"Not Found")</f>
        <v>Electronics</v>
      </c>
      <c r="R1525" s="8" t="str">
        <f t="array" ref="R1525">XLOOKUP(E1525,Store_Dim!A:A,Store_Dim!B:B,"Not Found")</f>
        <v>South</v>
      </c>
      <c r="S1525" s="8" t="str">
        <f t="array" ref="S1525">XLOOKUP(E1525,Store_Dim!A:A,Store_Dim!D:D,"Not Found")</f>
        <v>Outlet</v>
      </c>
    </row>
    <row r="1526" ht="14.25" customHeight="1">
      <c r="A1526" s="8" t="s">
        <v>3479</v>
      </c>
      <c r="B1526" s="12">
        <v>47004.0</v>
      </c>
      <c r="C1526" s="8" t="s">
        <v>672</v>
      </c>
      <c r="D1526" s="8" t="s">
        <v>1703</v>
      </c>
      <c r="E1526" s="8" t="s">
        <v>1933</v>
      </c>
      <c r="F1526" s="8">
        <v>2.0</v>
      </c>
      <c r="G1526" s="8">
        <v>768.08</v>
      </c>
      <c r="H1526" s="8">
        <v>0.26</v>
      </c>
      <c r="I1526" s="8">
        <f t="shared" si="1"/>
        <v>1536.16</v>
      </c>
      <c r="J1526" s="8">
        <f t="shared" si="2"/>
        <v>-399.1416</v>
      </c>
      <c r="K1526" s="8" t="str">
        <f t="shared" si="3"/>
        <v>Sep</v>
      </c>
      <c r="L1526" s="8">
        <f t="shared" si="4"/>
        <v>2028</v>
      </c>
      <c r="N1526" s="8" t="str">
        <f t="array" ref="N1526">XLOOKUP(C1526,Customer_Dim!A:A,Customer_Dim!B:B,"Not Found")</f>
        <v>Christina Garcia</v>
      </c>
      <c r="O1526" s="8" t="str">
        <f t="array" ref="O1526">XLOOKUP(C1526,Customer_Dim!A:A,Customer_Dim!E:E,"Not Found")</f>
        <v>Clarkeside</v>
      </c>
      <c r="P1526" s="8" t="str">
        <f t="array" ref="P1526">XLOOKUP(D1526,Product_Dim!A:A,Product_Dim!B:B,"Not Found")</f>
        <v>Portable Power Bank</v>
      </c>
      <c r="Q1526" s="8" t="str">
        <f t="array" ref="Q1526">XLOOKUP(D1526,Product_Dim!A:A,Product_Dim!C:C,"Not Found")</f>
        <v>Electronics</v>
      </c>
      <c r="R1526" s="8" t="str">
        <f t="array" ref="R1526">XLOOKUP(E1526,Store_Dim!A:A,Store_Dim!B:B,"Not Found")</f>
        <v>North</v>
      </c>
      <c r="S1526" s="8" t="str">
        <f t="array" ref="S1526">XLOOKUP(E1526,Store_Dim!A:A,Store_Dim!D:D,"Not Found")</f>
        <v>Flagship</v>
      </c>
    </row>
    <row r="1527" ht="14.25" customHeight="1">
      <c r="A1527" s="8" t="s">
        <v>3480</v>
      </c>
      <c r="B1527" s="12">
        <v>47005.0</v>
      </c>
      <c r="C1527" s="8" t="s">
        <v>952</v>
      </c>
      <c r="D1527" s="8" t="s">
        <v>1652</v>
      </c>
      <c r="E1527" s="8" t="s">
        <v>1939</v>
      </c>
      <c r="F1527" s="8">
        <v>1.0</v>
      </c>
      <c r="G1527" s="8">
        <v>616.82</v>
      </c>
      <c r="H1527" s="8">
        <v>0.24</v>
      </c>
      <c r="I1527" s="8">
        <f t="shared" si="1"/>
        <v>616.82</v>
      </c>
      <c r="J1527" s="8">
        <f t="shared" si="2"/>
        <v>-147.7968</v>
      </c>
      <c r="K1527" s="8" t="str">
        <f t="shared" si="3"/>
        <v>Sep</v>
      </c>
      <c r="L1527" s="8">
        <f t="shared" si="4"/>
        <v>2028</v>
      </c>
      <c r="N1527" s="8" t="str">
        <f t="array" ref="N1527">XLOOKUP(C1527,Customer_Dim!A:A,Customer_Dim!B:B,"Not Found")</f>
        <v>Jared Moran</v>
      </c>
      <c r="O1527" s="8" t="str">
        <f t="array" ref="O1527">XLOOKUP(C1527,Customer_Dim!A:A,Customer_Dim!E:E,"Not Found")</f>
        <v>South David</v>
      </c>
      <c r="P1527" s="8" t="str">
        <f t="array" ref="P1527">XLOOKUP(D1527,Product_Dim!A:A,Product_Dim!B:B,"Not Found")</f>
        <v>Men's Formal Shirt</v>
      </c>
      <c r="Q1527" s="8" t="str">
        <f t="array" ref="Q1527">XLOOKUP(D1527,Product_Dim!A:A,Product_Dim!C:C,"Not Found")</f>
        <v>Clothing</v>
      </c>
      <c r="R1527" s="8" t="str">
        <f t="array" ref="R1527">XLOOKUP(E1527,Store_Dim!A:A,Store_Dim!B:B,"Not Found")</f>
        <v>East</v>
      </c>
      <c r="S1527" s="8" t="str">
        <f t="array" ref="S1527">XLOOKUP(E1527,Store_Dim!A:A,Store_Dim!D:D,"Not Found")</f>
        <v>Flagship</v>
      </c>
    </row>
    <row r="1528" ht="14.25" customHeight="1">
      <c r="A1528" s="8" t="s">
        <v>3481</v>
      </c>
      <c r="B1528" s="12">
        <v>47006.0</v>
      </c>
      <c r="C1528" s="8" t="s">
        <v>616</v>
      </c>
      <c r="D1528" s="8" t="s">
        <v>1707</v>
      </c>
      <c r="E1528" s="8" t="s">
        <v>1939</v>
      </c>
      <c r="F1528" s="8">
        <v>1.0</v>
      </c>
      <c r="G1528" s="8">
        <v>470.34</v>
      </c>
      <c r="H1528" s="8">
        <v>0.18</v>
      </c>
      <c r="I1528" s="8">
        <f t="shared" si="1"/>
        <v>470.34</v>
      </c>
      <c r="J1528" s="8">
        <f t="shared" si="2"/>
        <v>-84.4812</v>
      </c>
      <c r="K1528" s="8" t="str">
        <f t="shared" si="3"/>
        <v>Sep</v>
      </c>
      <c r="L1528" s="8">
        <f t="shared" si="4"/>
        <v>2028</v>
      </c>
      <c r="N1528" s="8" t="str">
        <f t="array" ref="N1528">XLOOKUP(C1528,Customer_Dim!A:A,Customer_Dim!B:B,"Not Found")</f>
        <v>Mario Jacobs</v>
      </c>
      <c r="O1528" s="8" t="str">
        <f t="array" ref="O1528">XLOOKUP(C1528,Customer_Dim!A:A,Customer_Dim!E:E,"Not Found")</f>
        <v>Port James</v>
      </c>
      <c r="P1528" s="8" t="str">
        <f t="array" ref="P1528">XLOOKUP(D1528,Product_Dim!A:A,Product_Dim!B:B,"Not Found")</f>
        <v>Noise-Canceling Headphones</v>
      </c>
      <c r="Q1528" s="8" t="str">
        <f t="array" ref="Q1528">XLOOKUP(D1528,Product_Dim!A:A,Product_Dim!C:C,"Not Found")</f>
        <v>Electronics</v>
      </c>
      <c r="R1528" s="8" t="str">
        <f t="array" ref="R1528">XLOOKUP(E1528,Store_Dim!A:A,Store_Dim!B:B,"Not Found")</f>
        <v>East</v>
      </c>
      <c r="S1528" s="8" t="str">
        <f t="array" ref="S1528">XLOOKUP(E1528,Store_Dim!A:A,Store_Dim!D:D,"Not Found")</f>
        <v>Flagship</v>
      </c>
    </row>
    <row r="1529" ht="14.25" customHeight="1">
      <c r="A1529" s="8" t="s">
        <v>3482</v>
      </c>
      <c r="B1529" s="12">
        <v>47007.0</v>
      </c>
      <c r="C1529" s="8" t="s">
        <v>723</v>
      </c>
      <c r="D1529" s="8" t="s">
        <v>1748</v>
      </c>
      <c r="E1529" s="8" t="s">
        <v>1921</v>
      </c>
      <c r="F1529" s="8">
        <v>2.0</v>
      </c>
      <c r="G1529" s="8">
        <v>616.36</v>
      </c>
      <c r="H1529" s="8">
        <v>0.12</v>
      </c>
      <c r="I1529" s="8">
        <f t="shared" si="1"/>
        <v>1232.72</v>
      </c>
      <c r="J1529" s="8">
        <f t="shared" si="2"/>
        <v>-147.8064</v>
      </c>
      <c r="K1529" s="8" t="str">
        <f t="shared" si="3"/>
        <v>Sep</v>
      </c>
      <c r="L1529" s="8">
        <f t="shared" si="4"/>
        <v>2028</v>
      </c>
      <c r="N1529" s="8" t="str">
        <f t="array" ref="N1529">XLOOKUP(C1529,Customer_Dim!A:A,Customer_Dim!B:B,"Not Found")</f>
        <v>Jordan Wells</v>
      </c>
      <c r="O1529" s="8" t="str">
        <f t="array" ref="O1529">XLOOKUP(C1529,Customer_Dim!A:A,Customer_Dim!E:E,"Not Found")</f>
        <v>Phillipschester   </v>
      </c>
      <c r="P1529" s="8" t="str">
        <f t="array" ref="P1529">XLOOKUP(D1529,Product_Dim!A:A,Product_Dim!B:B,"Not Found")</f>
        <v>Men's Track Pants</v>
      </c>
      <c r="Q1529" s="8" t="str">
        <f t="array" ref="Q1529">XLOOKUP(D1529,Product_Dim!A:A,Product_Dim!C:C,"Not Found")</f>
        <v>Clothing</v>
      </c>
      <c r="R1529" s="8" t="str">
        <f t="array" ref="R1529">XLOOKUP(E1529,Store_Dim!A:A,Store_Dim!B:B,"Not Found")</f>
        <v>West</v>
      </c>
      <c r="S1529" s="8" t="str">
        <f t="array" ref="S1529">XLOOKUP(E1529,Store_Dim!A:A,Store_Dim!D:D,"Not Found")</f>
        <v>Online</v>
      </c>
    </row>
    <row r="1530" ht="14.25" customHeight="1">
      <c r="A1530" s="8" t="s">
        <v>3483</v>
      </c>
      <c r="B1530" s="12">
        <v>47008.0</v>
      </c>
      <c r="C1530" s="8" t="s">
        <v>308</v>
      </c>
      <c r="D1530" s="8" t="s">
        <v>2052</v>
      </c>
      <c r="E1530" s="8" t="s">
        <v>1924</v>
      </c>
      <c r="F1530" s="8">
        <v>3.0</v>
      </c>
      <c r="G1530" s="8">
        <v>657.24</v>
      </c>
      <c r="H1530" s="8">
        <v>0.18</v>
      </c>
      <c r="I1530" s="8">
        <f t="shared" si="1"/>
        <v>1971.72</v>
      </c>
      <c r="J1530" s="8">
        <f t="shared" si="2"/>
        <v>-354.7296</v>
      </c>
      <c r="K1530" s="8" t="str">
        <f t="shared" si="3"/>
        <v>Sep</v>
      </c>
      <c r="L1530" s="8">
        <f t="shared" si="4"/>
        <v>2028</v>
      </c>
      <c r="N1530" s="8" t="str">
        <f t="array" ref="N1530">XLOOKUP(C1530,Customer_Dim!A:A,Customer_Dim!B:B,"Not Found")</f>
        <v>George Rosario</v>
      </c>
      <c r="O1530" s="8" t="str">
        <f t="array" ref="O1530">XLOOKUP(C1530,Customer_Dim!A:A,Customer_Dim!E:E,"Not Found")</f>
        <v>Leburgh</v>
      </c>
      <c r="P1530" s="8" t="str">
        <f t="array" ref="P1530">XLOOKUP(D1530,Product_Dim!A:A,Product_Dim!B:B,"Not Found")</f>
        <v>Not Found</v>
      </c>
      <c r="Q1530" s="8" t="str">
        <f t="array" ref="Q1530">XLOOKUP(D1530,Product_Dim!A:A,Product_Dim!C:C,"Not Found")</f>
        <v>Not Found</v>
      </c>
      <c r="R1530" s="8" t="str">
        <f t="array" ref="R1530">XLOOKUP(E1530,Store_Dim!A:A,Store_Dim!B:B,"Not Found")</f>
        <v>South</v>
      </c>
      <c r="S1530" s="8" t="str">
        <f t="array" ref="S1530">XLOOKUP(E1530,Store_Dim!A:A,Store_Dim!D:D,"Not Found")</f>
        <v>Flagship</v>
      </c>
    </row>
    <row r="1531" ht="14.25" customHeight="1">
      <c r="A1531" s="8" t="s">
        <v>3484</v>
      </c>
      <c r="B1531" s="12">
        <v>47009.0</v>
      </c>
      <c r="C1531" s="8" t="s">
        <v>147</v>
      </c>
      <c r="D1531" s="8" t="s">
        <v>1710</v>
      </c>
      <c r="E1531" s="8" t="s">
        <v>1941</v>
      </c>
      <c r="F1531" s="8">
        <v>2.0</v>
      </c>
      <c r="G1531" s="8">
        <v>392.45</v>
      </c>
      <c r="H1531" s="8">
        <v>0.04</v>
      </c>
      <c r="I1531" s="8">
        <f t="shared" si="1"/>
        <v>784.9</v>
      </c>
      <c r="J1531" s="8">
        <f t="shared" si="2"/>
        <v>-31.356</v>
      </c>
      <c r="K1531" s="8" t="str">
        <f t="shared" si="3"/>
        <v>Sep</v>
      </c>
      <c r="L1531" s="8">
        <f t="shared" si="4"/>
        <v>2028</v>
      </c>
      <c r="N1531" s="8" t="str">
        <f t="array" ref="N1531">XLOOKUP(C1531,Customer_Dim!A:A,Customer_Dim!B:B,"Not Found")</f>
        <v>Christopher Olson</v>
      </c>
      <c r="O1531" s="8" t="str">
        <f t="array" ref="O1531">XLOOKUP(C1531,Customer_Dim!A:A,Customer_Dim!E:E,"Not Found")</f>
        <v>West Richard</v>
      </c>
      <c r="P1531" s="8" t="str">
        <f t="array" ref="P1531">XLOOKUP(D1531,Product_Dim!A:A,Product_Dim!B:B,"Not Found")</f>
        <v>Yoga Exercise Mat</v>
      </c>
      <c r="Q1531" s="8" t="str">
        <f t="array" ref="Q1531">XLOOKUP(D1531,Product_Dim!A:A,Product_Dim!C:C,"Not Found")</f>
        <v>Sports</v>
      </c>
      <c r="R1531" s="8" t="str">
        <f t="array" ref="R1531">XLOOKUP(E1531,Store_Dim!A:A,Store_Dim!B:B,"Not Found")</f>
        <v>East</v>
      </c>
      <c r="S1531" s="8" t="str">
        <f t="array" ref="S1531">XLOOKUP(E1531,Store_Dim!A:A,Store_Dim!D:D,"Not Found")</f>
        <v>Online</v>
      </c>
    </row>
    <row r="1532" ht="14.25" customHeight="1">
      <c r="A1532" s="8" t="s">
        <v>3485</v>
      </c>
      <c r="B1532" s="12">
        <v>47010.0</v>
      </c>
      <c r="C1532" s="8" t="s">
        <v>800</v>
      </c>
      <c r="D1532" s="8" t="s">
        <v>1707</v>
      </c>
      <c r="E1532" s="8" t="s">
        <v>1932</v>
      </c>
      <c r="F1532" s="8">
        <v>3.0</v>
      </c>
      <c r="G1532" s="8">
        <v>62.03</v>
      </c>
      <c r="H1532" s="8">
        <v>0.01</v>
      </c>
      <c r="I1532" s="8">
        <f t="shared" si="1"/>
        <v>186.09</v>
      </c>
      <c r="J1532" s="8">
        <f t="shared" si="2"/>
        <v>-1.8509</v>
      </c>
      <c r="K1532" s="8" t="str">
        <f t="shared" si="3"/>
        <v>Sep</v>
      </c>
      <c r="L1532" s="8">
        <f t="shared" si="4"/>
        <v>2028</v>
      </c>
      <c r="N1532" s="8" t="str">
        <f t="array" ref="N1532">XLOOKUP(C1532,Customer_Dim!A:A,Customer_Dim!B:B,"Not Found")</f>
        <v>Laura Soto</v>
      </c>
      <c r="O1532" s="8" t="str">
        <f t="array" ref="O1532">XLOOKUP(C1532,Customer_Dim!A:A,Customer_Dim!E:E,"Not Found")</f>
        <v>Rodriguezton</v>
      </c>
      <c r="P1532" s="8" t="str">
        <f t="array" ref="P1532">XLOOKUP(D1532,Product_Dim!A:A,Product_Dim!B:B,"Not Found")</f>
        <v>Noise-Canceling Headphones</v>
      </c>
      <c r="Q1532" s="8" t="str">
        <f t="array" ref="Q1532">XLOOKUP(D1532,Product_Dim!A:A,Product_Dim!C:C,"Not Found")</f>
        <v>Electronics</v>
      </c>
      <c r="R1532" s="8" t="str">
        <f t="array" ref="R1532">XLOOKUP(E1532,Store_Dim!A:A,Store_Dim!B:B,"Not Found")</f>
        <v>South</v>
      </c>
      <c r="S1532" s="8" t="str">
        <f t="array" ref="S1532">XLOOKUP(E1532,Store_Dim!A:A,Store_Dim!D:D,"Not Found")</f>
        <v>Outlet</v>
      </c>
    </row>
    <row r="1533" ht="14.25" customHeight="1">
      <c r="A1533" s="8" t="s">
        <v>3486</v>
      </c>
      <c r="B1533" s="12">
        <v>47011.0</v>
      </c>
      <c r="C1533" s="8" t="s">
        <v>342</v>
      </c>
      <c r="D1533" s="8" t="s">
        <v>1878</v>
      </c>
      <c r="E1533" s="8" t="s">
        <v>1910</v>
      </c>
      <c r="F1533" s="8">
        <v>4.0</v>
      </c>
      <c r="G1533" s="8">
        <v>933.73</v>
      </c>
      <c r="H1533" s="8">
        <v>0.25</v>
      </c>
      <c r="I1533" s="8">
        <f t="shared" si="1"/>
        <v>3734.92</v>
      </c>
      <c r="J1533" s="8">
        <f t="shared" si="2"/>
        <v>-933.48</v>
      </c>
      <c r="K1533" s="8" t="str">
        <f t="shared" si="3"/>
        <v>Sep</v>
      </c>
      <c r="L1533" s="8">
        <f t="shared" si="4"/>
        <v>2028</v>
      </c>
      <c r="N1533" s="8" t="str">
        <f t="array" ref="N1533">XLOOKUP(C1533,Customer_Dim!A:A,Customer_Dim!B:B,"Not Found")</f>
        <v>Robert Jackson</v>
      </c>
      <c r="O1533" s="8" t="str">
        <f t="array" ref="O1533">XLOOKUP(C1533,Customer_Dim!A:A,Customer_Dim!E:E,"Not Found")</f>
        <v>Lake Brandy</v>
      </c>
      <c r="P1533" s="8" t="str">
        <f t="array" ref="P1533">XLOOKUP(D1533,Product_Dim!A:A,Product_Dim!B:B,"Not Found")</f>
        <v>Women's Formal Blazer</v>
      </c>
      <c r="Q1533" s="8" t="str">
        <f t="array" ref="Q1533">XLOOKUP(D1533,Product_Dim!A:A,Product_Dim!C:C,"Not Found")</f>
        <v>Clothing</v>
      </c>
      <c r="R1533" s="8" t="str">
        <f t="array" ref="R1533">XLOOKUP(E1533,Store_Dim!A:A,Store_Dim!B:B,"Not Found")</f>
        <v>North</v>
      </c>
      <c r="S1533" s="8" t="str">
        <f t="array" ref="S1533">XLOOKUP(E1533,Store_Dim!A:A,Store_Dim!D:D,"Not Found")</f>
        <v>Outlet</v>
      </c>
    </row>
    <row r="1534" ht="14.25" customHeight="1">
      <c r="A1534" s="8" t="s">
        <v>3487</v>
      </c>
      <c r="B1534" s="12">
        <v>47012.0</v>
      </c>
      <c r="C1534" s="8" t="s">
        <v>532</v>
      </c>
      <c r="D1534" s="8" t="s">
        <v>1845</v>
      </c>
      <c r="E1534" s="8" t="s">
        <v>1935</v>
      </c>
      <c r="F1534" s="8">
        <v>3.0</v>
      </c>
      <c r="G1534" s="8">
        <v>615.31</v>
      </c>
      <c r="H1534" s="8">
        <v>0.14</v>
      </c>
      <c r="I1534" s="8">
        <f t="shared" si="1"/>
        <v>1845.93</v>
      </c>
      <c r="J1534" s="8">
        <f t="shared" si="2"/>
        <v>-258.2902</v>
      </c>
      <c r="K1534" s="8" t="str">
        <f t="shared" si="3"/>
        <v>Sep</v>
      </c>
      <c r="L1534" s="8">
        <f t="shared" si="4"/>
        <v>2028</v>
      </c>
      <c r="N1534" s="8" t="str">
        <f t="array" ref="N1534">XLOOKUP(C1534,Customer_Dim!A:A,Customer_Dim!B:B,"Not Found")</f>
        <v>Curtis Haynes</v>
      </c>
      <c r="O1534" s="8" t="str">
        <f t="array" ref="O1534">XLOOKUP(C1534,Customer_Dim!A:A,Customer_Dim!E:E,"Not Found")</f>
        <v>Estradaside</v>
      </c>
      <c r="P1534" s="8" t="str">
        <f t="array" ref="P1534">XLOOKUP(D1534,Product_Dim!A:A,Product_Dim!B:B,"Not Found")</f>
        <v>Women's Beanie Hat</v>
      </c>
      <c r="Q1534" s="8" t="str">
        <f t="array" ref="Q1534">XLOOKUP(D1534,Product_Dim!A:A,Product_Dim!C:C,"Not Found")</f>
        <v>Clothing</v>
      </c>
      <c r="R1534" s="8" t="str">
        <f t="array" ref="R1534">XLOOKUP(E1534,Store_Dim!A:A,Store_Dim!B:B,"Not Found")</f>
        <v>West</v>
      </c>
      <c r="S1534" s="8" t="str">
        <f t="array" ref="S1534">XLOOKUP(E1534,Store_Dim!A:A,Store_Dim!D:D,"Not Found")</f>
        <v>Flagship</v>
      </c>
    </row>
    <row r="1535" ht="14.25" customHeight="1">
      <c r="A1535" s="8" t="s">
        <v>3488</v>
      </c>
      <c r="B1535" s="12">
        <v>47013.0</v>
      </c>
      <c r="C1535" s="8" t="s">
        <v>1182</v>
      </c>
      <c r="D1535" s="8" t="s">
        <v>1766</v>
      </c>
      <c r="E1535" s="8" t="s">
        <v>1939</v>
      </c>
      <c r="F1535" s="8">
        <v>4.0</v>
      </c>
      <c r="G1535" s="8">
        <v>790.38</v>
      </c>
      <c r="H1535" s="8">
        <v>0.22</v>
      </c>
      <c r="I1535" s="8">
        <f t="shared" si="1"/>
        <v>3161.52</v>
      </c>
      <c r="J1535" s="8">
        <f t="shared" si="2"/>
        <v>-695.3144</v>
      </c>
      <c r="K1535" s="8" t="str">
        <f t="shared" si="3"/>
        <v>Sep</v>
      </c>
      <c r="L1535" s="8">
        <f t="shared" si="4"/>
        <v>2028</v>
      </c>
      <c r="N1535" s="8" t="str">
        <f t="array" ref="N1535">XLOOKUP(C1535,Customer_Dim!A:A,Customer_Dim!B:B,"Not Found")</f>
        <v>James Orozco</v>
      </c>
      <c r="O1535" s="8" t="str">
        <f t="array" ref="O1535">XLOOKUP(C1535,Customer_Dim!A:A,Customer_Dim!E:E,"Not Found")</f>
        <v>Simpsonfort</v>
      </c>
      <c r="P1535" s="8" t="str">
        <f t="array" ref="P1535">XLOOKUP(D1535,Product_Dim!A:A,Product_Dim!B:B,"Not Found")</f>
        <v>Men's Hair Styling Gel</v>
      </c>
      <c r="Q1535" s="8" t="str">
        <f t="array" ref="Q1535">XLOOKUP(D1535,Product_Dim!A:A,Product_Dim!C:C,"Not Found")</f>
        <v>Beauty</v>
      </c>
      <c r="R1535" s="8" t="str">
        <f t="array" ref="R1535">XLOOKUP(E1535,Store_Dim!A:A,Store_Dim!B:B,"Not Found")</f>
        <v>East</v>
      </c>
      <c r="S1535" s="8" t="str">
        <f t="array" ref="S1535">XLOOKUP(E1535,Store_Dim!A:A,Store_Dim!D:D,"Not Found")</f>
        <v>Flagship</v>
      </c>
    </row>
    <row r="1536" ht="14.25" customHeight="1">
      <c r="A1536" s="8" t="s">
        <v>3489</v>
      </c>
      <c r="B1536" s="12">
        <v>47014.0</v>
      </c>
      <c r="C1536" s="8" t="s">
        <v>872</v>
      </c>
      <c r="D1536" s="8" t="s">
        <v>1766</v>
      </c>
      <c r="E1536" s="8" t="s">
        <v>1937</v>
      </c>
      <c r="F1536" s="8">
        <v>2.0</v>
      </c>
      <c r="G1536" s="8">
        <v>102.85</v>
      </c>
      <c r="H1536" s="8">
        <v>0.08</v>
      </c>
      <c r="I1536" s="8">
        <f t="shared" si="1"/>
        <v>205.7</v>
      </c>
      <c r="J1536" s="8">
        <f t="shared" si="2"/>
        <v>-16.376</v>
      </c>
      <c r="K1536" s="8" t="str">
        <f t="shared" si="3"/>
        <v>Sep</v>
      </c>
      <c r="L1536" s="8">
        <f t="shared" si="4"/>
        <v>2028</v>
      </c>
      <c r="N1536" s="8" t="str">
        <f t="array" ref="N1536">XLOOKUP(C1536,Customer_Dim!A:A,Customer_Dim!B:B,"Not Found")</f>
        <v>Tyrone Olson</v>
      </c>
      <c r="O1536" s="8" t="str">
        <f t="array" ref="O1536">XLOOKUP(C1536,Customer_Dim!A:A,Customer_Dim!E:E,"Not Found")</f>
        <v>Emilytown</v>
      </c>
      <c r="P1536" s="8" t="str">
        <f t="array" ref="P1536">XLOOKUP(D1536,Product_Dim!A:A,Product_Dim!B:B,"Not Found")</f>
        <v>Men's Hair Styling Gel</v>
      </c>
      <c r="Q1536" s="8" t="str">
        <f t="array" ref="Q1536">XLOOKUP(D1536,Product_Dim!A:A,Product_Dim!C:C,"Not Found")</f>
        <v>Beauty</v>
      </c>
      <c r="R1536" s="8" t="str">
        <f t="array" ref="R1536">XLOOKUP(E1536,Store_Dim!A:A,Store_Dim!B:B,"Not Found")</f>
        <v>North</v>
      </c>
      <c r="S1536" s="8" t="str">
        <f t="array" ref="S1536">XLOOKUP(E1536,Store_Dim!A:A,Store_Dim!D:D,"Not Found")</f>
        <v>Flagship</v>
      </c>
    </row>
    <row r="1537" ht="14.25" customHeight="1">
      <c r="A1537" s="8" t="s">
        <v>3490</v>
      </c>
      <c r="B1537" s="12">
        <v>47015.0</v>
      </c>
      <c r="C1537" s="8" t="s">
        <v>163</v>
      </c>
      <c r="D1537" s="8" t="s">
        <v>1610</v>
      </c>
      <c r="E1537" s="8" t="s">
        <v>1935</v>
      </c>
      <c r="F1537" s="8">
        <v>3.0</v>
      </c>
      <c r="G1537" s="8">
        <v>866.78</v>
      </c>
      <c r="H1537" s="8">
        <v>0.27</v>
      </c>
      <c r="I1537" s="8">
        <f t="shared" si="1"/>
        <v>2600.34</v>
      </c>
      <c r="J1537" s="8">
        <f t="shared" si="2"/>
        <v>-701.8218</v>
      </c>
      <c r="K1537" s="8" t="str">
        <f t="shared" si="3"/>
        <v>Sep</v>
      </c>
      <c r="L1537" s="8">
        <f t="shared" si="4"/>
        <v>2028</v>
      </c>
      <c r="N1537" s="8" t="str">
        <f t="array" ref="N1537">XLOOKUP(C1537,Customer_Dim!A:A,Customer_Dim!B:B,"Not Found")</f>
        <v>Tonya Reynolds</v>
      </c>
      <c r="O1537" s="8" t="str">
        <f t="array" ref="O1537">XLOOKUP(C1537,Customer_Dim!A:A,Customer_Dim!E:E,"Not Found")</f>
        <v>Darleneton</v>
      </c>
      <c r="P1537" s="8" t="str">
        <f t="array" ref="P1537">XLOOKUP(D1537,Product_Dim!A:A,Product_Dim!B:B,"Not Found")</f>
        <v>HD Smart TV Stick</v>
      </c>
      <c r="Q1537" s="8" t="str">
        <f t="array" ref="Q1537">XLOOKUP(D1537,Product_Dim!A:A,Product_Dim!C:C,"Not Found")</f>
        <v>Electronics</v>
      </c>
      <c r="R1537" s="8" t="str">
        <f t="array" ref="R1537">XLOOKUP(E1537,Store_Dim!A:A,Store_Dim!B:B,"Not Found")</f>
        <v>West</v>
      </c>
      <c r="S1537" s="8" t="str">
        <f t="array" ref="S1537">XLOOKUP(E1537,Store_Dim!A:A,Store_Dim!D:D,"Not Found")</f>
        <v>Flagship</v>
      </c>
    </row>
    <row r="1538" ht="14.25" customHeight="1">
      <c r="A1538" s="8" t="s">
        <v>3491</v>
      </c>
      <c r="B1538" s="12">
        <v>47016.0</v>
      </c>
      <c r="C1538" s="8" t="s">
        <v>690</v>
      </c>
      <c r="D1538" s="8" t="s">
        <v>1824</v>
      </c>
      <c r="E1538" s="8" t="s">
        <v>1935</v>
      </c>
      <c r="F1538" s="8">
        <v>3.0</v>
      </c>
      <c r="G1538" s="8">
        <v>392.84</v>
      </c>
      <c r="H1538" s="8">
        <v>0.27</v>
      </c>
      <c r="I1538" s="8">
        <f t="shared" si="1"/>
        <v>1178.52</v>
      </c>
      <c r="J1538" s="8">
        <f t="shared" si="2"/>
        <v>-317.9304</v>
      </c>
      <c r="K1538" s="8" t="str">
        <f t="shared" si="3"/>
        <v>Sep</v>
      </c>
      <c r="L1538" s="8">
        <f t="shared" si="4"/>
        <v>2028</v>
      </c>
      <c r="N1538" s="8" t="str">
        <f t="array" ref="N1538">XLOOKUP(C1538,Customer_Dim!A:A,Customer_Dim!B:B,"Not Found")</f>
        <v>John Perez</v>
      </c>
      <c r="O1538" s="8" t="str">
        <f t="array" ref="O1538">XLOOKUP(C1538,Customer_Dim!A:A,Customer_Dim!E:E,"Not Found")</f>
        <v>Kathrynview</v>
      </c>
      <c r="P1538" s="8" t="str">
        <f t="array" ref="P1538">XLOOKUP(D1538,Product_Dim!A:A,Product_Dim!B:B,"Not Found")</f>
        <v>Essential Oil Diffuser</v>
      </c>
      <c r="Q1538" s="8" t="str">
        <f t="array" ref="Q1538">XLOOKUP(D1538,Product_Dim!A:A,Product_Dim!C:C,"Not Found")</f>
        <v>Home</v>
      </c>
      <c r="R1538" s="8" t="str">
        <f t="array" ref="R1538">XLOOKUP(E1538,Store_Dim!A:A,Store_Dim!B:B,"Not Found")</f>
        <v>West</v>
      </c>
      <c r="S1538" s="8" t="str">
        <f t="array" ref="S1538">XLOOKUP(E1538,Store_Dim!A:A,Store_Dim!D:D,"Not Found")</f>
        <v>Flagship</v>
      </c>
    </row>
    <row r="1539" ht="14.25" customHeight="1">
      <c r="A1539" s="8" t="s">
        <v>3492</v>
      </c>
      <c r="B1539" s="12">
        <v>47017.0</v>
      </c>
      <c r="C1539" s="8" t="s">
        <v>1032</v>
      </c>
      <c r="D1539" s="8" t="s">
        <v>1601</v>
      </c>
      <c r="E1539" s="8" t="s">
        <v>1915</v>
      </c>
      <c r="F1539" s="8">
        <v>2.0</v>
      </c>
      <c r="G1539" s="8">
        <v>753.1</v>
      </c>
      <c r="H1539" s="8">
        <v>0.19</v>
      </c>
      <c r="I1539" s="8">
        <f t="shared" si="1"/>
        <v>1506.2</v>
      </c>
      <c r="J1539" s="8">
        <f t="shared" si="2"/>
        <v>-285.988</v>
      </c>
      <c r="K1539" s="8" t="str">
        <f t="shared" si="3"/>
        <v>Sep</v>
      </c>
      <c r="L1539" s="8">
        <f t="shared" si="4"/>
        <v>2028</v>
      </c>
      <c r="N1539" s="8" t="str">
        <f t="array" ref="N1539">XLOOKUP(C1539,Customer_Dim!A:A,Customer_Dim!B:B,"Not Found")</f>
        <v>Kristy Dunlap</v>
      </c>
      <c r="O1539" s="8" t="str">
        <f t="array" ref="O1539">XLOOKUP(C1539,Customer_Dim!A:A,Customer_Dim!E:E,"Not Found")</f>
        <v>Whiteport</v>
      </c>
      <c r="P1539" s="8" t="str">
        <f t="array" ref="P1539">XLOOKUP(D1539,Product_Dim!A:A,Product_Dim!B:B,"Not Found")</f>
        <v>Adjustable Dumbbell Set</v>
      </c>
      <c r="Q1539" s="8" t="str">
        <f t="array" ref="Q1539">XLOOKUP(D1539,Product_Dim!A:A,Product_Dim!C:C,"Not Found")</f>
        <v>Sports</v>
      </c>
      <c r="R1539" s="8" t="str">
        <f t="array" ref="R1539">XLOOKUP(E1539,Store_Dim!A:A,Store_Dim!B:B,"Not Found")</f>
        <v>North</v>
      </c>
      <c r="S1539" s="8" t="str">
        <f t="array" ref="S1539">XLOOKUP(E1539,Store_Dim!A:A,Store_Dim!D:D,"Not Found")</f>
        <v>Outlet</v>
      </c>
    </row>
    <row r="1540" ht="14.25" customHeight="1">
      <c r="A1540" s="8" t="s">
        <v>3493</v>
      </c>
      <c r="B1540" s="12">
        <v>47018.0</v>
      </c>
      <c r="C1540" s="8" t="s">
        <v>48</v>
      </c>
      <c r="D1540" s="8" t="s">
        <v>1751</v>
      </c>
      <c r="E1540" s="8" t="s">
        <v>1937</v>
      </c>
      <c r="F1540" s="8">
        <v>2.0</v>
      </c>
      <c r="G1540" s="8">
        <v>700.91</v>
      </c>
      <c r="H1540" s="8">
        <v>0.1</v>
      </c>
      <c r="I1540" s="8">
        <f t="shared" si="1"/>
        <v>1401.82</v>
      </c>
      <c r="J1540" s="8">
        <f t="shared" si="2"/>
        <v>-140.082</v>
      </c>
      <c r="K1540" s="8" t="str">
        <f t="shared" si="3"/>
        <v>Sep</v>
      </c>
      <c r="L1540" s="8">
        <f t="shared" si="4"/>
        <v>2028</v>
      </c>
      <c r="N1540" s="8" t="str">
        <f t="array" ref="N1540">XLOOKUP(C1540,Customer_Dim!A:A,Customer_Dim!B:B,"Not Found")</f>
        <v>Daniel Boyd</v>
      </c>
      <c r="O1540" s="8" t="str">
        <f t="array" ref="O1540">XLOOKUP(C1540,Customer_Dim!A:A,Customer_Dim!E:E,"Not Found")</f>
        <v>West Pamelafurt</v>
      </c>
      <c r="P1540" s="8" t="str">
        <f t="array" ref="P1540">XLOOKUP(D1540,Product_Dim!A:A,Product_Dim!B:B,"Not Found")</f>
        <v>Sports Stopwatch Pro</v>
      </c>
      <c r="Q1540" s="8" t="str">
        <f t="array" ref="Q1540">XLOOKUP(D1540,Product_Dim!A:A,Product_Dim!C:C,"Not Found")</f>
        <v>Sports</v>
      </c>
      <c r="R1540" s="8" t="str">
        <f t="array" ref="R1540">XLOOKUP(E1540,Store_Dim!A:A,Store_Dim!B:B,"Not Found")</f>
        <v>North</v>
      </c>
      <c r="S1540" s="8" t="str">
        <f t="array" ref="S1540">XLOOKUP(E1540,Store_Dim!A:A,Store_Dim!D:D,"Not Found")</f>
        <v>Flagship</v>
      </c>
    </row>
    <row r="1541" ht="14.25" customHeight="1">
      <c r="A1541" s="8" t="s">
        <v>3494</v>
      </c>
      <c r="B1541" s="12">
        <v>47019.0</v>
      </c>
      <c r="C1541" s="8" t="s">
        <v>274</v>
      </c>
      <c r="D1541" s="8" t="s">
        <v>1624</v>
      </c>
      <c r="E1541" s="8" t="s">
        <v>1929</v>
      </c>
      <c r="F1541" s="8">
        <v>4.0</v>
      </c>
      <c r="G1541" s="8">
        <v>935.98</v>
      </c>
      <c r="H1541" s="8">
        <v>0.11</v>
      </c>
      <c r="I1541" s="8">
        <f t="shared" si="1"/>
        <v>3743.92</v>
      </c>
      <c r="J1541" s="8">
        <f t="shared" si="2"/>
        <v>-411.7212</v>
      </c>
      <c r="K1541" s="8" t="str">
        <f t="shared" si="3"/>
        <v>Sep</v>
      </c>
      <c r="L1541" s="8">
        <f t="shared" si="4"/>
        <v>2028</v>
      </c>
      <c r="N1541" s="8" t="str">
        <f t="array" ref="N1541">XLOOKUP(C1541,Customer_Dim!A:A,Customer_Dim!B:B,"Not Found")</f>
        <v>Tonya Burch</v>
      </c>
      <c r="O1541" s="8" t="str">
        <f t="array" ref="O1541">XLOOKUP(C1541,Customer_Dim!A:A,Customer_Dim!E:E,"Not Found")</f>
        <v>Olsonhaven</v>
      </c>
      <c r="P1541" s="8" t="str">
        <f t="array" ref="P1541">XLOOKUP(D1541,Product_Dim!A:A,Product_Dim!B:B,"Not Found")</f>
        <v>4K Home Projector</v>
      </c>
      <c r="Q1541" s="8" t="str">
        <f t="array" ref="Q1541">XLOOKUP(D1541,Product_Dim!A:A,Product_Dim!C:C,"Not Found")</f>
        <v>Electronics</v>
      </c>
      <c r="R1541" s="8" t="str">
        <f t="array" ref="R1541">XLOOKUP(E1541,Store_Dim!A:A,Store_Dim!B:B,"Not Found")</f>
        <v>North</v>
      </c>
      <c r="S1541" s="8" t="str">
        <f t="array" ref="S1541">XLOOKUP(E1541,Store_Dim!A:A,Store_Dim!D:D,"Not Found")</f>
        <v>Online</v>
      </c>
    </row>
    <row r="1542" ht="14.25" customHeight="1">
      <c r="A1542" s="8" t="s">
        <v>3495</v>
      </c>
      <c r="B1542" s="12">
        <v>47020.0</v>
      </c>
      <c r="C1542" s="8" t="s">
        <v>1508</v>
      </c>
      <c r="D1542" s="8" t="s">
        <v>1818</v>
      </c>
      <c r="E1542" s="8" t="s">
        <v>1935</v>
      </c>
      <c r="F1542" s="8">
        <v>1.0</v>
      </c>
      <c r="G1542" s="8">
        <v>539.9</v>
      </c>
      <c r="H1542" s="8">
        <v>0.07</v>
      </c>
      <c r="I1542" s="8">
        <f t="shared" si="1"/>
        <v>539.9</v>
      </c>
      <c r="J1542" s="8">
        <f t="shared" si="2"/>
        <v>-37.723</v>
      </c>
      <c r="K1542" s="8" t="str">
        <f t="shared" si="3"/>
        <v>Sep</v>
      </c>
      <c r="L1542" s="8">
        <f t="shared" si="4"/>
        <v>2028</v>
      </c>
      <c r="N1542" s="8" t="str">
        <f t="array" ref="N1542">XLOOKUP(C1542,Customer_Dim!A:A,Customer_Dim!B:B,"Not Found")</f>
        <v>Sara Ingram</v>
      </c>
      <c r="O1542" s="8" t="str">
        <f t="array" ref="O1542">XLOOKUP(C1542,Customer_Dim!A:A,Customer_Dim!E:E,"Not Found")</f>
        <v>East Dillonview</v>
      </c>
      <c r="P1542" s="8" t="str">
        <f t="array" ref="P1542">XLOOKUP(D1542,Product_Dim!A:A,Product_Dim!B:B,"Not Found")</f>
        <v>Wireless Mouse</v>
      </c>
      <c r="Q1542" s="8" t="str">
        <f t="array" ref="Q1542">XLOOKUP(D1542,Product_Dim!A:A,Product_Dim!C:C,"Not Found")</f>
        <v>Electronics</v>
      </c>
      <c r="R1542" s="8" t="str">
        <f t="array" ref="R1542">XLOOKUP(E1542,Store_Dim!A:A,Store_Dim!B:B,"Not Found")</f>
        <v>West</v>
      </c>
      <c r="S1542" s="8" t="str">
        <f t="array" ref="S1542">XLOOKUP(E1542,Store_Dim!A:A,Store_Dim!D:D,"Not Found")</f>
        <v>Flagship</v>
      </c>
    </row>
    <row r="1543" ht="14.25" customHeight="1">
      <c r="A1543" s="8" t="s">
        <v>3496</v>
      </c>
      <c r="B1543" s="12">
        <v>47021.0</v>
      </c>
      <c r="C1543" s="8" t="s">
        <v>580</v>
      </c>
      <c r="D1543" s="8" t="s">
        <v>1707</v>
      </c>
      <c r="E1543" s="8" t="s">
        <v>1917</v>
      </c>
      <c r="F1543" s="8">
        <v>1.0</v>
      </c>
      <c r="G1543" s="8">
        <v>312.81</v>
      </c>
      <c r="H1543" s="8">
        <v>0.14</v>
      </c>
      <c r="I1543" s="8">
        <f t="shared" si="1"/>
        <v>312.81</v>
      </c>
      <c r="J1543" s="8">
        <f t="shared" si="2"/>
        <v>-43.6534</v>
      </c>
      <c r="K1543" s="8" t="str">
        <f t="shared" si="3"/>
        <v>Sep</v>
      </c>
      <c r="L1543" s="8">
        <f t="shared" si="4"/>
        <v>2028</v>
      </c>
      <c r="N1543" s="8" t="str">
        <f t="array" ref="N1543">XLOOKUP(C1543,Customer_Dim!A:A,Customer_Dim!B:B,"Not Found")</f>
        <v>Amy Wilson</v>
      </c>
      <c r="O1543" s="8" t="str">
        <f t="array" ref="O1543">XLOOKUP(C1543,Customer_Dim!A:A,Customer_Dim!E:E,"Not Found")</f>
        <v>Morrisburgh</v>
      </c>
      <c r="P1543" s="8" t="str">
        <f t="array" ref="P1543">XLOOKUP(D1543,Product_Dim!A:A,Product_Dim!B:B,"Not Found")</f>
        <v>Noise-Canceling Headphones</v>
      </c>
      <c r="Q1543" s="8" t="str">
        <f t="array" ref="Q1543">XLOOKUP(D1543,Product_Dim!A:A,Product_Dim!C:C,"Not Found")</f>
        <v>Electronics</v>
      </c>
      <c r="R1543" s="8" t="str">
        <f t="array" ref="R1543">XLOOKUP(E1543,Store_Dim!A:A,Store_Dim!B:B,"Not Found")</f>
        <v>East</v>
      </c>
      <c r="S1543" s="8" t="str">
        <f t="array" ref="S1543">XLOOKUP(E1543,Store_Dim!A:A,Store_Dim!D:D,"Not Found")</f>
        <v>Online</v>
      </c>
    </row>
    <row r="1544" ht="14.25" customHeight="1">
      <c r="A1544" s="8" t="s">
        <v>3497</v>
      </c>
      <c r="B1544" s="12">
        <v>47022.0</v>
      </c>
      <c r="C1544" s="8" t="s">
        <v>812</v>
      </c>
      <c r="D1544" s="8" t="s">
        <v>1732</v>
      </c>
      <c r="E1544" s="8" t="s">
        <v>1919</v>
      </c>
      <c r="F1544" s="8">
        <v>3.0</v>
      </c>
      <c r="G1544" s="8">
        <v>855.96</v>
      </c>
      <c r="H1544" s="8">
        <v>0.29</v>
      </c>
      <c r="I1544" s="8">
        <f t="shared" si="1"/>
        <v>2567.88</v>
      </c>
      <c r="J1544" s="8">
        <f t="shared" si="2"/>
        <v>-744.3952</v>
      </c>
      <c r="K1544" s="8" t="str">
        <f t="shared" si="3"/>
        <v>Sep</v>
      </c>
      <c r="L1544" s="8">
        <f t="shared" si="4"/>
        <v>2028</v>
      </c>
      <c r="N1544" s="8" t="str">
        <f t="array" ref="N1544">XLOOKUP(C1544,Customer_Dim!A:A,Customer_Dim!B:B,"Not Found")</f>
        <v>Lauren George</v>
      </c>
      <c r="O1544" s="8" t="str">
        <f t="array" ref="O1544">XLOOKUP(C1544,Customer_Dim!A:A,Customer_Dim!E:E,"Not Found")</f>
        <v>Garciamouth</v>
      </c>
      <c r="P1544" s="8" t="str">
        <f t="array" ref="P1544">XLOOKUP(D1544,Product_Dim!A:A,Product_Dim!B:B,"Not Found")</f>
        <v>Car Dashboard Phone Holder</v>
      </c>
      <c r="Q1544" s="8" t="str">
        <f t="array" ref="Q1544">XLOOKUP(D1544,Product_Dim!A:A,Product_Dim!C:C,"Not Found")</f>
        <v>Electronics</v>
      </c>
      <c r="R1544" s="8" t="str">
        <f t="array" ref="R1544">XLOOKUP(E1544,Store_Dim!A:A,Store_Dim!B:B,"Not Found")</f>
        <v>South</v>
      </c>
      <c r="S1544" s="8" t="str">
        <f t="array" ref="S1544">XLOOKUP(E1544,Store_Dim!A:A,Store_Dim!D:D,"Not Found")</f>
        <v>Online</v>
      </c>
    </row>
    <row r="1545" ht="14.25" customHeight="1">
      <c r="A1545" s="8" t="s">
        <v>3498</v>
      </c>
      <c r="B1545" s="12">
        <v>47023.0</v>
      </c>
      <c r="C1545" s="8" t="s">
        <v>1128</v>
      </c>
      <c r="D1545" s="8" t="s">
        <v>1567</v>
      </c>
      <c r="E1545" s="8" t="s">
        <v>1928</v>
      </c>
      <c r="F1545" s="8">
        <v>3.0</v>
      </c>
      <c r="G1545" s="8">
        <v>305.0</v>
      </c>
      <c r="H1545" s="8">
        <v>0.01</v>
      </c>
      <c r="I1545" s="8">
        <f t="shared" si="1"/>
        <v>915</v>
      </c>
      <c r="J1545" s="8">
        <f t="shared" si="2"/>
        <v>-9.14</v>
      </c>
      <c r="K1545" s="8" t="str">
        <f t="shared" si="3"/>
        <v>Sep</v>
      </c>
      <c r="L1545" s="8">
        <f t="shared" si="4"/>
        <v>2028</v>
      </c>
      <c r="N1545" s="8" t="str">
        <f t="array" ref="N1545">XLOOKUP(C1545,Customer_Dim!A:A,Customer_Dim!B:B,"Not Found")</f>
        <v>Carlos Flores</v>
      </c>
      <c r="O1545" s="8" t="str">
        <f t="array" ref="O1545">XLOOKUP(C1545,Customer_Dim!A:A,Customer_Dim!E:E,"Not Found")</f>
        <v>North Johnfurt</v>
      </c>
      <c r="P1545" s="8" t="str">
        <f t="array" ref="P1545">XLOOKUP(D1545,Product_Dim!A:A,Product_Dim!B:B,"Not Found")</f>
        <v>Men's Graphic T-Shirt</v>
      </c>
      <c r="Q1545" s="8" t="str">
        <f t="array" ref="Q1545">XLOOKUP(D1545,Product_Dim!A:A,Product_Dim!C:C,"Not Found")</f>
        <v>Clothing</v>
      </c>
      <c r="R1545" s="8" t="str">
        <f t="array" ref="R1545">XLOOKUP(E1545,Store_Dim!A:A,Store_Dim!B:B,"Not Found")</f>
        <v>South</v>
      </c>
      <c r="S1545" s="8" t="str">
        <f t="array" ref="S1545">XLOOKUP(E1545,Store_Dim!A:A,Store_Dim!D:D,"Not Found")</f>
        <v>Online</v>
      </c>
    </row>
    <row r="1546" ht="14.25" customHeight="1">
      <c r="A1546" s="8" t="s">
        <v>3499</v>
      </c>
      <c r="B1546" s="12">
        <v>47024.0</v>
      </c>
      <c r="C1546" s="8" t="s">
        <v>1459</v>
      </c>
      <c r="D1546" s="8" t="s">
        <v>1887</v>
      </c>
      <c r="E1546" s="8" t="s">
        <v>1929</v>
      </c>
      <c r="F1546" s="8">
        <v>3.0</v>
      </c>
      <c r="G1546" s="8">
        <v>831.15</v>
      </c>
      <c r="H1546" s="8">
        <v>0.19</v>
      </c>
      <c r="I1546" s="8">
        <f t="shared" si="1"/>
        <v>2493.45</v>
      </c>
      <c r="J1546" s="8">
        <f t="shared" si="2"/>
        <v>-473.5655</v>
      </c>
      <c r="K1546" s="8" t="str">
        <f t="shared" si="3"/>
        <v>Sep</v>
      </c>
      <c r="L1546" s="8">
        <f t="shared" si="4"/>
        <v>2028</v>
      </c>
      <c r="N1546" s="8" t="str">
        <f t="array" ref="N1546">XLOOKUP(C1546,Customer_Dim!A:A,Customer_Dim!B:B,"Not Found")</f>
        <v>Gregory Curtis</v>
      </c>
      <c r="O1546" s="8" t="str">
        <f t="array" ref="O1546">XLOOKUP(C1546,Customer_Dim!A:A,Customer_Dim!E:E,"Not Found")</f>
        <v>Bergermouth</v>
      </c>
      <c r="P1546" s="8" t="str">
        <f t="array" ref="P1546">XLOOKUP(D1546,Product_Dim!A:A,Product_Dim!B:B,"Not Found")</f>
        <v>Stainless Steel Cookware Set</v>
      </c>
      <c r="Q1546" s="8" t="str">
        <f t="array" ref="Q1546">XLOOKUP(D1546,Product_Dim!A:A,Product_Dim!C:C,"Not Found")</f>
        <v>Home</v>
      </c>
      <c r="R1546" s="8" t="str">
        <f t="array" ref="R1546">XLOOKUP(E1546,Store_Dim!A:A,Store_Dim!B:B,"Not Found")</f>
        <v>North</v>
      </c>
      <c r="S1546" s="8" t="str">
        <f t="array" ref="S1546">XLOOKUP(E1546,Store_Dim!A:A,Store_Dim!D:D,"Not Found")</f>
        <v>Online</v>
      </c>
    </row>
    <row r="1547" ht="14.25" customHeight="1">
      <c r="A1547" s="8" t="s">
        <v>3500</v>
      </c>
      <c r="B1547" s="12">
        <v>47025.0</v>
      </c>
      <c r="C1547" s="8" t="s">
        <v>687</v>
      </c>
      <c r="D1547" s="8" t="s">
        <v>1878</v>
      </c>
      <c r="E1547" s="8" t="s">
        <v>1910</v>
      </c>
      <c r="F1547" s="8">
        <v>2.0</v>
      </c>
      <c r="G1547" s="8">
        <v>644.97</v>
      </c>
      <c r="H1547" s="8">
        <v>0.24</v>
      </c>
      <c r="I1547" s="8">
        <f t="shared" si="1"/>
        <v>1289.94</v>
      </c>
      <c r="J1547" s="8">
        <f t="shared" si="2"/>
        <v>-309.3456</v>
      </c>
      <c r="K1547" s="8" t="str">
        <f t="shared" si="3"/>
        <v>Sep</v>
      </c>
      <c r="L1547" s="8">
        <f t="shared" si="4"/>
        <v>2028</v>
      </c>
      <c r="N1547" s="8" t="str">
        <f t="array" ref="N1547">XLOOKUP(C1547,Customer_Dim!A:A,Customer_Dim!B:B,"Not Found")</f>
        <v>Jacqueline Pacheco</v>
      </c>
      <c r="O1547" s="8" t="str">
        <f t="array" ref="O1547">XLOOKUP(C1547,Customer_Dim!A:A,Customer_Dim!E:E,"Not Found")</f>
        <v>South Emily</v>
      </c>
      <c r="P1547" s="8" t="str">
        <f t="array" ref="P1547">XLOOKUP(D1547,Product_Dim!A:A,Product_Dim!B:B,"Not Found")</f>
        <v>Women's Formal Blazer</v>
      </c>
      <c r="Q1547" s="8" t="str">
        <f t="array" ref="Q1547">XLOOKUP(D1547,Product_Dim!A:A,Product_Dim!C:C,"Not Found")</f>
        <v>Clothing</v>
      </c>
      <c r="R1547" s="8" t="str">
        <f t="array" ref="R1547">XLOOKUP(E1547,Store_Dim!A:A,Store_Dim!B:B,"Not Found")</f>
        <v>North</v>
      </c>
      <c r="S1547" s="8" t="str">
        <f t="array" ref="S1547">XLOOKUP(E1547,Store_Dim!A:A,Store_Dim!D:D,"Not Found")</f>
        <v>Outlet</v>
      </c>
    </row>
    <row r="1548" ht="14.25" customHeight="1">
      <c r="A1548" s="8" t="s">
        <v>3501</v>
      </c>
      <c r="B1548" s="12">
        <v>47026.0</v>
      </c>
      <c r="C1548" s="8" t="s">
        <v>351</v>
      </c>
      <c r="D1548" s="8" t="s">
        <v>1854</v>
      </c>
      <c r="E1548" s="8" t="s">
        <v>1903</v>
      </c>
      <c r="F1548" s="8">
        <v>1.0</v>
      </c>
      <c r="G1548" s="8">
        <v>149.56</v>
      </c>
      <c r="H1548" s="8">
        <v>0.09</v>
      </c>
      <c r="I1548" s="8">
        <f t="shared" si="1"/>
        <v>149.56</v>
      </c>
      <c r="J1548" s="8">
        <f t="shared" si="2"/>
        <v>-13.3704</v>
      </c>
      <c r="K1548" s="8" t="str">
        <f t="shared" si="3"/>
        <v>Sep</v>
      </c>
      <c r="L1548" s="8">
        <f t="shared" si="4"/>
        <v>2028</v>
      </c>
      <c r="N1548" s="8" t="str">
        <f t="array" ref="N1548">XLOOKUP(C1548,Customer_Dim!A:A,Customer_Dim!B:B,"Not Found")</f>
        <v>Amy Fowler</v>
      </c>
      <c r="O1548" s="8" t="str">
        <f t="array" ref="O1548">XLOOKUP(C1548,Customer_Dim!A:A,Customer_Dim!E:E,"Not Found")</f>
        <v>West Bobbyshire</v>
      </c>
      <c r="P1548" s="8" t="str">
        <f t="array" ref="P1548">XLOOKUP(D1548,Product_Dim!A:A,Product_Dim!B:B,"Not Found")</f>
        <v>Sports Wrist Sweatbands</v>
      </c>
      <c r="Q1548" s="8" t="str">
        <f t="array" ref="Q1548">XLOOKUP(D1548,Product_Dim!A:A,Product_Dim!C:C,"Not Found")</f>
        <v>Sports</v>
      </c>
      <c r="R1548" s="8" t="str">
        <f t="array" ref="R1548">XLOOKUP(E1548,Store_Dim!A:A,Store_Dim!B:B,"Not Found")</f>
        <v>North</v>
      </c>
      <c r="S1548" s="8" t="str">
        <f t="array" ref="S1548">XLOOKUP(E1548,Store_Dim!A:A,Store_Dim!D:D,"Not Found")</f>
        <v>Flagship</v>
      </c>
    </row>
    <row r="1549" ht="14.25" customHeight="1">
      <c r="A1549" s="8" t="s">
        <v>3502</v>
      </c>
      <c r="B1549" s="12">
        <v>47027.0</v>
      </c>
      <c r="C1549" s="8" t="s">
        <v>717</v>
      </c>
      <c r="D1549" s="8" t="s">
        <v>1716</v>
      </c>
      <c r="E1549" s="8" t="s">
        <v>1941</v>
      </c>
      <c r="F1549" s="8">
        <v>1.0</v>
      </c>
      <c r="G1549" s="8">
        <v>661.77</v>
      </c>
      <c r="H1549" s="8">
        <v>0.03</v>
      </c>
      <c r="I1549" s="8">
        <f t="shared" si="1"/>
        <v>661.77</v>
      </c>
      <c r="J1549" s="8">
        <f t="shared" si="2"/>
        <v>-19.8231</v>
      </c>
      <c r="K1549" s="8" t="str">
        <f t="shared" si="3"/>
        <v>Oct</v>
      </c>
      <c r="L1549" s="8">
        <f t="shared" si="4"/>
        <v>2028</v>
      </c>
      <c r="N1549" s="8" t="str">
        <f t="array" ref="N1549">XLOOKUP(C1549,Customer_Dim!A:A,Customer_Dim!B:B,"Not Found")</f>
        <v>Kathy Copeland</v>
      </c>
      <c r="O1549" s="8" t="str">
        <f t="array" ref="O1549">XLOOKUP(C1549,Customer_Dim!A:A,Customer_Dim!E:E,"Not Found")</f>
        <v>North Christinemouth</v>
      </c>
      <c r="P1549" s="8" t="str">
        <f t="array" ref="P1549">XLOOKUP(D1549,Product_Dim!A:A,Product_Dim!B:B,"Not Found")</f>
        <v>USB External Hard Drive</v>
      </c>
      <c r="Q1549" s="8" t="str">
        <f t="array" ref="Q1549">XLOOKUP(D1549,Product_Dim!A:A,Product_Dim!C:C,"Not Found")</f>
        <v>Electronics</v>
      </c>
      <c r="R1549" s="8" t="str">
        <f t="array" ref="R1549">XLOOKUP(E1549,Store_Dim!A:A,Store_Dim!B:B,"Not Found")</f>
        <v>East</v>
      </c>
      <c r="S1549" s="8" t="str">
        <f t="array" ref="S1549">XLOOKUP(E1549,Store_Dim!A:A,Store_Dim!D:D,"Not Found")</f>
        <v>Online</v>
      </c>
    </row>
    <row r="1550" ht="14.25" customHeight="1">
      <c r="A1550" s="8" t="s">
        <v>3503</v>
      </c>
      <c r="B1550" s="12">
        <v>47028.0</v>
      </c>
      <c r="C1550" s="8" t="s">
        <v>391</v>
      </c>
      <c r="D1550" s="8" t="s">
        <v>1872</v>
      </c>
      <c r="E1550" s="8" t="s">
        <v>1919</v>
      </c>
      <c r="F1550" s="8">
        <v>3.0</v>
      </c>
      <c r="G1550" s="8">
        <v>99.67</v>
      </c>
      <c r="H1550" s="8">
        <v>0.17</v>
      </c>
      <c r="I1550" s="8">
        <f t="shared" si="1"/>
        <v>299.01</v>
      </c>
      <c r="J1550" s="8">
        <f t="shared" si="2"/>
        <v>-50.6617</v>
      </c>
      <c r="K1550" s="8" t="str">
        <f t="shared" si="3"/>
        <v>Oct</v>
      </c>
      <c r="L1550" s="8">
        <f t="shared" si="4"/>
        <v>2028</v>
      </c>
      <c r="N1550" s="8" t="str">
        <f t="array" ref="N1550">XLOOKUP(C1550,Customer_Dim!A:A,Customer_Dim!B:B,"Not Found")</f>
        <v>Travis Holland</v>
      </c>
      <c r="O1550" s="8" t="str">
        <f t="array" ref="O1550">XLOOKUP(C1550,Customer_Dim!A:A,Customer_Dim!E:E,"Not Found")</f>
        <v>Webstermouth</v>
      </c>
      <c r="P1550" s="8" t="str">
        <f t="array" ref="P1550">XLOOKUP(D1550,Product_Dim!A:A,Product_Dim!B:B,"Not Found")</f>
        <v>Vitamin E Body Lotion</v>
      </c>
      <c r="Q1550" s="8" t="str">
        <f t="array" ref="Q1550">XLOOKUP(D1550,Product_Dim!A:A,Product_Dim!C:C,"Not Found")</f>
        <v>Beauty</v>
      </c>
      <c r="R1550" s="8" t="str">
        <f t="array" ref="R1550">XLOOKUP(E1550,Store_Dim!A:A,Store_Dim!B:B,"Not Found")</f>
        <v>South</v>
      </c>
      <c r="S1550" s="8" t="str">
        <f t="array" ref="S1550">XLOOKUP(E1550,Store_Dim!A:A,Store_Dim!D:D,"Not Found")</f>
        <v>Online</v>
      </c>
    </row>
    <row r="1551" ht="14.25" customHeight="1">
      <c r="A1551" s="8" t="s">
        <v>3504</v>
      </c>
      <c r="B1551" s="12">
        <v>47029.0</v>
      </c>
      <c r="C1551" s="8" t="s">
        <v>730</v>
      </c>
      <c r="D1551" s="8" t="s">
        <v>1775</v>
      </c>
      <c r="E1551" s="8" t="s">
        <v>1903</v>
      </c>
      <c r="F1551" s="8">
        <v>3.0</v>
      </c>
      <c r="G1551" s="8">
        <v>103.66</v>
      </c>
      <c r="H1551" s="8">
        <v>0.26</v>
      </c>
      <c r="I1551" s="8">
        <f t="shared" si="1"/>
        <v>310.98</v>
      </c>
      <c r="J1551" s="8">
        <f t="shared" si="2"/>
        <v>-80.5948</v>
      </c>
      <c r="K1551" s="8" t="str">
        <f t="shared" si="3"/>
        <v>Oct</v>
      </c>
      <c r="L1551" s="8">
        <f t="shared" si="4"/>
        <v>2028</v>
      </c>
      <c r="N1551" s="8" t="str">
        <f t="array" ref="N1551">XLOOKUP(C1551,Customer_Dim!A:A,Customer_Dim!B:B,"Not Found")</f>
        <v>Lisa Young</v>
      </c>
      <c r="O1551" s="8" t="str">
        <f t="array" ref="O1551">XLOOKUP(C1551,Customer_Dim!A:A,Customer_Dim!E:E,"Not Found")</f>
        <v>Maybury</v>
      </c>
      <c r="P1551" s="8" t="str">
        <f t="array" ref="P1551">XLOOKUP(D1551,Product_Dim!A:A,Product_Dim!B:B,"Not Found")</f>
        <v>Laptop Cooling Pad</v>
      </c>
      <c r="Q1551" s="8" t="str">
        <f t="array" ref="Q1551">XLOOKUP(D1551,Product_Dim!A:A,Product_Dim!C:C,"Not Found")</f>
        <v>Electronics</v>
      </c>
      <c r="R1551" s="8" t="str">
        <f t="array" ref="R1551">XLOOKUP(E1551,Store_Dim!A:A,Store_Dim!B:B,"Not Found")</f>
        <v>North</v>
      </c>
      <c r="S1551" s="8" t="str">
        <f t="array" ref="S1551">XLOOKUP(E1551,Store_Dim!A:A,Store_Dim!D:D,"Not Found")</f>
        <v>Flagship</v>
      </c>
    </row>
    <row r="1552" ht="14.25" customHeight="1">
      <c r="A1552" s="8" t="s">
        <v>3505</v>
      </c>
      <c r="B1552" s="12">
        <v>47030.0</v>
      </c>
      <c r="C1552" s="8" t="s">
        <v>1368</v>
      </c>
      <c r="D1552" s="8" t="s">
        <v>1707</v>
      </c>
      <c r="E1552" s="8" t="s">
        <v>1906</v>
      </c>
      <c r="F1552" s="8">
        <v>4.0</v>
      </c>
      <c r="G1552" s="8">
        <v>54.4</v>
      </c>
      <c r="H1552" s="8">
        <v>0.22</v>
      </c>
      <c r="I1552" s="8">
        <f t="shared" si="1"/>
        <v>217.6</v>
      </c>
      <c r="J1552" s="8">
        <f t="shared" si="2"/>
        <v>-47.652</v>
      </c>
      <c r="K1552" s="8" t="str">
        <f t="shared" si="3"/>
        <v>Oct</v>
      </c>
      <c r="L1552" s="8">
        <f t="shared" si="4"/>
        <v>2028</v>
      </c>
      <c r="N1552" s="8" t="str">
        <f t="array" ref="N1552">XLOOKUP(C1552,Customer_Dim!A:A,Customer_Dim!B:B,"Not Found")</f>
        <v>Sharon Simpson</v>
      </c>
      <c r="O1552" s="8" t="str">
        <f t="array" ref="O1552">XLOOKUP(C1552,Customer_Dim!A:A,Customer_Dim!E:E,"Not Found")</f>
        <v>South Michellebury</v>
      </c>
      <c r="P1552" s="8" t="str">
        <f t="array" ref="P1552">XLOOKUP(D1552,Product_Dim!A:A,Product_Dim!B:B,"Not Found")</f>
        <v>Noise-Canceling Headphones</v>
      </c>
      <c r="Q1552" s="8" t="str">
        <f t="array" ref="Q1552">XLOOKUP(D1552,Product_Dim!A:A,Product_Dim!C:C,"Not Found")</f>
        <v>Electronics</v>
      </c>
      <c r="R1552" s="8" t="str">
        <f t="array" ref="R1552">XLOOKUP(E1552,Store_Dim!A:A,Store_Dim!B:B,"Not Found")</f>
        <v>South</v>
      </c>
      <c r="S1552" s="8" t="str">
        <f t="array" ref="S1552">XLOOKUP(E1552,Store_Dim!A:A,Store_Dim!D:D,"Not Found")</f>
        <v>Outlet</v>
      </c>
    </row>
    <row r="1553" ht="14.25" customHeight="1">
      <c r="A1553" s="8" t="s">
        <v>3506</v>
      </c>
      <c r="B1553" s="12">
        <v>47031.0</v>
      </c>
      <c r="C1553" s="8" t="s">
        <v>1523</v>
      </c>
      <c r="D1553" s="8" t="s">
        <v>1842</v>
      </c>
      <c r="E1553" s="8" t="s">
        <v>1932</v>
      </c>
      <c r="F1553" s="8">
        <v>1.0</v>
      </c>
      <c r="G1553" s="8">
        <v>46.66</v>
      </c>
      <c r="H1553" s="8">
        <v>0.2</v>
      </c>
      <c r="I1553" s="8">
        <f t="shared" si="1"/>
        <v>46.66</v>
      </c>
      <c r="J1553" s="8">
        <f t="shared" si="2"/>
        <v>-9.132</v>
      </c>
      <c r="K1553" s="8" t="str">
        <f t="shared" si="3"/>
        <v>Oct</v>
      </c>
      <c r="L1553" s="8">
        <f t="shared" si="4"/>
        <v>2028</v>
      </c>
      <c r="N1553" s="8" t="str">
        <f t="array" ref="N1553">XLOOKUP(C1553,Customer_Dim!A:A,Customer_Dim!B:B,"Not Found")</f>
        <v>Scott Harris</v>
      </c>
      <c r="O1553" s="8" t="str">
        <f t="array" ref="O1553">XLOOKUP(C1553,Customer_Dim!A:A,Customer_Dim!E:E,"Not Found")</f>
        <v>North Nataliemouth</v>
      </c>
      <c r="P1553" s="8" t="str">
        <f t="array" ref="P1553">XLOOKUP(D1553,Product_Dim!A:A,Product_Dim!B:B,"Not Found")</f>
        <v>Wooden Bookshelf</v>
      </c>
      <c r="Q1553" s="8" t="str">
        <f t="array" ref="Q1553">XLOOKUP(D1553,Product_Dim!A:A,Product_Dim!C:C,"Not Found")</f>
        <v>Home</v>
      </c>
      <c r="R1553" s="8" t="str">
        <f t="array" ref="R1553">XLOOKUP(E1553,Store_Dim!A:A,Store_Dim!B:B,"Not Found")</f>
        <v>South</v>
      </c>
      <c r="S1553" s="8" t="str">
        <f t="array" ref="S1553">XLOOKUP(E1553,Store_Dim!A:A,Store_Dim!D:D,"Not Found")</f>
        <v>Outlet</v>
      </c>
    </row>
    <row r="1554" ht="14.25" customHeight="1">
      <c r="A1554" s="8" t="s">
        <v>3507</v>
      </c>
      <c r="B1554" s="12">
        <v>47032.0</v>
      </c>
      <c r="C1554" s="8" t="s">
        <v>48</v>
      </c>
      <c r="D1554" s="8" t="s">
        <v>1809</v>
      </c>
      <c r="E1554" s="8" t="s">
        <v>1928</v>
      </c>
      <c r="F1554" s="8">
        <v>4.0</v>
      </c>
      <c r="G1554" s="8">
        <v>871.2</v>
      </c>
      <c r="H1554" s="8">
        <v>0.29</v>
      </c>
      <c r="I1554" s="8">
        <f t="shared" si="1"/>
        <v>3484.8</v>
      </c>
      <c r="J1554" s="8">
        <f t="shared" si="2"/>
        <v>-1010.302</v>
      </c>
      <c r="K1554" s="8" t="str">
        <f t="shared" si="3"/>
        <v>Oct</v>
      </c>
      <c r="L1554" s="8">
        <f t="shared" si="4"/>
        <v>2028</v>
      </c>
      <c r="N1554" s="8" t="str">
        <f t="array" ref="N1554">XLOOKUP(C1554,Customer_Dim!A:A,Customer_Dim!B:B,"Not Found")</f>
        <v>Daniel Boyd</v>
      </c>
      <c r="O1554" s="8" t="str">
        <f t="array" ref="O1554">XLOOKUP(C1554,Customer_Dim!A:A,Customer_Dim!E:E,"Not Found")</f>
        <v>West Pamelafurt</v>
      </c>
      <c r="P1554" s="8" t="str">
        <f t="array" ref="P1554">XLOOKUP(D1554,Product_Dim!A:A,Product_Dim!B:B,"Not Found")</f>
        <v>Shin Guards – Adult</v>
      </c>
      <c r="Q1554" s="8" t="str">
        <f t="array" ref="Q1554">XLOOKUP(D1554,Product_Dim!A:A,Product_Dim!C:C,"Not Found")</f>
        <v>Sports</v>
      </c>
      <c r="R1554" s="8" t="str">
        <f t="array" ref="R1554">XLOOKUP(E1554,Store_Dim!A:A,Store_Dim!B:B,"Not Found")</f>
        <v>South</v>
      </c>
      <c r="S1554" s="8" t="str">
        <f t="array" ref="S1554">XLOOKUP(E1554,Store_Dim!A:A,Store_Dim!D:D,"Not Found")</f>
        <v>Online</v>
      </c>
    </row>
    <row r="1555" ht="14.25" customHeight="1">
      <c r="A1555" s="8" t="s">
        <v>3508</v>
      </c>
      <c r="B1555" s="12">
        <v>47033.0</v>
      </c>
      <c r="C1555" s="8" t="s">
        <v>1200</v>
      </c>
      <c r="D1555" s="8" t="s">
        <v>1635</v>
      </c>
      <c r="E1555" s="8" t="s">
        <v>1932</v>
      </c>
      <c r="F1555" s="8">
        <v>4.0</v>
      </c>
      <c r="G1555" s="8">
        <v>317.11</v>
      </c>
      <c r="H1555" s="8">
        <v>0.16</v>
      </c>
      <c r="I1555" s="8">
        <f t="shared" si="1"/>
        <v>1268.44</v>
      </c>
      <c r="J1555" s="8">
        <f t="shared" si="2"/>
        <v>-202.7904</v>
      </c>
      <c r="K1555" s="8" t="str">
        <f t="shared" si="3"/>
        <v>Oct</v>
      </c>
      <c r="L1555" s="8">
        <f t="shared" si="4"/>
        <v>2028</v>
      </c>
      <c r="N1555" s="8" t="str">
        <f t="array" ref="N1555">XLOOKUP(C1555,Customer_Dim!A:A,Customer_Dim!B:B,"Not Found")</f>
        <v>Tanya Lopez</v>
      </c>
      <c r="O1555" s="8" t="str">
        <f t="array" ref="O1555">XLOOKUP(C1555,Customer_Dim!A:A,Customer_Dim!E:E,"Not Found")</f>
        <v>West Jeffreyburgh</v>
      </c>
      <c r="P1555" s="8" t="str">
        <f t="array" ref="P1555">XLOOKUP(D1555,Product_Dim!A:A,Product_Dim!B:B,"Not Found")</f>
        <v>Women's Denim Jeans</v>
      </c>
      <c r="Q1555" s="8" t="str">
        <f t="array" ref="Q1555">XLOOKUP(D1555,Product_Dim!A:A,Product_Dim!C:C,"Not Found")</f>
        <v>Clothing</v>
      </c>
      <c r="R1555" s="8" t="str">
        <f t="array" ref="R1555">XLOOKUP(E1555,Store_Dim!A:A,Store_Dim!B:B,"Not Found")</f>
        <v>South</v>
      </c>
      <c r="S1555" s="8" t="str">
        <f t="array" ref="S1555">XLOOKUP(E1555,Store_Dim!A:A,Store_Dim!D:D,"Not Found")</f>
        <v>Outlet</v>
      </c>
    </row>
    <row r="1556" ht="14.25" customHeight="1">
      <c r="A1556" s="8" t="s">
        <v>3509</v>
      </c>
      <c r="B1556" s="12">
        <v>47034.0</v>
      </c>
      <c r="C1556" s="8" t="s">
        <v>839</v>
      </c>
      <c r="D1556" s="8" t="s">
        <v>1659</v>
      </c>
      <c r="E1556" s="8" t="s">
        <v>1931</v>
      </c>
      <c r="F1556" s="8">
        <v>2.0</v>
      </c>
      <c r="G1556" s="8">
        <v>388.34</v>
      </c>
      <c r="H1556" s="8">
        <v>0.09</v>
      </c>
      <c r="I1556" s="8">
        <f t="shared" si="1"/>
        <v>776.68</v>
      </c>
      <c r="J1556" s="8">
        <f t="shared" si="2"/>
        <v>-69.8112</v>
      </c>
      <c r="K1556" s="8" t="str">
        <f t="shared" si="3"/>
        <v>Oct</v>
      </c>
      <c r="L1556" s="8">
        <f t="shared" si="4"/>
        <v>2028</v>
      </c>
      <c r="N1556" s="8" t="str">
        <f t="array" ref="N1556">XLOOKUP(C1556,Customer_Dim!A:A,Customer_Dim!B:B,"Not Found")</f>
        <v>Sarah Stewart</v>
      </c>
      <c r="O1556" s="8" t="str">
        <f t="array" ref="O1556">XLOOKUP(C1556,Customer_Dim!A:A,Customer_Dim!E:E,"Not Found")</f>
        <v>East Richard</v>
      </c>
      <c r="P1556" s="8" t="str">
        <f t="array" ref="P1556">XLOOKUP(D1556,Product_Dim!A:A,Product_Dim!B:B,"Not Found")</f>
        <v>Women's Scarf Set</v>
      </c>
      <c r="Q1556" s="8" t="str">
        <f t="array" ref="Q1556">XLOOKUP(D1556,Product_Dim!A:A,Product_Dim!C:C,"Not Found")</f>
        <v>Clothing</v>
      </c>
      <c r="R1556" s="8" t="str">
        <f t="array" ref="R1556">XLOOKUP(E1556,Store_Dim!A:A,Store_Dim!B:B,"Not Found")</f>
        <v>East</v>
      </c>
      <c r="S1556" s="8" t="str">
        <f t="array" ref="S1556">XLOOKUP(E1556,Store_Dim!A:A,Store_Dim!D:D,"Not Found")</f>
        <v>Flagship</v>
      </c>
    </row>
    <row r="1557" ht="14.25" customHeight="1">
      <c r="A1557" s="8" t="s">
        <v>3510</v>
      </c>
      <c r="B1557" s="12">
        <v>47035.0</v>
      </c>
      <c r="C1557" s="8" t="s">
        <v>1020</v>
      </c>
      <c r="D1557" s="8" t="s">
        <v>1674</v>
      </c>
      <c r="E1557" s="8" t="s">
        <v>1917</v>
      </c>
      <c r="F1557" s="8">
        <v>4.0</v>
      </c>
      <c r="G1557" s="8">
        <v>998.2</v>
      </c>
      <c r="H1557" s="8">
        <v>0.15</v>
      </c>
      <c r="I1557" s="8">
        <f t="shared" si="1"/>
        <v>3992.8</v>
      </c>
      <c r="J1557" s="8">
        <f t="shared" si="2"/>
        <v>-598.77</v>
      </c>
      <c r="K1557" s="8" t="str">
        <f t="shared" si="3"/>
        <v>Oct</v>
      </c>
      <c r="L1557" s="8">
        <f t="shared" si="4"/>
        <v>2028</v>
      </c>
      <c r="N1557" s="8" t="str">
        <f t="array" ref="N1557">XLOOKUP(C1557,Customer_Dim!A:A,Customer_Dim!B:B,"Not Found")</f>
        <v>Casey Simpson</v>
      </c>
      <c r="O1557" s="8" t="str">
        <f t="array" ref="O1557">XLOOKUP(C1557,Customer_Dim!A:A,Customer_Dim!E:E,"Not Found")</f>
        <v>West Mathewside</v>
      </c>
      <c r="P1557" s="8" t="str">
        <f t="array" ref="P1557">XLOOKUP(D1557,Product_Dim!A:A,Product_Dim!B:B,"Not Found")</f>
        <v>Stainless Steel Cutlery Set</v>
      </c>
      <c r="Q1557" s="8" t="str">
        <f t="array" ref="Q1557">XLOOKUP(D1557,Product_Dim!A:A,Product_Dim!C:C,"Not Found")</f>
        <v>Home</v>
      </c>
      <c r="R1557" s="8" t="str">
        <f t="array" ref="R1557">XLOOKUP(E1557,Store_Dim!A:A,Store_Dim!B:B,"Not Found")</f>
        <v>East</v>
      </c>
      <c r="S1557" s="8" t="str">
        <f t="array" ref="S1557">XLOOKUP(E1557,Store_Dim!A:A,Store_Dim!D:D,"Not Found")</f>
        <v>Online</v>
      </c>
    </row>
    <row r="1558" ht="14.25" customHeight="1">
      <c r="A1558" s="8" t="s">
        <v>3511</v>
      </c>
      <c r="B1558" s="12">
        <v>47036.0</v>
      </c>
      <c r="C1558" s="8" t="s">
        <v>1532</v>
      </c>
      <c r="D1558" s="8" t="s">
        <v>1693</v>
      </c>
      <c r="E1558" s="8" t="s">
        <v>1899</v>
      </c>
      <c r="F1558" s="8">
        <v>1.0</v>
      </c>
      <c r="G1558" s="8">
        <v>887.38</v>
      </c>
      <c r="H1558" s="8">
        <v>0.01</v>
      </c>
      <c r="I1558" s="8">
        <f t="shared" si="1"/>
        <v>887.38</v>
      </c>
      <c r="J1558" s="8">
        <f t="shared" si="2"/>
        <v>-8.8638</v>
      </c>
      <c r="K1558" s="8" t="str">
        <f t="shared" si="3"/>
        <v>Oct</v>
      </c>
      <c r="L1558" s="8">
        <f t="shared" si="4"/>
        <v>2028</v>
      </c>
      <c r="N1558" s="8" t="str">
        <f t="array" ref="N1558">XLOOKUP(C1558,Customer_Dim!A:A,Customer_Dim!B:B,"Not Found")</f>
        <v>Amanda Powell</v>
      </c>
      <c r="O1558" s="8" t="str">
        <f t="array" ref="O1558">XLOOKUP(C1558,Customer_Dim!A:A,Customer_Dim!E:E,"Not Found")</f>
        <v>South William</v>
      </c>
      <c r="P1558" s="8" t="str">
        <f t="array" ref="P1558">XLOOKUP(D1558,Product_Dim!A:A,Product_Dim!B:B,"Not Found")</f>
        <v>Women's Summer Dress</v>
      </c>
      <c r="Q1558" s="8" t="str">
        <f t="array" ref="Q1558">XLOOKUP(D1558,Product_Dim!A:A,Product_Dim!C:C,"Not Found")</f>
        <v>Clothing</v>
      </c>
      <c r="R1558" s="8" t="str">
        <f t="array" ref="R1558">XLOOKUP(E1558,Store_Dim!A:A,Store_Dim!B:B,"Not Found")</f>
        <v>East</v>
      </c>
      <c r="S1558" s="8" t="str">
        <f t="array" ref="S1558">XLOOKUP(E1558,Store_Dim!A:A,Store_Dim!D:D,"Not Found")</f>
        <v>Flagship</v>
      </c>
    </row>
    <row r="1559" ht="14.25" customHeight="1">
      <c r="A1559" s="8" t="s">
        <v>3512</v>
      </c>
      <c r="B1559" s="12">
        <v>47037.0</v>
      </c>
      <c r="C1559" s="8" t="s">
        <v>999</v>
      </c>
      <c r="D1559" s="8" t="s">
        <v>1696</v>
      </c>
      <c r="E1559" s="8" t="s">
        <v>1929</v>
      </c>
      <c r="F1559" s="8">
        <v>4.0</v>
      </c>
      <c r="G1559" s="8">
        <v>332.97</v>
      </c>
      <c r="H1559" s="8">
        <v>0.28</v>
      </c>
      <c r="I1559" s="8">
        <f t="shared" si="1"/>
        <v>1331.88</v>
      </c>
      <c r="J1559" s="8">
        <f t="shared" si="2"/>
        <v>-372.6464</v>
      </c>
      <c r="K1559" s="8" t="str">
        <f t="shared" si="3"/>
        <v>Oct</v>
      </c>
      <c r="L1559" s="8">
        <f t="shared" si="4"/>
        <v>2028</v>
      </c>
      <c r="N1559" s="8" t="str">
        <f t="array" ref="N1559">XLOOKUP(C1559,Customer_Dim!A:A,Customer_Dim!B:B,"Not Found")</f>
        <v>Jason Mullins</v>
      </c>
      <c r="O1559" s="8" t="str">
        <f t="array" ref="O1559">XLOOKUP(C1559,Customer_Dim!A:A,Customer_Dim!E:E,"Not Found")</f>
        <v>Brianchester</v>
      </c>
      <c r="P1559" s="8" t="str">
        <f t="array" ref="P1559">XLOOKUP(D1559,Product_Dim!A:A,Product_Dim!B:B,"Not Found")</f>
        <v>Men's Casual Sneakers</v>
      </c>
      <c r="Q1559" s="8" t="str">
        <f t="array" ref="Q1559">XLOOKUP(D1559,Product_Dim!A:A,Product_Dim!C:C,"Not Found")</f>
        <v>Clothing</v>
      </c>
      <c r="R1559" s="8" t="str">
        <f t="array" ref="R1559">XLOOKUP(E1559,Store_Dim!A:A,Store_Dim!B:B,"Not Found")</f>
        <v>North</v>
      </c>
      <c r="S1559" s="8" t="str">
        <f t="array" ref="S1559">XLOOKUP(E1559,Store_Dim!A:A,Store_Dim!D:D,"Not Found")</f>
        <v>Online</v>
      </c>
    </row>
    <row r="1560" ht="14.25" customHeight="1">
      <c r="A1560" s="8" t="s">
        <v>3513</v>
      </c>
      <c r="B1560" s="12">
        <v>47038.0</v>
      </c>
      <c r="C1560" s="8" t="s">
        <v>102</v>
      </c>
      <c r="D1560" s="8" t="s">
        <v>1725</v>
      </c>
      <c r="E1560" s="8" t="s">
        <v>1899</v>
      </c>
      <c r="F1560" s="8">
        <v>2.0</v>
      </c>
      <c r="G1560" s="8">
        <v>157.91</v>
      </c>
      <c r="H1560" s="8">
        <v>0.09</v>
      </c>
      <c r="I1560" s="8">
        <f t="shared" si="1"/>
        <v>315.82</v>
      </c>
      <c r="J1560" s="8">
        <f t="shared" si="2"/>
        <v>-28.3338</v>
      </c>
      <c r="K1560" s="8" t="str">
        <f t="shared" si="3"/>
        <v>Oct</v>
      </c>
      <c r="L1560" s="8">
        <f t="shared" si="4"/>
        <v>2028</v>
      </c>
      <c r="N1560" s="8" t="str">
        <f t="array" ref="N1560">XLOOKUP(C1560,Customer_Dim!A:A,Customer_Dim!B:B,"Not Found")</f>
        <v>Jeff Martinez</v>
      </c>
      <c r="O1560" s="8" t="str">
        <f t="array" ref="O1560">XLOOKUP(C1560,Customer_Dim!A:A,Customer_Dim!E:E,"Not Found")</f>
        <v>Smithburgh</v>
      </c>
      <c r="P1560" s="8" t="str">
        <f t="array" ref="P1560">XLOOKUP(D1560,Product_Dim!A:A,Product_Dim!B:B,"Not Found")</f>
        <v>Men's Winter Jacket</v>
      </c>
      <c r="Q1560" s="8" t="str">
        <f t="array" ref="Q1560">XLOOKUP(D1560,Product_Dim!A:A,Product_Dim!C:C,"Not Found")</f>
        <v>Clothing</v>
      </c>
      <c r="R1560" s="8" t="str">
        <f t="array" ref="R1560">XLOOKUP(E1560,Store_Dim!A:A,Store_Dim!B:B,"Not Found")</f>
        <v>East</v>
      </c>
      <c r="S1560" s="8" t="str">
        <f t="array" ref="S1560">XLOOKUP(E1560,Store_Dim!A:A,Store_Dim!D:D,"Not Found")</f>
        <v>Flagship</v>
      </c>
    </row>
    <row r="1561" ht="14.25" customHeight="1">
      <c r="A1561" s="8" t="s">
        <v>3514</v>
      </c>
      <c r="B1561" s="12">
        <v>47039.0</v>
      </c>
      <c r="C1561" s="8" t="s">
        <v>1131</v>
      </c>
      <c r="D1561" s="8" t="s">
        <v>1613</v>
      </c>
      <c r="E1561" s="8" t="s">
        <v>1939</v>
      </c>
      <c r="F1561" s="8">
        <v>1.0</v>
      </c>
      <c r="G1561" s="8">
        <v>548.15</v>
      </c>
      <c r="H1561" s="8">
        <v>0.11</v>
      </c>
      <c r="I1561" s="8">
        <f t="shared" si="1"/>
        <v>548.15</v>
      </c>
      <c r="J1561" s="8">
        <f t="shared" si="2"/>
        <v>-60.1865</v>
      </c>
      <c r="K1561" s="8" t="str">
        <f t="shared" si="3"/>
        <v>Oct</v>
      </c>
      <c r="L1561" s="8">
        <f t="shared" si="4"/>
        <v>2028</v>
      </c>
      <c r="N1561" s="8" t="str">
        <f t="array" ref="N1561">XLOOKUP(C1561,Customer_Dim!A:A,Customer_Dim!B:B,"Not Found")</f>
        <v>Steve Hunt</v>
      </c>
      <c r="O1561" s="8" t="str">
        <f t="array" ref="O1561">XLOOKUP(C1561,Customer_Dim!A:A,Customer_Dim!E:E,"Not Found")</f>
        <v>North Richard</v>
      </c>
      <c r="P1561" s="8" t="str">
        <f t="array" ref="P1561">XLOOKUP(D1561,Product_Dim!A:A,Product_Dim!B:B,"Not Found")</f>
        <v>Hair Strengthening Shampoo</v>
      </c>
      <c r="Q1561" s="8" t="str">
        <f t="array" ref="Q1561">XLOOKUP(D1561,Product_Dim!A:A,Product_Dim!C:C,"Not Found")</f>
        <v>Beauty</v>
      </c>
      <c r="R1561" s="8" t="str">
        <f t="array" ref="R1561">XLOOKUP(E1561,Store_Dim!A:A,Store_Dim!B:B,"Not Found")</f>
        <v>East</v>
      </c>
      <c r="S1561" s="8" t="str">
        <f t="array" ref="S1561">XLOOKUP(E1561,Store_Dim!A:A,Store_Dim!D:D,"Not Found")</f>
        <v>Flagship</v>
      </c>
    </row>
    <row r="1562" ht="14.25" customHeight="1">
      <c r="A1562" s="8" t="s">
        <v>3515</v>
      </c>
      <c r="B1562" s="12">
        <v>47040.0</v>
      </c>
      <c r="C1562" s="8" t="s">
        <v>693</v>
      </c>
      <c r="D1562" s="8" t="s">
        <v>1732</v>
      </c>
      <c r="E1562" s="8" t="s">
        <v>1933</v>
      </c>
      <c r="F1562" s="8">
        <v>1.0</v>
      </c>
      <c r="G1562" s="8">
        <v>135.13</v>
      </c>
      <c r="H1562" s="8">
        <v>0.04</v>
      </c>
      <c r="I1562" s="8">
        <f t="shared" si="1"/>
        <v>135.13</v>
      </c>
      <c r="J1562" s="8">
        <f t="shared" si="2"/>
        <v>-5.3652</v>
      </c>
      <c r="K1562" s="8" t="str">
        <f t="shared" si="3"/>
        <v>Oct</v>
      </c>
      <c r="L1562" s="8">
        <f t="shared" si="4"/>
        <v>2028</v>
      </c>
      <c r="N1562" s="8" t="str">
        <f t="array" ref="N1562">XLOOKUP(C1562,Customer_Dim!A:A,Customer_Dim!B:B,"Not Found")</f>
        <v>Joan Johnson</v>
      </c>
      <c r="O1562" s="8" t="str">
        <f t="array" ref="O1562">XLOOKUP(C1562,Customer_Dim!A:A,Customer_Dim!E:E,"Not Found")</f>
        <v>Lake Josephport</v>
      </c>
      <c r="P1562" s="8" t="str">
        <f t="array" ref="P1562">XLOOKUP(D1562,Product_Dim!A:A,Product_Dim!B:B,"Not Found")</f>
        <v>Car Dashboard Phone Holder</v>
      </c>
      <c r="Q1562" s="8" t="str">
        <f t="array" ref="Q1562">XLOOKUP(D1562,Product_Dim!A:A,Product_Dim!C:C,"Not Found")</f>
        <v>Electronics</v>
      </c>
      <c r="R1562" s="8" t="str">
        <f t="array" ref="R1562">XLOOKUP(E1562,Store_Dim!A:A,Store_Dim!B:B,"Not Found")</f>
        <v>North</v>
      </c>
      <c r="S1562" s="8" t="str">
        <f t="array" ref="S1562">XLOOKUP(E1562,Store_Dim!A:A,Store_Dim!D:D,"Not Found")</f>
        <v>Flagship</v>
      </c>
    </row>
    <row r="1563" ht="14.25" customHeight="1">
      <c r="A1563" s="8" t="s">
        <v>3516</v>
      </c>
      <c r="B1563" s="12">
        <v>47041.0</v>
      </c>
      <c r="C1563" s="8" t="s">
        <v>723</v>
      </c>
      <c r="D1563" s="8" t="s">
        <v>1757</v>
      </c>
      <c r="E1563" s="8" t="s">
        <v>1910</v>
      </c>
      <c r="F1563" s="8">
        <v>3.0</v>
      </c>
      <c r="G1563" s="8">
        <v>579.26</v>
      </c>
      <c r="H1563" s="8">
        <v>0.19</v>
      </c>
      <c r="I1563" s="8">
        <f t="shared" si="1"/>
        <v>1737.78</v>
      </c>
      <c r="J1563" s="8">
        <f t="shared" si="2"/>
        <v>-329.9882</v>
      </c>
      <c r="K1563" s="8" t="str">
        <f t="shared" si="3"/>
        <v>Oct</v>
      </c>
      <c r="L1563" s="8">
        <f t="shared" si="4"/>
        <v>2028</v>
      </c>
      <c r="N1563" s="8" t="str">
        <f t="array" ref="N1563">XLOOKUP(C1563,Customer_Dim!A:A,Customer_Dim!B:B,"Not Found")</f>
        <v>Jordan Wells</v>
      </c>
      <c r="O1563" s="8" t="str">
        <f t="array" ref="O1563">XLOOKUP(C1563,Customer_Dim!A:A,Customer_Dim!E:E,"Not Found")</f>
        <v>Phillipschester   </v>
      </c>
      <c r="P1563" s="8" t="str">
        <f t="array" ref="P1563">XLOOKUP(D1563,Product_Dim!A:A,Product_Dim!B:B,"Not Found")</f>
        <v>Premium Blanket Throw</v>
      </c>
      <c r="Q1563" s="8" t="str">
        <f t="array" ref="Q1563">XLOOKUP(D1563,Product_Dim!A:A,Product_Dim!C:C,"Not Found")</f>
        <v>Home</v>
      </c>
      <c r="R1563" s="8" t="str">
        <f t="array" ref="R1563">XLOOKUP(E1563,Store_Dim!A:A,Store_Dim!B:B,"Not Found")</f>
        <v>North</v>
      </c>
      <c r="S1563" s="8" t="str">
        <f t="array" ref="S1563">XLOOKUP(E1563,Store_Dim!A:A,Store_Dim!D:D,"Not Found")</f>
        <v>Outlet</v>
      </c>
    </row>
    <row r="1564" ht="14.25" customHeight="1">
      <c r="A1564" s="8" t="s">
        <v>3517</v>
      </c>
      <c r="B1564" s="12">
        <v>47042.0</v>
      </c>
      <c r="C1564" s="8" t="s">
        <v>1230</v>
      </c>
      <c r="D1564" s="8" t="s">
        <v>1632</v>
      </c>
      <c r="E1564" s="8" t="s">
        <v>1899</v>
      </c>
      <c r="F1564" s="8">
        <v>1.0</v>
      </c>
      <c r="G1564" s="8">
        <v>465.63</v>
      </c>
      <c r="H1564" s="8">
        <v>0.25</v>
      </c>
      <c r="I1564" s="8">
        <f t="shared" si="1"/>
        <v>465.63</v>
      </c>
      <c r="J1564" s="8">
        <f t="shared" si="2"/>
        <v>-116.1575</v>
      </c>
      <c r="K1564" s="8" t="str">
        <f t="shared" si="3"/>
        <v>Oct</v>
      </c>
      <c r="L1564" s="8">
        <f t="shared" si="4"/>
        <v>2028</v>
      </c>
      <c r="N1564" s="8" t="str">
        <f t="array" ref="N1564">XLOOKUP(C1564,Customer_Dim!A:A,Customer_Dim!B:B,"Not Found")</f>
        <v>Cynthia Lopez</v>
      </c>
      <c r="O1564" s="8" t="str">
        <f t="array" ref="O1564">XLOOKUP(C1564,Customer_Dim!A:A,Customer_Dim!E:E,"Not Found")</f>
        <v>Joseland</v>
      </c>
      <c r="P1564" s="8" t="str">
        <f t="array" ref="P1564">XLOOKUP(D1564,Product_Dim!A:A,Product_Dim!B:B,"Not Found")</f>
        <v>Soccer Training Cone Set</v>
      </c>
      <c r="Q1564" s="8" t="str">
        <f t="array" ref="Q1564">XLOOKUP(D1564,Product_Dim!A:A,Product_Dim!C:C,"Not Found")</f>
        <v>Sports</v>
      </c>
      <c r="R1564" s="8" t="str">
        <f t="array" ref="R1564">XLOOKUP(E1564,Store_Dim!A:A,Store_Dim!B:B,"Not Found")</f>
        <v>East</v>
      </c>
      <c r="S1564" s="8" t="str">
        <f t="array" ref="S1564">XLOOKUP(E1564,Store_Dim!A:A,Store_Dim!D:D,"Not Found")</f>
        <v>Flagship</v>
      </c>
    </row>
    <row r="1565" ht="14.25" customHeight="1">
      <c r="A1565" s="8" t="s">
        <v>3518</v>
      </c>
      <c r="B1565" s="12">
        <v>47043.0</v>
      </c>
      <c r="C1565" s="8" t="s">
        <v>191</v>
      </c>
      <c r="D1565" s="8" t="s">
        <v>1818</v>
      </c>
      <c r="E1565" s="8" t="s">
        <v>1935</v>
      </c>
      <c r="F1565" s="8">
        <v>2.0</v>
      </c>
      <c r="G1565" s="8">
        <v>675.61</v>
      </c>
      <c r="H1565" s="8">
        <v>0.08</v>
      </c>
      <c r="I1565" s="8">
        <f t="shared" si="1"/>
        <v>1351.22</v>
      </c>
      <c r="J1565" s="8">
        <f t="shared" si="2"/>
        <v>-108.0176</v>
      </c>
      <c r="K1565" s="8" t="str">
        <f t="shared" si="3"/>
        <v>Oct</v>
      </c>
      <c r="L1565" s="8">
        <f t="shared" si="4"/>
        <v>2028</v>
      </c>
      <c r="N1565" s="8" t="str">
        <f t="array" ref="N1565">XLOOKUP(C1565,Customer_Dim!A:A,Customer_Dim!B:B,"Not Found")</f>
        <v>Gina Knight</v>
      </c>
      <c r="O1565" s="8" t="str">
        <f t="array" ref="O1565">XLOOKUP(C1565,Customer_Dim!A:A,Customer_Dim!E:E,"Not Found")</f>
        <v>Lake Roberthaven</v>
      </c>
      <c r="P1565" s="8" t="str">
        <f t="array" ref="P1565">XLOOKUP(D1565,Product_Dim!A:A,Product_Dim!B:B,"Not Found")</f>
        <v>Wireless Mouse</v>
      </c>
      <c r="Q1565" s="8" t="str">
        <f t="array" ref="Q1565">XLOOKUP(D1565,Product_Dim!A:A,Product_Dim!C:C,"Not Found")</f>
        <v>Electronics</v>
      </c>
      <c r="R1565" s="8" t="str">
        <f t="array" ref="R1565">XLOOKUP(E1565,Store_Dim!A:A,Store_Dim!B:B,"Not Found")</f>
        <v>West</v>
      </c>
      <c r="S1565" s="8" t="str">
        <f t="array" ref="S1565">XLOOKUP(E1565,Store_Dim!A:A,Store_Dim!D:D,"Not Found")</f>
        <v>Flagship</v>
      </c>
    </row>
    <row r="1566" ht="14.25" customHeight="1">
      <c r="A1566" s="8" t="s">
        <v>3519</v>
      </c>
      <c r="B1566" s="12">
        <v>47044.0</v>
      </c>
      <c r="C1566" s="8" t="s">
        <v>1308</v>
      </c>
      <c r="D1566" s="8" t="s">
        <v>1684</v>
      </c>
      <c r="E1566" s="8" t="s">
        <v>1917</v>
      </c>
      <c r="F1566" s="8">
        <v>1.0</v>
      </c>
      <c r="G1566" s="8">
        <v>718.99</v>
      </c>
      <c r="H1566" s="8">
        <v>0.08</v>
      </c>
      <c r="I1566" s="8">
        <f t="shared" si="1"/>
        <v>718.99</v>
      </c>
      <c r="J1566" s="8">
        <f t="shared" si="2"/>
        <v>-57.4392</v>
      </c>
      <c r="K1566" s="8" t="str">
        <f t="shared" si="3"/>
        <v>Oct</v>
      </c>
      <c r="L1566" s="8">
        <f t="shared" si="4"/>
        <v>2028</v>
      </c>
      <c r="N1566" s="8" t="str">
        <f t="array" ref="N1566">XLOOKUP(C1566,Customer_Dim!A:A,Customer_Dim!B:B,"Not Found")</f>
        <v>Jennifer Myers</v>
      </c>
      <c r="O1566" s="8" t="str">
        <f t="array" ref="O1566">XLOOKUP(C1566,Customer_Dim!A:A,Customer_Dim!E:E,"Not Found")</f>
        <v>Marthaborough</v>
      </c>
      <c r="P1566" s="8" t="str">
        <f t="array" ref="P1566">XLOOKUP(D1566,Product_Dim!A:A,Product_Dim!B:B,"Not Found")</f>
        <v>Modern Wall Clock</v>
      </c>
      <c r="Q1566" s="8" t="str">
        <f t="array" ref="Q1566">XLOOKUP(D1566,Product_Dim!A:A,Product_Dim!C:C,"Not Found")</f>
        <v>Home</v>
      </c>
      <c r="R1566" s="8" t="str">
        <f t="array" ref="R1566">XLOOKUP(E1566,Store_Dim!A:A,Store_Dim!B:B,"Not Found")</f>
        <v>East</v>
      </c>
      <c r="S1566" s="8" t="str">
        <f t="array" ref="S1566">XLOOKUP(E1566,Store_Dim!A:A,Store_Dim!D:D,"Not Found")</f>
        <v>Online</v>
      </c>
    </row>
    <row r="1567" ht="14.25" customHeight="1">
      <c r="A1567" s="8" t="s">
        <v>3520</v>
      </c>
      <c r="B1567" s="12">
        <v>47045.0</v>
      </c>
      <c r="C1567" s="8" t="s">
        <v>1191</v>
      </c>
      <c r="D1567" s="8" t="s">
        <v>1620</v>
      </c>
      <c r="E1567" s="8" t="s">
        <v>1926</v>
      </c>
      <c r="F1567" s="8">
        <v>2.0</v>
      </c>
      <c r="G1567" s="8">
        <v>675.65</v>
      </c>
      <c r="H1567" s="8">
        <v>0.2</v>
      </c>
      <c r="I1567" s="8">
        <f t="shared" si="1"/>
        <v>1351.3</v>
      </c>
      <c r="J1567" s="8">
        <f t="shared" si="2"/>
        <v>-270.06</v>
      </c>
      <c r="K1567" s="8" t="str">
        <f t="shared" si="3"/>
        <v>Oct</v>
      </c>
      <c r="L1567" s="8">
        <f t="shared" si="4"/>
        <v>2028</v>
      </c>
      <c r="N1567" s="8" t="str">
        <f t="array" ref="N1567">XLOOKUP(C1567,Customer_Dim!A:A,Customer_Dim!B:B,"Not Found")</f>
        <v>Michele Burke</v>
      </c>
      <c r="O1567" s="8" t="str">
        <f t="array" ref="O1567">XLOOKUP(C1567,Customer_Dim!A:A,Customer_Dim!E:E,"Not Found")</f>
        <v>Chambersberg</v>
      </c>
      <c r="P1567" s="8" t="str">
        <f t="array" ref="P1567">XLOOKUP(D1567,Product_Dim!A:A,Product_Dim!B:B,"Not Found")</f>
        <v>Decorative Wall Mirror</v>
      </c>
      <c r="Q1567" s="8" t="str">
        <f t="array" ref="Q1567">XLOOKUP(D1567,Product_Dim!A:A,Product_Dim!C:C,"Not Found")</f>
        <v>Home</v>
      </c>
      <c r="R1567" s="8" t="str">
        <f t="array" ref="R1567">XLOOKUP(E1567,Store_Dim!A:A,Store_Dim!B:B,"Not Found")</f>
        <v>East</v>
      </c>
      <c r="S1567" s="8" t="str">
        <f t="array" ref="S1567">XLOOKUP(E1567,Store_Dim!A:A,Store_Dim!D:D,"Not Found")</f>
        <v>Online</v>
      </c>
    </row>
    <row r="1568" ht="14.25" customHeight="1">
      <c r="A1568" s="8" t="s">
        <v>3521</v>
      </c>
      <c r="B1568" s="12">
        <v>47046.0</v>
      </c>
      <c r="C1568" s="8" t="s">
        <v>1071</v>
      </c>
      <c r="D1568" s="8" t="s">
        <v>1875</v>
      </c>
      <c r="E1568" s="8" t="s">
        <v>1933</v>
      </c>
      <c r="F1568" s="8">
        <v>4.0</v>
      </c>
      <c r="G1568" s="8">
        <v>284.24</v>
      </c>
      <c r="H1568" s="8">
        <v>0.1</v>
      </c>
      <c r="I1568" s="8">
        <f t="shared" si="1"/>
        <v>1136.96</v>
      </c>
      <c r="J1568" s="8">
        <f t="shared" si="2"/>
        <v>-113.596</v>
      </c>
      <c r="K1568" s="8" t="str">
        <f t="shared" si="3"/>
        <v>Oct</v>
      </c>
      <c r="L1568" s="8">
        <f t="shared" si="4"/>
        <v>2028</v>
      </c>
      <c r="N1568" s="8" t="str">
        <f t="array" ref="N1568">XLOOKUP(C1568,Customer_Dim!A:A,Customer_Dim!B:B,"Not Found")</f>
        <v>John Jones</v>
      </c>
      <c r="O1568" s="8" t="str">
        <f t="array" ref="O1568">XLOOKUP(C1568,Customer_Dim!A:A,Customer_Dim!E:E,"Not Found")</f>
        <v>North Michaelborough</v>
      </c>
      <c r="P1568" s="8" t="str">
        <f t="array" ref="P1568">XLOOKUP(D1568,Product_Dim!A:A,Product_Dim!B:B,"Not Found")</f>
        <v>Sports Stopwatch Basic</v>
      </c>
      <c r="Q1568" s="8" t="str">
        <f t="array" ref="Q1568">XLOOKUP(D1568,Product_Dim!A:A,Product_Dim!C:C,"Not Found")</f>
        <v>Sports</v>
      </c>
      <c r="R1568" s="8" t="str">
        <f t="array" ref="R1568">XLOOKUP(E1568,Store_Dim!A:A,Store_Dim!B:B,"Not Found")</f>
        <v>North</v>
      </c>
      <c r="S1568" s="8" t="str">
        <f t="array" ref="S1568">XLOOKUP(E1568,Store_Dim!A:A,Store_Dim!D:D,"Not Found")</f>
        <v>Flagship</v>
      </c>
    </row>
    <row r="1569" ht="14.25" customHeight="1">
      <c r="A1569" s="8" t="s">
        <v>3522</v>
      </c>
      <c r="B1569" s="12">
        <v>47047.0</v>
      </c>
      <c r="C1569" s="8" t="s">
        <v>705</v>
      </c>
      <c r="D1569" s="8" t="s">
        <v>1567</v>
      </c>
      <c r="E1569" s="8" t="s">
        <v>1910</v>
      </c>
      <c r="F1569" s="8">
        <v>1.0</v>
      </c>
      <c r="G1569" s="8">
        <v>94.26</v>
      </c>
      <c r="H1569" s="8">
        <v>0.18</v>
      </c>
      <c r="I1569" s="8">
        <f t="shared" si="1"/>
        <v>94.26</v>
      </c>
      <c r="J1569" s="8">
        <f t="shared" si="2"/>
        <v>-16.7868</v>
      </c>
      <c r="K1569" s="8" t="str">
        <f t="shared" si="3"/>
        <v>Oct</v>
      </c>
      <c r="L1569" s="8">
        <f t="shared" si="4"/>
        <v>2028</v>
      </c>
      <c r="N1569" s="8" t="str">
        <f t="array" ref="N1569">XLOOKUP(C1569,Customer_Dim!A:A,Customer_Dim!B:B,"Not Found")</f>
        <v>Stuart Johnson</v>
      </c>
      <c r="O1569" s="8" t="str">
        <f t="array" ref="O1569">XLOOKUP(C1569,Customer_Dim!A:A,Customer_Dim!E:E,"Not Found")</f>
        <v>West Markport</v>
      </c>
      <c r="P1569" s="8" t="str">
        <f t="array" ref="P1569">XLOOKUP(D1569,Product_Dim!A:A,Product_Dim!B:B,"Not Found")</f>
        <v>Men's Graphic T-Shirt</v>
      </c>
      <c r="Q1569" s="8" t="str">
        <f t="array" ref="Q1569">XLOOKUP(D1569,Product_Dim!A:A,Product_Dim!C:C,"Not Found")</f>
        <v>Clothing</v>
      </c>
      <c r="R1569" s="8" t="str">
        <f t="array" ref="R1569">XLOOKUP(E1569,Store_Dim!A:A,Store_Dim!B:B,"Not Found")</f>
        <v>North</v>
      </c>
      <c r="S1569" s="8" t="str">
        <f t="array" ref="S1569">XLOOKUP(E1569,Store_Dim!A:A,Store_Dim!D:D,"Not Found")</f>
        <v>Outlet</v>
      </c>
    </row>
    <row r="1570" ht="14.25" customHeight="1">
      <c r="A1570" s="8" t="s">
        <v>3523</v>
      </c>
      <c r="B1570" s="12">
        <v>47048.0</v>
      </c>
      <c r="C1570" s="8" t="s">
        <v>1308</v>
      </c>
      <c r="D1570" s="8" t="s">
        <v>1587</v>
      </c>
      <c r="E1570" s="8" t="s">
        <v>1926</v>
      </c>
      <c r="F1570" s="8">
        <v>4.0</v>
      </c>
      <c r="G1570" s="8">
        <v>458.58</v>
      </c>
      <c r="H1570" s="8">
        <v>0.29</v>
      </c>
      <c r="I1570" s="8">
        <f t="shared" si="1"/>
        <v>1834.32</v>
      </c>
      <c r="J1570" s="8">
        <f t="shared" si="2"/>
        <v>-531.6628</v>
      </c>
      <c r="K1570" s="8" t="str">
        <f t="shared" si="3"/>
        <v>Oct</v>
      </c>
      <c r="L1570" s="8">
        <f t="shared" si="4"/>
        <v>2028</v>
      </c>
      <c r="N1570" s="8" t="str">
        <f t="array" ref="N1570">XLOOKUP(C1570,Customer_Dim!A:A,Customer_Dim!B:B,"Not Found")</f>
        <v>Jennifer Myers</v>
      </c>
      <c r="O1570" s="8" t="str">
        <f t="array" ref="O1570">XLOOKUP(C1570,Customer_Dim!A:A,Customer_Dim!E:E,"Not Found")</f>
        <v>Marthaborough</v>
      </c>
      <c r="P1570" s="8" t="str">
        <f t="array" ref="P1570">XLOOKUP(D1570,Product_Dim!A:A,Product_Dim!B:B,"Not Found")</f>
        <v>Herbal Face Moisturizer</v>
      </c>
      <c r="Q1570" s="8" t="str">
        <f t="array" ref="Q1570">XLOOKUP(D1570,Product_Dim!A:A,Product_Dim!C:C,"Not Found")</f>
        <v>Beauty</v>
      </c>
      <c r="R1570" s="8" t="str">
        <f t="array" ref="R1570">XLOOKUP(E1570,Store_Dim!A:A,Store_Dim!B:B,"Not Found")</f>
        <v>East</v>
      </c>
      <c r="S1570" s="8" t="str">
        <f t="array" ref="S1570">XLOOKUP(E1570,Store_Dim!A:A,Store_Dim!D:D,"Not Found")</f>
        <v>Online</v>
      </c>
    </row>
    <row r="1571" ht="14.25" customHeight="1">
      <c r="A1571" s="8" t="s">
        <v>3524</v>
      </c>
      <c r="B1571" s="12">
        <v>47049.0</v>
      </c>
      <c r="C1571" s="8" t="s">
        <v>406</v>
      </c>
      <c r="D1571" s="8" t="s">
        <v>1784</v>
      </c>
      <c r="E1571" s="8" t="s">
        <v>1926</v>
      </c>
      <c r="F1571" s="8">
        <v>4.0</v>
      </c>
      <c r="G1571" s="8">
        <v>704.49</v>
      </c>
      <c r="H1571" s="8">
        <v>0.05</v>
      </c>
      <c r="I1571" s="8">
        <f t="shared" si="1"/>
        <v>2817.96</v>
      </c>
      <c r="J1571" s="8">
        <f t="shared" si="2"/>
        <v>-140.848</v>
      </c>
      <c r="K1571" s="8" t="str">
        <f t="shared" si="3"/>
        <v>Oct</v>
      </c>
      <c r="L1571" s="8">
        <f t="shared" si="4"/>
        <v>2028</v>
      </c>
      <c r="N1571" s="8" t="str">
        <f t="array" ref="N1571">XLOOKUP(C1571,Customer_Dim!A:A,Customer_Dim!B:B,"Not Found")</f>
        <v>Edward Hall</v>
      </c>
      <c r="O1571" s="8" t="str">
        <f t="array" ref="O1571">XLOOKUP(C1571,Customer_Dim!A:A,Customer_Dim!E:E,"Not Found")</f>
        <v>New William</v>
      </c>
      <c r="P1571" s="8" t="str">
        <f t="array" ref="P1571">XLOOKUP(D1571,Product_Dim!A:A,Product_Dim!B:B,"Not Found")</f>
        <v>Adjustable Dumbbells 20kg</v>
      </c>
      <c r="Q1571" s="8" t="str">
        <f t="array" ref="Q1571">XLOOKUP(D1571,Product_Dim!A:A,Product_Dim!C:C,"Not Found")</f>
        <v>Sports</v>
      </c>
      <c r="R1571" s="8" t="str">
        <f t="array" ref="R1571">XLOOKUP(E1571,Store_Dim!A:A,Store_Dim!B:B,"Not Found")</f>
        <v>East</v>
      </c>
      <c r="S1571" s="8" t="str">
        <f t="array" ref="S1571">XLOOKUP(E1571,Store_Dim!A:A,Store_Dim!D:D,"Not Found")</f>
        <v>Online</v>
      </c>
    </row>
    <row r="1572" ht="14.25" customHeight="1">
      <c r="A1572" s="8" t="s">
        <v>3525</v>
      </c>
      <c r="B1572" s="12">
        <v>47050.0</v>
      </c>
      <c r="C1572" s="8" t="s">
        <v>140</v>
      </c>
      <c r="D1572" s="8" t="s">
        <v>1665</v>
      </c>
      <c r="E1572" s="8" t="s">
        <v>1941</v>
      </c>
      <c r="F1572" s="8">
        <v>4.0</v>
      </c>
      <c r="G1572" s="8">
        <v>822.32</v>
      </c>
      <c r="H1572" s="8">
        <v>0.26</v>
      </c>
      <c r="I1572" s="8">
        <f t="shared" si="1"/>
        <v>3289.28</v>
      </c>
      <c r="J1572" s="8">
        <f t="shared" si="2"/>
        <v>-854.9528</v>
      </c>
      <c r="K1572" s="8" t="str">
        <f t="shared" si="3"/>
        <v>Oct</v>
      </c>
      <c r="L1572" s="8">
        <f t="shared" si="4"/>
        <v>2028</v>
      </c>
      <c r="N1572" s="8" t="str">
        <f t="array" ref="N1572">XLOOKUP(C1572,Customer_Dim!A:A,Customer_Dim!B:B,"Not Found")</f>
        <v>Mike Jennings</v>
      </c>
      <c r="O1572" s="8" t="str">
        <f t="array" ref="O1572">XLOOKUP(C1572,Customer_Dim!A:A,Customer_Dim!E:E,"Not Found")</f>
        <v>Fostermouth</v>
      </c>
      <c r="P1572" s="8" t="str">
        <f t="array" ref="P1572">XLOOKUP(D1572,Product_Dim!A:A,Product_Dim!B:B,"Not Found")</f>
        <v>Decorative Floor Vase</v>
      </c>
      <c r="Q1572" s="8" t="str">
        <f t="array" ref="Q1572">XLOOKUP(D1572,Product_Dim!A:A,Product_Dim!C:C,"Not Found")</f>
        <v>Home</v>
      </c>
      <c r="R1572" s="8" t="str">
        <f t="array" ref="R1572">XLOOKUP(E1572,Store_Dim!A:A,Store_Dim!B:B,"Not Found")</f>
        <v>East</v>
      </c>
      <c r="S1572" s="8" t="str">
        <f t="array" ref="S1572">XLOOKUP(E1572,Store_Dim!A:A,Store_Dim!D:D,"Not Found")</f>
        <v>Online</v>
      </c>
    </row>
    <row r="1573" ht="14.25" customHeight="1">
      <c r="A1573" s="8" t="s">
        <v>3526</v>
      </c>
      <c r="B1573" s="12">
        <v>47051.0</v>
      </c>
      <c r="C1573" s="8" t="s">
        <v>800</v>
      </c>
      <c r="D1573" s="8" t="s">
        <v>2052</v>
      </c>
      <c r="E1573" s="8" t="s">
        <v>1931</v>
      </c>
      <c r="F1573" s="8">
        <v>4.0</v>
      </c>
      <c r="G1573" s="8">
        <v>785.41</v>
      </c>
      <c r="H1573" s="8">
        <v>0.13</v>
      </c>
      <c r="I1573" s="8">
        <f t="shared" si="1"/>
        <v>3141.64</v>
      </c>
      <c r="J1573" s="8">
        <f t="shared" si="2"/>
        <v>-408.2832</v>
      </c>
      <c r="K1573" s="8" t="str">
        <f t="shared" si="3"/>
        <v>Oct</v>
      </c>
      <c r="L1573" s="8">
        <f t="shared" si="4"/>
        <v>2028</v>
      </c>
      <c r="N1573" s="8" t="str">
        <f t="array" ref="N1573">XLOOKUP(C1573,Customer_Dim!A:A,Customer_Dim!B:B,"Not Found")</f>
        <v>Laura Soto</v>
      </c>
      <c r="O1573" s="8" t="str">
        <f t="array" ref="O1573">XLOOKUP(C1573,Customer_Dim!A:A,Customer_Dim!E:E,"Not Found")</f>
        <v>Rodriguezton</v>
      </c>
      <c r="P1573" s="8" t="str">
        <f t="array" ref="P1573">XLOOKUP(D1573,Product_Dim!A:A,Product_Dim!B:B,"Not Found")</f>
        <v>Not Found</v>
      </c>
      <c r="Q1573" s="8" t="str">
        <f t="array" ref="Q1573">XLOOKUP(D1573,Product_Dim!A:A,Product_Dim!C:C,"Not Found")</f>
        <v>Not Found</v>
      </c>
      <c r="R1573" s="8" t="str">
        <f t="array" ref="R1573">XLOOKUP(E1573,Store_Dim!A:A,Store_Dim!B:B,"Not Found")</f>
        <v>East</v>
      </c>
      <c r="S1573" s="8" t="str">
        <f t="array" ref="S1573">XLOOKUP(E1573,Store_Dim!A:A,Store_Dim!D:D,"Not Found")</f>
        <v>Flagship</v>
      </c>
    </row>
    <row r="1574" ht="14.25" customHeight="1">
      <c r="A1574" s="8" t="s">
        <v>3527</v>
      </c>
      <c r="B1574" s="12">
        <v>47052.0</v>
      </c>
      <c r="C1574" s="8" t="s">
        <v>137</v>
      </c>
      <c r="D1574" s="8" t="s">
        <v>1703</v>
      </c>
      <c r="E1574" s="8" t="s">
        <v>1932</v>
      </c>
      <c r="F1574" s="8">
        <v>1.0</v>
      </c>
      <c r="G1574" s="8">
        <v>405.8</v>
      </c>
      <c r="H1574" s="8">
        <v>0.11</v>
      </c>
      <c r="I1574" s="8">
        <f t="shared" si="1"/>
        <v>405.8</v>
      </c>
      <c r="J1574" s="8">
        <f t="shared" si="2"/>
        <v>-44.528</v>
      </c>
      <c r="K1574" s="8" t="str">
        <f t="shared" si="3"/>
        <v>Oct</v>
      </c>
      <c r="L1574" s="8">
        <f t="shared" si="4"/>
        <v>2028</v>
      </c>
      <c r="N1574" s="8" t="str">
        <f t="array" ref="N1574">XLOOKUP(C1574,Customer_Dim!A:A,Customer_Dim!B:B,"Not Found")</f>
        <v>Sarah Vance</v>
      </c>
      <c r="O1574" s="8" t="str">
        <f t="array" ref="O1574">XLOOKUP(C1574,Customer_Dim!A:A,Customer_Dim!E:E,"Not Found")</f>
        <v>Johnsonville</v>
      </c>
      <c r="P1574" s="8" t="str">
        <f t="array" ref="P1574">XLOOKUP(D1574,Product_Dim!A:A,Product_Dim!B:B,"Not Found")</f>
        <v>Portable Power Bank</v>
      </c>
      <c r="Q1574" s="8" t="str">
        <f t="array" ref="Q1574">XLOOKUP(D1574,Product_Dim!A:A,Product_Dim!C:C,"Not Found")</f>
        <v>Electronics</v>
      </c>
      <c r="R1574" s="8" t="str">
        <f t="array" ref="R1574">XLOOKUP(E1574,Store_Dim!A:A,Store_Dim!B:B,"Not Found")</f>
        <v>South</v>
      </c>
      <c r="S1574" s="8" t="str">
        <f t="array" ref="S1574">XLOOKUP(E1574,Store_Dim!A:A,Store_Dim!D:D,"Not Found")</f>
        <v>Outlet</v>
      </c>
    </row>
    <row r="1575" ht="14.25" customHeight="1">
      <c r="A1575" s="8" t="s">
        <v>3528</v>
      </c>
      <c r="B1575" s="12">
        <v>47053.0</v>
      </c>
      <c r="C1575" s="8" t="s">
        <v>1359</v>
      </c>
      <c r="D1575" s="8" t="s">
        <v>1863</v>
      </c>
      <c r="E1575" s="8" t="s">
        <v>1924</v>
      </c>
      <c r="F1575" s="8">
        <v>2.0</v>
      </c>
      <c r="G1575" s="8">
        <v>976.83</v>
      </c>
      <c r="H1575" s="8">
        <v>0.1</v>
      </c>
      <c r="I1575" s="8">
        <f t="shared" si="1"/>
        <v>1953.66</v>
      </c>
      <c r="J1575" s="8">
        <f t="shared" si="2"/>
        <v>-195.266</v>
      </c>
      <c r="K1575" s="8" t="str">
        <f t="shared" si="3"/>
        <v>Oct</v>
      </c>
      <c r="L1575" s="8">
        <f t="shared" si="4"/>
        <v>2028</v>
      </c>
      <c r="N1575" s="8" t="str">
        <f t="array" ref="N1575">XLOOKUP(C1575,Customer_Dim!A:A,Customer_Dim!B:B,"Not Found")</f>
        <v>Thomas Moore</v>
      </c>
      <c r="O1575" s="8" t="str">
        <f t="array" ref="O1575">XLOOKUP(C1575,Customer_Dim!A:A,Customer_Dim!E:E,"Not Found")</f>
        <v>Williamsberg</v>
      </c>
      <c r="P1575" s="8" t="str">
        <f t="array" ref="P1575">XLOOKUP(D1575,Product_Dim!A:A,Product_Dim!B:B,"Not Found")</f>
        <v>Women's High Heels</v>
      </c>
      <c r="Q1575" s="8" t="str">
        <f t="array" ref="Q1575">XLOOKUP(D1575,Product_Dim!A:A,Product_Dim!C:C,"Not Found")</f>
        <v>Clothing</v>
      </c>
      <c r="R1575" s="8" t="str">
        <f t="array" ref="R1575">XLOOKUP(E1575,Store_Dim!A:A,Store_Dim!B:B,"Not Found")</f>
        <v>South</v>
      </c>
      <c r="S1575" s="8" t="str">
        <f t="array" ref="S1575">XLOOKUP(E1575,Store_Dim!A:A,Store_Dim!D:D,"Not Found")</f>
        <v>Flagship</v>
      </c>
    </row>
    <row r="1576" ht="14.25" customHeight="1">
      <c r="A1576" s="8" t="s">
        <v>3529</v>
      </c>
      <c r="B1576" s="12">
        <v>47054.0</v>
      </c>
      <c r="C1576" s="8" t="s">
        <v>884</v>
      </c>
      <c r="D1576" s="8" t="s">
        <v>1781</v>
      </c>
      <c r="E1576" s="8" t="s">
        <v>1906</v>
      </c>
      <c r="F1576" s="8">
        <v>1.0</v>
      </c>
      <c r="G1576" s="8">
        <v>644.15</v>
      </c>
      <c r="H1576" s="8">
        <v>0.06</v>
      </c>
      <c r="I1576" s="8">
        <f t="shared" si="1"/>
        <v>644.15</v>
      </c>
      <c r="J1576" s="8">
        <f t="shared" si="2"/>
        <v>-38.589</v>
      </c>
      <c r="K1576" s="8" t="str">
        <f t="shared" si="3"/>
        <v>Oct</v>
      </c>
      <c r="L1576" s="8">
        <f t="shared" si="4"/>
        <v>2028</v>
      </c>
      <c r="N1576" s="8" t="str">
        <f t="array" ref="N1576">XLOOKUP(C1576,Customer_Dim!A:A,Customer_Dim!B:B,"Not Found")</f>
        <v>Samantha Robinson</v>
      </c>
      <c r="O1576" s="8" t="str">
        <f t="array" ref="O1576">XLOOKUP(C1576,Customer_Dim!A:A,Customer_Dim!E:E,"Not Found")</f>
        <v>North Roy</v>
      </c>
      <c r="P1576" s="8" t="str">
        <f t="array" ref="P1576">XLOOKUP(D1576,Product_Dim!A:A,Product_Dim!B:B,"Not Found")</f>
        <v>Matte Lipstick Set</v>
      </c>
      <c r="Q1576" s="8" t="str">
        <f t="array" ref="Q1576">XLOOKUP(D1576,Product_Dim!A:A,Product_Dim!C:C,"Not Found")</f>
        <v>Beauty</v>
      </c>
      <c r="R1576" s="8" t="str">
        <f t="array" ref="R1576">XLOOKUP(E1576,Store_Dim!A:A,Store_Dim!B:B,"Not Found")</f>
        <v>South</v>
      </c>
      <c r="S1576" s="8" t="str">
        <f t="array" ref="S1576">XLOOKUP(E1576,Store_Dim!A:A,Store_Dim!D:D,"Not Found")</f>
        <v>Outlet</v>
      </c>
    </row>
    <row r="1577" ht="14.25" customHeight="1">
      <c r="A1577" s="8" t="s">
        <v>3530</v>
      </c>
      <c r="B1577" s="12">
        <v>47055.0</v>
      </c>
      <c r="C1577" s="8" t="s">
        <v>1074</v>
      </c>
      <c r="D1577" s="8" t="s">
        <v>1790</v>
      </c>
      <c r="E1577" s="8" t="s">
        <v>1931</v>
      </c>
      <c r="F1577" s="8">
        <v>1.0</v>
      </c>
      <c r="G1577" s="8">
        <v>470.55</v>
      </c>
      <c r="H1577" s="8">
        <v>0.23</v>
      </c>
      <c r="I1577" s="8">
        <f t="shared" si="1"/>
        <v>470.55</v>
      </c>
      <c r="J1577" s="8">
        <f t="shared" si="2"/>
        <v>-107.9965</v>
      </c>
      <c r="K1577" s="8" t="str">
        <f t="shared" si="3"/>
        <v>Oct</v>
      </c>
      <c r="L1577" s="8">
        <f t="shared" si="4"/>
        <v>2028</v>
      </c>
      <c r="N1577" s="8" t="str">
        <f t="array" ref="N1577">XLOOKUP(C1577,Customer_Dim!A:A,Customer_Dim!B:B,"Not Found")</f>
        <v>Carol Lewis</v>
      </c>
      <c r="O1577" s="8" t="str">
        <f t="array" ref="O1577">XLOOKUP(C1577,Customer_Dim!A:A,Customer_Dim!E:E,"Not Found")</f>
        <v>Ryanport</v>
      </c>
      <c r="P1577" s="8" t="str">
        <f t="array" ref="P1577">XLOOKUP(D1577,Product_Dim!A:A,Product_Dim!B:B,"Not Found")</f>
        <v>Smart LED Light Strip</v>
      </c>
      <c r="Q1577" s="8" t="str">
        <f t="array" ref="Q1577">XLOOKUP(D1577,Product_Dim!A:A,Product_Dim!C:C,"Not Found")</f>
        <v>Electronics</v>
      </c>
      <c r="R1577" s="8" t="str">
        <f t="array" ref="R1577">XLOOKUP(E1577,Store_Dim!A:A,Store_Dim!B:B,"Not Found")</f>
        <v>East</v>
      </c>
      <c r="S1577" s="8" t="str">
        <f t="array" ref="S1577">XLOOKUP(E1577,Store_Dim!A:A,Store_Dim!D:D,"Not Found")</f>
        <v>Flagship</v>
      </c>
    </row>
    <row r="1578" ht="14.25" customHeight="1">
      <c r="A1578" s="8" t="s">
        <v>3531</v>
      </c>
      <c r="B1578" s="12">
        <v>47056.0</v>
      </c>
      <c r="C1578" s="8" t="s">
        <v>1488</v>
      </c>
      <c r="D1578" s="8" t="s">
        <v>1592</v>
      </c>
      <c r="E1578" s="8" t="s">
        <v>1917</v>
      </c>
      <c r="F1578" s="8">
        <v>3.0</v>
      </c>
      <c r="G1578" s="8">
        <v>598.82</v>
      </c>
      <c r="H1578" s="8">
        <v>0.19</v>
      </c>
      <c r="I1578" s="8">
        <f t="shared" si="1"/>
        <v>1796.46</v>
      </c>
      <c r="J1578" s="8">
        <f t="shared" si="2"/>
        <v>-341.1374</v>
      </c>
      <c r="K1578" s="8" t="str">
        <f t="shared" si="3"/>
        <v>Oct</v>
      </c>
      <c r="L1578" s="8">
        <f t="shared" si="4"/>
        <v>2028</v>
      </c>
      <c r="N1578" s="8" t="str">
        <f t="array" ref="N1578">XLOOKUP(C1578,Customer_Dim!A:A,Customer_Dim!B:B,"Not Found")</f>
        <v>Earl Smith DDS</v>
      </c>
      <c r="O1578" s="8" t="str">
        <f t="array" ref="O1578">XLOOKUP(C1578,Customer_Dim!A:A,Customer_Dim!E:E,"Not Found")</f>
        <v>West Sarah</v>
      </c>
      <c r="P1578" s="8" t="str">
        <f t="array" ref="P1578">XLOOKUP(D1578,Product_Dim!A:A,Product_Dim!B:B,"Not Found")</f>
        <v>LED Table Lamp</v>
      </c>
      <c r="Q1578" s="8" t="str">
        <f t="array" ref="Q1578">XLOOKUP(D1578,Product_Dim!A:A,Product_Dim!C:C,"Not Found")</f>
        <v>Home</v>
      </c>
      <c r="R1578" s="8" t="str">
        <f t="array" ref="R1578">XLOOKUP(E1578,Store_Dim!A:A,Store_Dim!B:B,"Not Found")</f>
        <v>East</v>
      </c>
      <c r="S1578" s="8" t="str">
        <f t="array" ref="S1578">XLOOKUP(E1578,Store_Dim!A:A,Store_Dim!D:D,"Not Found")</f>
        <v>Online</v>
      </c>
    </row>
    <row r="1579" ht="14.25" customHeight="1">
      <c r="A1579" s="8" t="s">
        <v>3532</v>
      </c>
      <c r="B1579" s="12">
        <v>47057.0</v>
      </c>
      <c r="C1579" s="8" t="s">
        <v>370</v>
      </c>
      <c r="D1579" s="8" t="s">
        <v>1642</v>
      </c>
      <c r="E1579" s="8" t="s">
        <v>1929</v>
      </c>
      <c r="F1579" s="8">
        <v>4.0</v>
      </c>
      <c r="G1579" s="8">
        <v>659.17</v>
      </c>
      <c r="H1579" s="8">
        <v>0.12</v>
      </c>
      <c r="I1579" s="8">
        <f t="shared" si="1"/>
        <v>2636.68</v>
      </c>
      <c r="J1579" s="8">
        <f t="shared" si="2"/>
        <v>-316.2816</v>
      </c>
      <c r="K1579" s="8" t="str">
        <f t="shared" si="3"/>
        <v>Oct</v>
      </c>
      <c r="L1579" s="8">
        <f t="shared" si="4"/>
        <v>2028</v>
      </c>
      <c r="N1579" s="8" t="str">
        <f t="array" ref="N1579">XLOOKUP(C1579,Customer_Dim!A:A,Customer_Dim!B:B,"Not Found")</f>
        <v>Colleen Maynard</v>
      </c>
      <c r="O1579" s="8" t="str">
        <f t="array" ref="O1579">XLOOKUP(C1579,Customer_Dim!A:A,Customer_Dim!E:E,"Not Found")</f>
        <v>Singletonmouth</v>
      </c>
      <c r="P1579" s="8" t="str">
        <f t="array" ref="P1579">XLOOKUP(D1579,Product_Dim!A:A,Product_Dim!B:B,"Not Found")</f>
        <v>Outdoor Sports Water Bottle</v>
      </c>
      <c r="Q1579" s="8" t="str">
        <f t="array" ref="Q1579">XLOOKUP(D1579,Product_Dim!A:A,Product_Dim!C:C,"Not Found")</f>
        <v>Sports</v>
      </c>
      <c r="R1579" s="8" t="str">
        <f t="array" ref="R1579">XLOOKUP(E1579,Store_Dim!A:A,Store_Dim!B:B,"Not Found")</f>
        <v>North</v>
      </c>
      <c r="S1579" s="8" t="str">
        <f t="array" ref="S1579">XLOOKUP(E1579,Store_Dim!A:A,Store_Dim!D:D,"Not Found")</f>
        <v>Online</v>
      </c>
    </row>
    <row r="1580" ht="14.25" customHeight="1">
      <c r="A1580" s="8" t="s">
        <v>3533</v>
      </c>
      <c r="B1580" s="12">
        <v>47058.0</v>
      </c>
      <c r="C1580" s="8" t="s">
        <v>379</v>
      </c>
      <c r="D1580" s="8" t="s">
        <v>1725</v>
      </c>
      <c r="E1580" s="8" t="s">
        <v>1903</v>
      </c>
      <c r="F1580" s="8">
        <v>2.0</v>
      </c>
      <c r="G1580" s="8">
        <v>216.02</v>
      </c>
      <c r="H1580" s="8">
        <v>0.25</v>
      </c>
      <c r="I1580" s="8">
        <f t="shared" si="1"/>
        <v>432.04</v>
      </c>
      <c r="J1580" s="8">
        <f t="shared" si="2"/>
        <v>-107.76</v>
      </c>
      <c r="K1580" s="8" t="str">
        <f t="shared" si="3"/>
        <v>Nov</v>
      </c>
      <c r="L1580" s="8">
        <f t="shared" si="4"/>
        <v>2028</v>
      </c>
      <c r="N1580" s="8" t="str">
        <f t="array" ref="N1580">XLOOKUP(C1580,Customer_Dim!A:A,Customer_Dim!B:B,"Not Found")</f>
        <v>Christopher Lester</v>
      </c>
      <c r="O1580" s="8" t="str">
        <f t="array" ref="O1580">XLOOKUP(C1580,Customer_Dim!A:A,Customer_Dim!E:E,"Not Found")</f>
        <v>South Jenniferville</v>
      </c>
      <c r="P1580" s="8" t="str">
        <f t="array" ref="P1580">XLOOKUP(D1580,Product_Dim!A:A,Product_Dim!B:B,"Not Found")</f>
        <v>Men's Winter Jacket</v>
      </c>
      <c r="Q1580" s="8" t="str">
        <f t="array" ref="Q1580">XLOOKUP(D1580,Product_Dim!A:A,Product_Dim!C:C,"Not Found")</f>
        <v>Clothing</v>
      </c>
      <c r="R1580" s="8" t="str">
        <f t="array" ref="R1580">XLOOKUP(E1580,Store_Dim!A:A,Store_Dim!B:B,"Not Found")</f>
        <v>North</v>
      </c>
      <c r="S1580" s="8" t="str">
        <f t="array" ref="S1580">XLOOKUP(E1580,Store_Dim!A:A,Store_Dim!D:D,"Not Found")</f>
        <v>Flagship</v>
      </c>
    </row>
    <row r="1581" ht="14.25" customHeight="1">
      <c r="A1581" s="8" t="s">
        <v>3534</v>
      </c>
      <c r="B1581" s="12">
        <v>47059.0</v>
      </c>
      <c r="C1581" s="8" t="s">
        <v>134</v>
      </c>
      <c r="D1581" s="8" t="s">
        <v>1677</v>
      </c>
      <c r="E1581" s="8" t="s">
        <v>1926</v>
      </c>
      <c r="F1581" s="8">
        <v>2.0</v>
      </c>
      <c r="G1581" s="8">
        <v>613.47</v>
      </c>
      <c r="H1581" s="8">
        <v>0.02</v>
      </c>
      <c r="I1581" s="8">
        <f t="shared" si="1"/>
        <v>1226.94</v>
      </c>
      <c r="J1581" s="8">
        <f t="shared" si="2"/>
        <v>-24.5188</v>
      </c>
      <c r="K1581" s="8" t="str">
        <f t="shared" si="3"/>
        <v>Nov</v>
      </c>
      <c r="L1581" s="8">
        <f t="shared" si="4"/>
        <v>2028</v>
      </c>
      <c r="N1581" s="8" t="str">
        <f t="array" ref="N1581">XLOOKUP(C1581,Customer_Dim!A:A,Customer_Dim!B:B,"Not Found")</f>
        <v>Jessica Acevedo</v>
      </c>
      <c r="O1581" s="8" t="str">
        <f t="array" ref="O1581">XLOOKUP(C1581,Customer_Dim!A:A,Customer_Dim!E:E,"Not Found")</f>
        <v>Amybury</v>
      </c>
      <c r="P1581" s="8" t="str">
        <f t="array" ref="P1581">XLOOKUP(D1581,Product_Dim!A:A,Product_Dim!B:B,"Not Found")</f>
        <v>Basketball</v>
      </c>
      <c r="Q1581" s="8" t="str">
        <f t="array" ref="Q1581">XLOOKUP(D1581,Product_Dim!A:A,Product_Dim!C:C,"Not Found")</f>
        <v>Sports</v>
      </c>
      <c r="R1581" s="8" t="str">
        <f t="array" ref="R1581">XLOOKUP(E1581,Store_Dim!A:A,Store_Dim!B:B,"Not Found")</f>
        <v>East</v>
      </c>
      <c r="S1581" s="8" t="str">
        <f t="array" ref="S1581">XLOOKUP(E1581,Store_Dim!A:A,Store_Dim!D:D,"Not Found")</f>
        <v>Online</v>
      </c>
    </row>
    <row r="1582" ht="14.25" customHeight="1">
      <c r="A1582" s="8" t="s">
        <v>3535</v>
      </c>
      <c r="B1582" s="12">
        <v>47060.0</v>
      </c>
      <c r="C1582" s="8" t="s">
        <v>360</v>
      </c>
      <c r="D1582" s="8" t="s">
        <v>1763</v>
      </c>
      <c r="E1582" s="8" t="s">
        <v>1929</v>
      </c>
      <c r="F1582" s="8">
        <v>2.0</v>
      </c>
      <c r="G1582" s="8">
        <v>485.17</v>
      </c>
      <c r="H1582" s="8">
        <v>0.11</v>
      </c>
      <c r="I1582" s="8">
        <f t="shared" si="1"/>
        <v>970.34</v>
      </c>
      <c r="J1582" s="8">
        <f t="shared" si="2"/>
        <v>-106.6274</v>
      </c>
      <c r="K1582" s="8" t="str">
        <f t="shared" si="3"/>
        <v>Nov</v>
      </c>
      <c r="L1582" s="8">
        <f t="shared" si="4"/>
        <v>2028</v>
      </c>
      <c r="N1582" s="8" t="str">
        <f t="array" ref="N1582">XLOOKUP(C1582,Customer_Dim!A:A,Customer_Dim!B:B,"Not Found")</f>
        <v>Brittney Morgan</v>
      </c>
      <c r="O1582" s="8" t="str">
        <f t="array" ref="O1582">XLOOKUP(C1582,Customer_Dim!A:A,Customer_Dim!E:E,"Not Found")</f>
        <v>Lake Kaylahaven</v>
      </c>
      <c r="P1582" s="8" t="str">
        <f t="array" ref="P1582">XLOOKUP(D1582,Product_Dim!A:A,Product_Dim!B:B,"Not Found")</f>
        <v>Womens Cotton Scarf</v>
      </c>
      <c r="Q1582" s="8" t="str">
        <f t="array" ref="Q1582">XLOOKUP(D1582,Product_Dim!A:A,Product_Dim!C:C,"Not Found")</f>
        <v>Clothing</v>
      </c>
      <c r="R1582" s="8" t="str">
        <f t="array" ref="R1582">XLOOKUP(E1582,Store_Dim!A:A,Store_Dim!B:B,"Not Found")</f>
        <v>North</v>
      </c>
      <c r="S1582" s="8" t="str">
        <f t="array" ref="S1582">XLOOKUP(E1582,Store_Dim!A:A,Store_Dim!D:D,"Not Found")</f>
        <v>Online</v>
      </c>
    </row>
    <row r="1583" ht="14.25" customHeight="1">
      <c r="A1583" s="8" t="s">
        <v>3536</v>
      </c>
      <c r="B1583" s="12">
        <v>47061.0</v>
      </c>
      <c r="C1583" s="8" t="s">
        <v>984</v>
      </c>
      <c r="D1583" s="8" t="s">
        <v>1725</v>
      </c>
      <c r="E1583" s="8" t="s">
        <v>1926</v>
      </c>
      <c r="F1583" s="8">
        <v>1.0</v>
      </c>
      <c r="G1583" s="8">
        <v>209.7</v>
      </c>
      <c r="H1583" s="8">
        <v>0.2</v>
      </c>
      <c r="I1583" s="8">
        <f t="shared" si="1"/>
        <v>209.7</v>
      </c>
      <c r="J1583" s="8">
        <f t="shared" si="2"/>
        <v>-41.74</v>
      </c>
      <c r="K1583" s="8" t="str">
        <f t="shared" si="3"/>
        <v>Nov</v>
      </c>
      <c r="L1583" s="8">
        <f t="shared" si="4"/>
        <v>2028</v>
      </c>
      <c r="N1583" s="8" t="str">
        <f t="array" ref="N1583">XLOOKUP(C1583,Customer_Dim!A:A,Customer_Dim!B:B,"Not Found")</f>
        <v>Brandy Thompson</v>
      </c>
      <c r="O1583" s="8" t="str">
        <f t="array" ref="O1583">XLOOKUP(C1583,Customer_Dim!A:A,Customer_Dim!E:E,"Not Found")</f>
        <v>West Patriciaview</v>
      </c>
      <c r="P1583" s="8" t="str">
        <f t="array" ref="P1583">XLOOKUP(D1583,Product_Dim!A:A,Product_Dim!B:B,"Not Found")</f>
        <v>Men's Winter Jacket</v>
      </c>
      <c r="Q1583" s="8" t="str">
        <f t="array" ref="Q1583">XLOOKUP(D1583,Product_Dim!A:A,Product_Dim!C:C,"Not Found")</f>
        <v>Clothing</v>
      </c>
      <c r="R1583" s="8" t="str">
        <f t="array" ref="R1583">XLOOKUP(E1583,Store_Dim!A:A,Store_Dim!B:B,"Not Found")</f>
        <v>East</v>
      </c>
      <c r="S1583" s="8" t="str">
        <f t="array" ref="S1583">XLOOKUP(E1583,Store_Dim!A:A,Store_Dim!D:D,"Not Found")</f>
        <v>Online</v>
      </c>
    </row>
    <row r="1584" ht="14.25" customHeight="1">
      <c r="A1584" s="8" t="s">
        <v>3537</v>
      </c>
      <c r="B1584" s="12">
        <v>47062.0</v>
      </c>
      <c r="C1584" s="8" t="s">
        <v>1041</v>
      </c>
      <c r="D1584" s="8" t="s">
        <v>1866</v>
      </c>
      <c r="E1584" s="8" t="s">
        <v>1899</v>
      </c>
      <c r="F1584" s="8">
        <v>1.0</v>
      </c>
      <c r="G1584" s="8">
        <v>681.47</v>
      </c>
      <c r="H1584" s="8">
        <v>0.15</v>
      </c>
      <c r="I1584" s="8">
        <f t="shared" si="1"/>
        <v>681.47</v>
      </c>
      <c r="J1584" s="8">
        <f t="shared" si="2"/>
        <v>-102.0705</v>
      </c>
      <c r="K1584" s="8" t="str">
        <f t="shared" si="3"/>
        <v>Nov</v>
      </c>
      <c r="L1584" s="8">
        <f t="shared" si="4"/>
        <v>2028</v>
      </c>
      <c r="N1584" s="8" t="str">
        <f t="array" ref="N1584">XLOOKUP(C1584,Customer_Dim!A:A,Customer_Dim!B:B,"Not Found")</f>
        <v>Robert King</v>
      </c>
      <c r="O1584" s="8" t="str">
        <f t="array" ref="O1584">XLOOKUP(C1584,Customer_Dim!A:A,Customer_Dim!E:E,"Not Found")</f>
        <v>Cindyton</v>
      </c>
      <c r="P1584" s="8" t="str">
        <f t="array" ref="P1584">XLOOKUP(D1584,Product_Dim!A:A,Product_Dim!B:B,"Not Found")</f>
        <v>Microwave Oven</v>
      </c>
      <c r="Q1584" s="8" t="str">
        <f t="array" ref="Q1584">XLOOKUP(D1584,Product_Dim!A:A,Product_Dim!C:C,"Not Found")</f>
        <v>Home</v>
      </c>
      <c r="R1584" s="8" t="str">
        <f t="array" ref="R1584">XLOOKUP(E1584,Store_Dim!A:A,Store_Dim!B:B,"Not Found")</f>
        <v>East</v>
      </c>
      <c r="S1584" s="8" t="str">
        <f t="array" ref="S1584">XLOOKUP(E1584,Store_Dim!A:A,Store_Dim!D:D,"Not Found")</f>
        <v>Flagship</v>
      </c>
    </row>
    <row r="1585" ht="14.25" customHeight="1">
      <c r="A1585" s="8" t="s">
        <v>3538</v>
      </c>
      <c r="B1585" s="12">
        <v>47063.0</v>
      </c>
      <c r="C1585" s="8" t="s">
        <v>1378</v>
      </c>
      <c r="D1585" s="8" t="s">
        <v>1818</v>
      </c>
      <c r="E1585" s="8" t="s">
        <v>1937</v>
      </c>
      <c r="F1585" s="8">
        <v>2.0</v>
      </c>
      <c r="G1585" s="8">
        <v>877.21</v>
      </c>
      <c r="H1585" s="8">
        <v>0.1</v>
      </c>
      <c r="I1585" s="8">
        <f t="shared" si="1"/>
        <v>1754.42</v>
      </c>
      <c r="J1585" s="8">
        <f t="shared" si="2"/>
        <v>-175.342</v>
      </c>
      <c r="K1585" s="8" t="str">
        <f t="shared" si="3"/>
        <v>Nov</v>
      </c>
      <c r="L1585" s="8">
        <f t="shared" si="4"/>
        <v>2028</v>
      </c>
      <c r="N1585" s="8" t="str">
        <f t="array" ref="N1585">XLOOKUP(C1585,Customer_Dim!A:A,Customer_Dim!B:B,"Not Found")</f>
        <v>Tammy Trevino</v>
      </c>
      <c r="O1585" s="8" t="str">
        <f t="array" ref="O1585">XLOOKUP(C1585,Customer_Dim!A:A,Customer_Dim!E:E,"Not Found")</f>
        <v>Justinberg</v>
      </c>
      <c r="P1585" s="8" t="str">
        <f t="array" ref="P1585">XLOOKUP(D1585,Product_Dim!A:A,Product_Dim!B:B,"Not Found")</f>
        <v>Wireless Mouse</v>
      </c>
      <c r="Q1585" s="8" t="str">
        <f t="array" ref="Q1585">XLOOKUP(D1585,Product_Dim!A:A,Product_Dim!C:C,"Not Found")</f>
        <v>Electronics</v>
      </c>
      <c r="R1585" s="8" t="str">
        <f t="array" ref="R1585">XLOOKUP(E1585,Store_Dim!A:A,Store_Dim!B:B,"Not Found")</f>
        <v>North</v>
      </c>
      <c r="S1585" s="8" t="str">
        <f t="array" ref="S1585">XLOOKUP(E1585,Store_Dim!A:A,Store_Dim!D:D,"Not Found")</f>
        <v>Flagship</v>
      </c>
    </row>
    <row r="1586" ht="14.25" customHeight="1">
      <c r="A1586" s="8" t="s">
        <v>3539</v>
      </c>
      <c r="B1586" s="12">
        <v>47064.0</v>
      </c>
      <c r="C1586" s="8" t="s">
        <v>1017</v>
      </c>
      <c r="D1586" s="8" t="s">
        <v>1824</v>
      </c>
      <c r="E1586" s="8" t="s">
        <v>1915</v>
      </c>
      <c r="F1586" s="8">
        <v>2.0</v>
      </c>
      <c r="G1586" s="8">
        <v>479.77</v>
      </c>
      <c r="H1586" s="8">
        <v>0.21</v>
      </c>
      <c r="I1586" s="8">
        <f t="shared" si="1"/>
        <v>959.54</v>
      </c>
      <c r="J1586" s="8">
        <f t="shared" si="2"/>
        <v>-201.2934</v>
      </c>
      <c r="K1586" s="8" t="str">
        <f t="shared" si="3"/>
        <v>Nov</v>
      </c>
      <c r="L1586" s="8">
        <f t="shared" si="4"/>
        <v>2028</v>
      </c>
      <c r="N1586" s="8" t="str">
        <f t="array" ref="N1586">XLOOKUP(C1586,Customer_Dim!A:A,Customer_Dim!B:B,"Not Found")</f>
        <v>Madison Wright</v>
      </c>
      <c r="O1586" s="8" t="str">
        <f t="array" ref="O1586">XLOOKUP(C1586,Customer_Dim!A:A,Customer_Dim!E:E,"Not Found")</f>
        <v>Monicaview</v>
      </c>
      <c r="P1586" s="8" t="str">
        <f t="array" ref="P1586">XLOOKUP(D1586,Product_Dim!A:A,Product_Dim!B:B,"Not Found")</f>
        <v>Essential Oil Diffuser</v>
      </c>
      <c r="Q1586" s="8" t="str">
        <f t="array" ref="Q1586">XLOOKUP(D1586,Product_Dim!A:A,Product_Dim!C:C,"Not Found")</f>
        <v>Home</v>
      </c>
      <c r="R1586" s="8" t="str">
        <f t="array" ref="R1586">XLOOKUP(E1586,Store_Dim!A:A,Store_Dim!B:B,"Not Found")</f>
        <v>North</v>
      </c>
      <c r="S1586" s="8" t="str">
        <f t="array" ref="S1586">XLOOKUP(E1586,Store_Dim!A:A,Store_Dim!D:D,"Not Found")</f>
        <v>Outlet</v>
      </c>
    </row>
    <row r="1587" ht="14.25" customHeight="1">
      <c r="A1587" s="8" t="s">
        <v>3540</v>
      </c>
      <c r="B1587" s="12">
        <v>47065.0</v>
      </c>
      <c r="C1587" s="8" t="s">
        <v>1029</v>
      </c>
      <c r="D1587" s="8" t="s">
        <v>1839</v>
      </c>
      <c r="E1587" s="8" t="s">
        <v>1933</v>
      </c>
      <c r="F1587" s="8">
        <v>1.0</v>
      </c>
      <c r="G1587" s="8">
        <v>140.72</v>
      </c>
      <c r="H1587" s="8">
        <v>0.0</v>
      </c>
      <c r="I1587" s="8">
        <f t="shared" si="1"/>
        <v>140.72</v>
      </c>
      <c r="J1587" s="8">
        <f t="shared" si="2"/>
        <v>0</v>
      </c>
      <c r="K1587" s="8" t="str">
        <f t="shared" si="3"/>
        <v>Nov</v>
      </c>
      <c r="L1587" s="8">
        <f t="shared" si="4"/>
        <v>2028</v>
      </c>
      <c r="N1587" s="8" t="str">
        <f t="array" ref="N1587">XLOOKUP(C1587,Customer_Dim!A:A,Customer_Dim!B:B,"Not Found")</f>
        <v>Samuel Arias</v>
      </c>
      <c r="O1587" s="8" t="str">
        <f t="array" ref="O1587">XLOOKUP(C1587,Customer_Dim!A:A,Customer_Dim!E:E,"Not Found")</f>
        <v>North Nicole</v>
      </c>
      <c r="P1587" s="8" t="str">
        <f t="array" ref="P1587">XLOOKUP(D1587,Product_Dim!A:A,Product_Dim!B:B,"Not Found")</f>
        <v>Hydrating Face Cleanser</v>
      </c>
      <c r="Q1587" s="8" t="str">
        <f t="array" ref="Q1587">XLOOKUP(D1587,Product_Dim!A:A,Product_Dim!C:C,"Not Found")</f>
        <v>Beauty</v>
      </c>
      <c r="R1587" s="8" t="str">
        <f t="array" ref="R1587">XLOOKUP(E1587,Store_Dim!A:A,Store_Dim!B:B,"Not Found")</f>
        <v>North</v>
      </c>
      <c r="S1587" s="8" t="str">
        <f t="array" ref="S1587">XLOOKUP(E1587,Store_Dim!A:A,Store_Dim!D:D,"Not Found")</f>
        <v>Flagship</v>
      </c>
    </row>
    <row r="1588" ht="14.25" customHeight="1">
      <c r="A1588" s="8" t="s">
        <v>3541</v>
      </c>
      <c r="B1588" s="12">
        <v>47066.0</v>
      </c>
      <c r="C1588" s="8" t="s">
        <v>124</v>
      </c>
      <c r="D1588" s="8" t="s">
        <v>1638</v>
      </c>
      <c r="E1588" s="8" t="s">
        <v>1917</v>
      </c>
      <c r="F1588" s="8">
        <v>2.0</v>
      </c>
      <c r="G1588" s="8">
        <v>764.25</v>
      </c>
      <c r="H1588" s="8">
        <v>0.23</v>
      </c>
      <c r="I1588" s="8">
        <f t="shared" si="1"/>
        <v>1528.5</v>
      </c>
      <c r="J1588" s="8">
        <f t="shared" si="2"/>
        <v>-351.325</v>
      </c>
      <c r="K1588" s="8" t="str">
        <f t="shared" si="3"/>
        <v>Nov</v>
      </c>
      <c r="L1588" s="8">
        <f t="shared" si="4"/>
        <v>2028</v>
      </c>
      <c r="N1588" s="8" t="str">
        <f t="array" ref="N1588">XLOOKUP(C1588,Customer_Dim!A:A,Customer_Dim!B:B,"Not Found")</f>
        <v>Leslie Johnson</v>
      </c>
      <c r="O1588" s="8" t="str">
        <f t="array" ref="O1588">XLOOKUP(C1588,Customer_Dim!A:A,Customer_Dim!E:E,"Not Found")</f>
        <v>Mollyshire</v>
      </c>
      <c r="P1588" s="8" t="str">
        <f t="array" ref="P1588">XLOOKUP(D1588,Product_Dim!A:A,Product_Dim!B:B,"Not Found")</f>
        <v>Knee Support Brace</v>
      </c>
      <c r="Q1588" s="8" t="str">
        <f t="array" ref="Q1588">XLOOKUP(D1588,Product_Dim!A:A,Product_Dim!C:C,"Not Found")</f>
        <v>Sports</v>
      </c>
      <c r="R1588" s="8" t="str">
        <f t="array" ref="R1588">XLOOKUP(E1588,Store_Dim!A:A,Store_Dim!B:B,"Not Found")</f>
        <v>East</v>
      </c>
      <c r="S1588" s="8" t="str">
        <f t="array" ref="S1588">XLOOKUP(E1588,Store_Dim!A:A,Store_Dim!D:D,"Not Found")</f>
        <v>Online</v>
      </c>
    </row>
    <row r="1589" ht="14.25" customHeight="1">
      <c r="A1589" s="8" t="s">
        <v>3542</v>
      </c>
      <c r="B1589" s="12">
        <v>47067.0</v>
      </c>
      <c r="C1589" s="8" t="s">
        <v>733</v>
      </c>
      <c r="D1589" s="8" t="s">
        <v>1839</v>
      </c>
      <c r="E1589" s="8" t="s">
        <v>1915</v>
      </c>
      <c r="F1589" s="8">
        <v>3.0</v>
      </c>
      <c r="G1589" s="8">
        <v>107.8</v>
      </c>
      <c r="H1589" s="8">
        <v>0.29</v>
      </c>
      <c r="I1589" s="8">
        <f t="shared" si="1"/>
        <v>323.4</v>
      </c>
      <c r="J1589" s="8">
        <f t="shared" si="2"/>
        <v>-93.496</v>
      </c>
      <c r="K1589" s="8" t="str">
        <f t="shared" si="3"/>
        <v>Nov</v>
      </c>
      <c r="L1589" s="8">
        <f t="shared" si="4"/>
        <v>2028</v>
      </c>
      <c r="N1589" s="8" t="str">
        <f t="array" ref="N1589">XLOOKUP(C1589,Customer_Dim!A:A,Customer_Dim!B:B,"Not Found")</f>
        <v>Alejandro Doyle</v>
      </c>
      <c r="O1589" s="8" t="str">
        <f t="array" ref="O1589">XLOOKUP(C1589,Customer_Dim!A:A,Customer_Dim!E:E,"Not Found")</f>
        <v>East Crystalton</v>
      </c>
      <c r="P1589" s="8" t="str">
        <f t="array" ref="P1589">XLOOKUP(D1589,Product_Dim!A:A,Product_Dim!B:B,"Not Found")</f>
        <v>Hydrating Face Cleanser</v>
      </c>
      <c r="Q1589" s="8" t="str">
        <f t="array" ref="Q1589">XLOOKUP(D1589,Product_Dim!A:A,Product_Dim!C:C,"Not Found")</f>
        <v>Beauty</v>
      </c>
      <c r="R1589" s="8" t="str">
        <f t="array" ref="R1589">XLOOKUP(E1589,Store_Dim!A:A,Store_Dim!B:B,"Not Found")</f>
        <v>North</v>
      </c>
      <c r="S1589" s="8" t="str">
        <f t="array" ref="S1589">XLOOKUP(E1589,Store_Dim!A:A,Store_Dim!D:D,"Not Found")</f>
        <v>Outlet</v>
      </c>
    </row>
    <row r="1590" ht="14.25" customHeight="1">
      <c r="A1590" s="8" t="s">
        <v>3543</v>
      </c>
      <c r="B1590" s="12">
        <v>47068.0</v>
      </c>
      <c r="C1590" s="8" t="s">
        <v>508</v>
      </c>
      <c r="D1590" s="8" t="s">
        <v>1649</v>
      </c>
      <c r="E1590" s="8" t="s">
        <v>1921</v>
      </c>
      <c r="F1590" s="8">
        <v>4.0</v>
      </c>
      <c r="G1590" s="8">
        <v>565.37</v>
      </c>
      <c r="H1590" s="8">
        <v>0.07</v>
      </c>
      <c r="I1590" s="8">
        <f t="shared" si="1"/>
        <v>2261.48</v>
      </c>
      <c r="J1590" s="8">
        <f t="shared" si="2"/>
        <v>-158.2336</v>
      </c>
      <c r="K1590" s="8" t="str">
        <f t="shared" si="3"/>
        <v>Nov</v>
      </c>
      <c r="L1590" s="8">
        <f t="shared" si="4"/>
        <v>2028</v>
      </c>
      <c r="N1590" s="8" t="str">
        <f t="array" ref="N1590">XLOOKUP(C1590,Customer_Dim!A:A,Customer_Dim!B:B,"Not Found")</f>
        <v>Rhonda Young</v>
      </c>
      <c r="O1590" s="8" t="str">
        <f t="array" ref="O1590">XLOOKUP(C1590,Customer_Dim!A:A,Customer_Dim!E:E,"Not Found")</f>
        <v>Lake Nathanfort</v>
      </c>
      <c r="P1590" s="8" t="str">
        <f t="array" ref="P1590">XLOOKUP(D1590,Product_Dim!A:A,Product_Dim!B:B,"Not Found")</f>
        <v>Carbon Fiber Tennis Racket</v>
      </c>
      <c r="Q1590" s="8" t="str">
        <f t="array" ref="Q1590">XLOOKUP(D1590,Product_Dim!A:A,Product_Dim!C:C,"Not Found")</f>
        <v>Sports</v>
      </c>
      <c r="R1590" s="8" t="str">
        <f t="array" ref="R1590">XLOOKUP(E1590,Store_Dim!A:A,Store_Dim!B:B,"Not Found")</f>
        <v>West</v>
      </c>
      <c r="S1590" s="8" t="str">
        <f t="array" ref="S1590">XLOOKUP(E1590,Store_Dim!A:A,Store_Dim!D:D,"Not Found")</f>
        <v>Online</v>
      </c>
    </row>
    <row r="1591" ht="14.25" customHeight="1">
      <c r="A1591" s="8" t="s">
        <v>3544</v>
      </c>
      <c r="B1591" s="12">
        <v>47069.0</v>
      </c>
      <c r="C1591" s="8" t="s">
        <v>147</v>
      </c>
      <c r="D1591" s="8" t="s">
        <v>1693</v>
      </c>
      <c r="E1591" s="8" t="s">
        <v>1912</v>
      </c>
      <c r="F1591" s="8">
        <v>3.0</v>
      </c>
      <c r="G1591" s="8">
        <v>811.45</v>
      </c>
      <c r="H1591" s="8">
        <v>0.26</v>
      </c>
      <c r="I1591" s="8">
        <f t="shared" si="1"/>
        <v>2434.35</v>
      </c>
      <c r="J1591" s="8">
        <f t="shared" si="2"/>
        <v>-632.671</v>
      </c>
      <c r="K1591" s="8" t="str">
        <f t="shared" si="3"/>
        <v>Nov</v>
      </c>
      <c r="L1591" s="8">
        <f t="shared" si="4"/>
        <v>2028</v>
      </c>
      <c r="N1591" s="8" t="str">
        <f t="array" ref="N1591">XLOOKUP(C1591,Customer_Dim!A:A,Customer_Dim!B:B,"Not Found")</f>
        <v>Christopher Olson</v>
      </c>
      <c r="O1591" s="8" t="str">
        <f t="array" ref="O1591">XLOOKUP(C1591,Customer_Dim!A:A,Customer_Dim!E:E,"Not Found")</f>
        <v>West Richard</v>
      </c>
      <c r="P1591" s="8" t="str">
        <f t="array" ref="P1591">XLOOKUP(D1591,Product_Dim!A:A,Product_Dim!B:B,"Not Found")</f>
        <v>Women's Summer Dress</v>
      </c>
      <c r="Q1591" s="8" t="str">
        <f t="array" ref="Q1591">XLOOKUP(D1591,Product_Dim!A:A,Product_Dim!C:C,"Not Found")</f>
        <v>Clothing</v>
      </c>
      <c r="R1591" s="8" t="str">
        <f t="array" ref="R1591">XLOOKUP(E1591,Store_Dim!A:A,Store_Dim!B:B,"Not Found")</f>
        <v>South</v>
      </c>
      <c r="S1591" s="8" t="str">
        <f t="array" ref="S1591">XLOOKUP(E1591,Store_Dim!A:A,Store_Dim!D:D,"Not Found")</f>
        <v>Online</v>
      </c>
    </row>
    <row r="1592" ht="14.25" customHeight="1">
      <c r="A1592" s="8" t="s">
        <v>3545</v>
      </c>
      <c r="B1592" s="12">
        <v>47070.0</v>
      </c>
      <c r="C1592" s="8" t="s">
        <v>1291</v>
      </c>
      <c r="D1592" s="8" t="s">
        <v>1684</v>
      </c>
      <c r="E1592" s="8" t="s">
        <v>1941</v>
      </c>
      <c r="F1592" s="8">
        <v>4.0</v>
      </c>
      <c r="G1592" s="8">
        <v>62.25</v>
      </c>
      <c r="H1592" s="8">
        <v>0.11</v>
      </c>
      <c r="I1592" s="8">
        <f t="shared" si="1"/>
        <v>249</v>
      </c>
      <c r="J1592" s="8">
        <f t="shared" si="2"/>
        <v>-27.28</v>
      </c>
      <c r="K1592" s="8" t="str">
        <f t="shared" si="3"/>
        <v>Nov</v>
      </c>
      <c r="L1592" s="8">
        <f t="shared" si="4"/>
        <v>2028</v>
      </c>
      <c r="N1592" s="8" t="str">
        <f t="array" ref="N1592">XLOOKUP(C1592,Customer_Dim!A:A,Customer_Dim!B:B,"Not Found")</f>
        <v>Jackie Thompson</v>
      </c>
      <c r="O1592" s="8" t="str">
        <f t="array" ref="O1592">XLOOKUP(C1592,Customer_Dim!A:A,Customer_Dim!E:E,"Not Found")</f>
        <v>South Edwin</v>
      </c>
      <c r="P1592" s="8" t="str">
        <f t="array" ref="P1592">XLOOKUP(D1592,Product_Dim!A:A,Product_Dim!B:B,"Not Found")</f>
        <v>Modern Wall Clock</v>
      </c>
      <c r="Q1592" s="8" t="str">
        <f t="array" ref="Q1592">XLOOKUP(D1592,Product_Dim!A:A,Product_Dim!C:C,"Not Found")</f>
        <v>Home</v>
      </c>
      <c r="R1592" s="8" t="str">
        <f t="array" ref="R1592">XLOOKUP(E1592,Store_Dim!A:A,Store_Dim!B:B,"Not Found")</f>
        <v>East</v>
      </c>
      <c r="S1592" s="8" t="str">
        <f t="array" ref="S1592">XLOOKUP(E1592,Store_Dim!A:A,Store_Dim!D:D,"Not Found")</f>
        <v>Online</v>
      </c>
    </row>
    <row r="1593" ht="14.25" customHeight="1">
      <c r="A1593" s="8" t="s">
        <v>3546</v>
      </c>
      <c r="B1593" s="12">
        <v>47071.0</v>
      </c>
      <c r="C1593" s="8" t="s">
        <v>117</v>
      </c>
      <c r="D1593" s="8" t="s">
        <v>1875</v>
      </c>
      <c r="E1593" s="8" t="s">
        <v>1926</v>
      </c>
      <c r="F1593" s="8">
        <v>1.0</v>
      </c>
      <c r="G1593" s="8">
        <v>749.78</v>
      </c>
      <c r="H1593" s="8">
        <v>0.03</v>
      </c>
      <c r="I1593" s="8">
        <f t="shared" si="1"/>
        <v>749.78</v>
      </c>
      <c r="J1593" s="8">
        <f t="shared" si="2"/>
        <v>-22.4634</v>
      </c>
      <c r="K1593" s="8" t="str">
        <f t="shared" si="3"/>
        <v>Nov</v>
      </c>
      <c r="L1593" s="8">
        <f t="shared" si="4"/>
        <v>2028</v>
      </c>
      <c r="N1593" s="8" t="str">
        <f t="array" ref="N1593">XLOOKUP(C1593,Customer_Dim!A:A,Customer_Dim!B:B,"Not Found")</f>
        <v>Diana Taylor</v>
      </c>
      <c r="O1593" s="8" t="str">
        <f t="array" ref="O1593">XLOOKUP(C1593,Customer_Dim!A:A,Customer_Dim!E:E,"Not Found")</f>
        <v>Vasqueztown</v>
      </c>
      <c r="P1593" s="8" t="str">
        <f t="array" ref="P1593">XLOOKUP(D1593,Product_Dim!A:A,Product_Dim!B:B,"Not Found")</f>
        <v>Sports Stopwatch Basic</v>
      </c>
      <c r="Q1593" s="8" t="str">
        <f t="array" ref="Q1593">XLOOKUP(D1593,Product_Dim!A:A,Product_Dim!C:C,"Not Found")</f>
        <v>Sports</v>
      </c>
      <c r="R1593" s="8" t="str">
        <f t="array" ref="R1593">XLOOKUP(E1593,Store_Dim!A:A,Store_Dim!B:B,"Not Found")</f>
        <v>East</v>
      </c>
      <c r="S1593" s="8" t="str">
        <f t="array" ref="S1593">XLOOKUP(E1593,Store_Dim!A:A,Store_Dim!D:D,"Not Found")</f>
        <v>Online</v>
      </c>
    </row>
    <row r="1594" ht="14.25" customHeight="1">
      <c r="A1594" s="8" t="s">
        <v>3547</v>
      </c>
      <c r="B1594" s="12">
        <v>47072.0</v>
      </c>
      <c r="C1594" s="8" t="s">
        <v>1113</v>
      </c>
      <c r="D1594" s="8" t="s">
        <v>1766</v>
      </c>
      <c r="E1594" s="8" t="s">
        <v>1915</v>
      </c>
      <c r="F1594" s="8">
        <v>3.0</v>
      </c>
      <c r="G1594" s="8">
        <v>630.28</v>
      </c>
      <c r="H1594" s="8">
        <v>0.07</v>
      </c>
      <c r="I1594" s="8">
        <f t="shared" si="1"/>
        <v>1890.84</v>
      </c>
      <c r="J1594" s="8">
        <f t="shared" si="2"/>
        <v>-132.2888</v>
      </c>
      <c r="K1594" s="8" t="str">
        <f t="shared" si="3"/>
        <v>Nov</v>
      </c>
      <c r="L1594" s="8">
        <f t="shared" si="4"/>
        <v>2028</v>
      </c>
      <c r="N1594" s="8" t="str">
        <f t="array" ref="N1594">XLOOKUP(C1594,Customer_Dim!A:A,Customer_Dim!B:B,"Not Found")</f>
        <v>Charles Miller</v>
      </c>
      <c r="O1594" s="8" t="str">
        <f t="array" ref="O1594">XLOOKUP(C1594,Customer_Dim!A:A,Customer_Dim!E:E,"Not Found")</f>
        <v>Lake Allisonborough</v>
      </c>
      <c r="P1594" s="8" t="str">
        <f t="array" ref="P1594">XLOOKUP(D1594,Product_Dim!A:A,Product_Dim!B:B,"Not Found")</f>
        <v>Men's Hair Styling Gel</v>
      </c>
      <c r="Q1594" s="8" t="str">
        <f t="array" ref="Q1594">XLOOKUP(D1594,Product_Dim!A:A,Product_Dim!C:C,"Not Found")</f>
        <v>Beauty</v>
      </c>
      <c r="R1594" s="8" t="str">
        <f t="array" ref="R1594">XLOOKUP(E1594,Store_Dim!A:A,Store_Dim!B:B,"Not Found")</f>
        <v>North</v>
      </c>
      <c r="S1594" s="8" t="str">
        <f t="array" ref="S1594">XLOOKUP(E1594,Store_Dim!A:A,Store_Dim!D:D,"Not Found")</f>
        <v>Outlet</v>
      </c>
    </row>
    <row r="1595" ht="14.25" customHeight="1">
      <c r="A1595" s="8" t="s">
        <v>3548</v>
      </c>
      <c r="B1595" s="12">
        <v>47073.0</v>
      </c>
      <c r="C1595" s="8" t="s">
        <v>496</v>
      </c>
      <c r="D1595" s="8" t="s">
        <v>1674</v>
      </c>
      <c r="E1595" s="8" t="s">
        <v>1935</v>
      </c>
      <c r="F1595" s="8">
        <v>1.0</v>
      </c>
      <c r="G1595" s="8">
        <v>101.84</v>
      </c>
      <c r="H1595" s="8">
        <v>0.17</v>
      </c>
      <c r="I1595" s="8">
        <f t="shared" si="1"/>
        <v>101.84</v>
      </c>
      <c r="J1595" s="8">
        <f t="shared" si="2"/>
        <v>-17.1428</v>
      </c>
      <c r="K1595" s="8" t="str">
        <f t="shared" si="3"/>
        <v>Nov</v>
      </c>
      <c r="L1595" s="8">
        <f t="shared" si="4"/>
        <v>2028</v>
      </c>
      <c r="N1595" s="8" t="str">
        <f t="array" ref="N1595">XLOOKUP(C1595,Customer_Dim!A:A,Customer_Dim!B:B,"Not Found")</f>
        <v>Carlos Skinner</v>
      </c>
      <c r="O1595" s="8" t="str">
        <f t="array" ref="O1595">XLOOKUP(C1595,Customer_Dim!A:A,Customer_Dim!E:E,"Not Found")</f>
        <v>Dwaynemouth</v>
      </c>
      <c r="P1595" s="8" t="str">
        <f t="array" ref="P1595">XLOOKUP(D1595,Product_Dim!A:A,Product_Dim!B:B,"Not Found")</f>
        <v>Stainless Steel Cutlery Set</v>
      </c>
      <c r="Q1595" s="8" t="str">
        <f t="array" ref="Q1595">XLOOKUP(D1595,Product_Dim!A:A,Product_Dim!C:C,"Not Found")</f>
        <v>Home</v>
      </c>
      <c r="R1595" s="8" t="str">
        <f t="array" ref="R1595">XLOOKUP(E1595,Store_Dim!A:A,Store_Dim!B:B,"Not Found")</f>
        <v>West</v>
      </c>
      <c r="S1595" s="8" t="str">
        <f t="array" ref="S1595">XLOOKUP(E1595,Store_Dim!A:A,Store_Dim!D:D,"Not Found")</f>
        <v>Flagship</v>
      </c>
    </row>
    <row r="1596" ht="14.25" customHeight="1">
      <c r="A1596" s="8" t="s">
        <v>3549</v>
      </c>
      <c r="B1596" s="12">
        <v>47074.0</v>
      </c>
      <c r="C1596" s="8" t="s">
        <v>218</v>
      </c>
      <c r="D1596" s="8" t="s">
        <v>1655</v>
      </c>
      <c r="E1596" s="8" t="s">
        <v>1939</v>
      </c>
      <c r="F1596" s="8">
        <v>4.0</v>
      </c>
      <c r="G1596" s="8">
        <v>641.45</v>
      </c>
      <c r="H1596" s="8">
        <v>0.16</v>
      </c>
      <c r="I1596" s="8">
        <f t="shared" si="1"/>
        <v>2565.8</v>
      </c>
      <c r="J1596" s="8">
        <f t="shared" si="2"/>
        <v>-410.368</v>
      </c>
      <c r="K1596" s="8" t="str">
        <f t="shared" si="3"/>
        <v>Nov</v>
      </c>
      <c r="L1596" s="8">
        <f t="shared" si="4"/>
        <v>2028</v>
      </c>
      <c r="N1596" s="8" t="str">
        <f t="array" ref="N1596">XLOOKUP(C1596,Customer_Dim!A:A,Customer_Dim!B:B,"Not Found")</f>
        <v>Wayne Mcpherson</v>
      </c>
      <c r="O1596" s="8" t="str">
        <f t="array" ref="O1596">XLOOKUP(C1596,Customer_Dim!A:A,Customer_Dim!E:E,"Not Found")</f>
        <v>Edwardsfort</v>
      </c>
      <c r="P1596" s="8" t="str">
        <f t="array" ref="P1596">XLOOKUP(D1596,Product_Dim!A:A,Product_Dim!B:B,"Not Found")</f>
        <v>Foldable Camping Chair</v>
      </c>
      <c r="Q1596" s="8" t="str">
        <f t="array" ref="Q1596">XLOOKUP(D1596,Product_Dim!A:A,Product_Dim!C:C,"Not Found")</f>
        <v>Sports</v>
      </c>
      <c r="R1596" s="8" t="str">
        <f t="array" ref="R1596">XLOOKUP(E1596,Store_Dim!A:A,Store_Dim!B:B,"Not Found")</f>
        <v>East</v>
      </c>
      <c r="S1596" s="8" t="str">
        <f t="array" ref="S1596">XLOOKUP(E1596,Store_Dim!A:A,Store_Dim!D:D,"Not Found")</f>
        <v>Flagship</v>
      </c>
    </row>
    <row r="1597" ht="14.25" customHeight="1">
      <c r="A1597" s="8" t="s">
        <v>3550</v>
      </c>
      <c r="B1597" s="12">
        <v>47075.0</v>
      </c>
      <c r="C1597" s="8" t="s">
        <v>1468</v>
      </c>
      <c r="D1597" s="8" t="s">
        <v>1716</v>
      </c>
      <c r="E1597" s="8" t="s">
        <v>1903</v>
      </c>
      <c r="F1597" s="8">
        <v>1.0</v>
      </c>
      <c r="G1597" s="8">
        <v>135.87</v>
      </c>
      <c r="H1597" s="8">
        <v>0.23</v>
      </c>
      <c r="I1597" s="8">
        <f t="shared" si="1"/>
        <v>135.87</v>
      </c>
      <c r="J1597" s="8">
        <f t="shared" si="2"/>
        <v>-31.0201</v>
      </c>
      <c r="K1597" s="8" t="str">
        <f t="shared" si="3"/>
        <v>Nov</v>
      </c>
      <c r="L1597" s="8">
        <f t="shared" si="4"/>
        <v>2028</v>
      </c>
      <c r="N1597" s="8" t="str">
        <f t="array" ref="N1597">XLOOKUP(C1597,Customer_Dim!A:A,Customer_Dim!B:B,"Not Found")</f>
        <v>Debra Mccullough</v>
      </c>
      <c r="O1597" s="8" t="str">
        <f t="array" ref="O1597">XLOOKUP(C1597,Customer_Dim!A:A,Customer_Dim!E:E,"Not Found")</f>
        <v>Mcdanielfurt</v>
      </c>
      <c r="P1597" s="8" t="str">
        <f t="array" ref="P1597">XLOOKUP(D1597,Product_Dim!A:A,Product_Dim!B:B,"Not Found")</f>
        <v>USB External Hard Drive</v>
      </c>
      <c r="Q1597" s="8" t="str">
        <f t="array" ref="Q1597">XLOOKUP(D1597,Product_Dim!A:A,Product_Dim!C:C,"Not Found")</f>
        <v>Electronics</v>
      </c>
      <c r="R1597" s="8" t="str">
        <f t="array" ref="R1597">XLOOKUP(E1597,Store_Dim!A:A,Store_Dim!B:B,"Not Found")</f>
        <v>North</v>
      </c>
      <c r="S1597" s="8" t="str">
        <f t="array" ref="S1597">XLOOKUP(E1597,Store_Dim!A:A,Store_Dim!D:D,"Not Found")</f>
        <v>Flagship</v>
      </c>
    </row>
    <row r="1598" ht="14.25" customHeight="1">
      <c r="A1598" s="8" t="s">
        <v>3551</v>
      </c>
      <c r="B1598" s="12">
        <v>47076.0</v>
      </c>
      <c r="C1598" s="8" t="s">
        <v>351</v>
      </c>
      <c r="D1598" s="8" t="s">
        <v>1645</v>
      </c>
      <c r="E1598" s="8" t="s">
        <v>1917</v>
      </c>
      <c r="F1598" s="8">
        <v>1.0</v>
      </c>
      <c r="G1598" s="8">
        <v>388.35</v>
      </c>
      <c r="H1598" s="8">
        <v>0.01</v>
      </c>
      <c r="I1598" s="8">
        <f t="shared" si="1"/>
        <v>388.35</v>
      </c>
      <c r="J1598" s="8">
        <f t="shared" si="2"/>
        <v>-3.8735</v>
      </c>
      <c r="K1598" s="8" t="str">
        <f t="shared" si="3"/>
        <v>Nov</v>
      </c>
      <c r="L1598" s="8">
        <f t="shared" si="4"/>
        <v>2028</v>
      </c>
      <c r="N1598" s="8" t="str">
        <f t="array" ref="N1598">XLOOKUP(C1598,Customer_Dim!A:A,Customer_Dim!B:B,"Not Found")</f>
        <v>Amy Fowler</v>
      </c>
      <c r="O1598" s="8" t="str">
        <f t="array" ref="O1598">XLOOKUP(C1598,Customer_Dim!A:A,Customer_Dim!E:E,"Not Found")</f>
        <v>West Bobbyshire</v>
      </c>
      <c r="P1598" s="8" t="str">
        <f t="array" ref="P1598">XLOOKUP(D1598,Product_Dim!A:A,Product_Dim!B:B,"Not Found")</f>
        <v>Multi-Purpose Storage Box</v>
      </c>
      <c r="Q1598" s="8" t="str">
        <f t="array" ref="Q1598">XLOOKUP(D1598,Product_Dim!A:A,Product_Dim!C:C,"Not Found")</f>
        <v>Home</v>
      </c>
      <c r="R1598" s="8" t="str">
        <f t="array" ref="R1598">XLOOKUP(E1598,Store_Dim!A:A,Store_Dim!B:B,"Not Found")</f>
        <v>East</v>
      </c>
      <c r="S1598" s="8" t="str">
        <f t="array" ref="S1598">XLOOKUP(E1598,Store_Dim!A:A,Store_Dim!D:D,"Not Found")</f>
        <v>Online</v>
      </c>
    </row>
    <row r="1599" ht="14.25" customHeight="1">
      <c r="A1599" s="8" t="s">
        <v>3552</v>
      </c>
      <c r="B1599" s="12">
        <v>47077.0</v>
      </c>
      <c r="C1599" s="8" t="s">
        <v>1511</v>
      </c>
      <c r="D1599" s="8" t="s">
        <v>1700</v>
      </c>
      <c r="E1599" s="8" t="s">
        <v>1924</v>
      </c>
      <c r="F1599" s="8">
        <v>2.0</v>
      </c>
      <c r="G1599" s="8">
        <v>999.08</v>
      </c>
      <c r="H1599" s="8">
        <v>0.3</v>
      </c>
      <c r="I1599" s="8">
        <f t="shared" si="1"/>
        <v>1998.16</v>
      </c>
      <c r="J1599" s="8">
        <f t="shared" si="2"/>
        <v>-599.148</v>
      </c>
      <c r="K1599" s="8" t="str">
        <f t="shared" si="3"/>
        <v>Nov</v>
      </c>
      <c r="L1599" s="8">
        <f t="shared" si="4"/>
        <v>2028</v>
      </c>
      <c r="N1599" s="8" t="str">
        <f t="array" ref="N1599">XLOOKUP(C1599,Customer_Dim!A:A,Customer_Dim!B:B,"Not Found")</f>
        <v>Eric Lee</v>
      </c>
      <c r="O1599" s="8" t="str">
        <f t="array" ref="O1599">XLOOKUP(C1599,Customer_Dim!A:A,Customer_Dim!E:E,"Not Found")</f>
        <v>Lake April</v>
      </c>
      <c r="P1599" s="8" t="str">
        <f t="array" ref="P1599">XLOOKUP(D1599,Product_Dim!A:A,Product_Dim!B:B,"Not Found")</f>
        <v>Sports Water Hydration Pack</v>
      </c>
      <c r="Q1599" s="8" t="str">
        <f t="array" ref="Q1599">XLOOKUP(D1599,Product_Dim!A:A,Product_Dim!C:C,"Not Found")</f>
        <v>Sports</v>
      </c>
      <c r="R1599" s="8" t="str">
        <f t="array" ref="R1599">XLOOKUP(E1599,Store_Dim!A:A,Store_Dim!B:B,"Not Found")</f>
        <v>South</v>
      </c>
      <c r="S1599" s="8" t="str">
        <f t="array" ref="S1599">XLOOKUP(E1599,Store_Dim!A:A,Store_Dim!D:D,"Not Found")</f>
        <v>Flagship</v>
      </c>
    </row>
    <row r="1600" ht="14.25" customHeight="1">
      <c r="A1600" s="8" t="s">
        <v>3553</v>
      </c>
      <c r="B1600" s="12">
        <v>47078.0</v>
      </c>
      <c r="C1600" s="8" t="s">
        <v>577</v>
      </c>
      <c r="D1600" s="8" t="s">
        <v>1700</v>
      </c>
      <c r="E1600" s="8" t="s">
        <v>1937</v>
      </c>
      <c r="F1600" s="8">
        <v>3.0</v>
      </c>
      <c r="G1600" s="8">
        <v>453.19</v>
      </c>
      <c r="H1600" s="8">
        <v>0.08</v>
      </c>
      <c r="I1600" s="8">
        <f t="shared" si="1"/>
        <v>1359.57</v>
      </c>
      <c r="J1600" s="8">
        <f t="shared" si="2"/>
        <v>-108.6856</v>
      </c>
      <c r="K1600" s="8" t="str">
        <f t="shared" si="3"/>
        <v>Nov</v>
      </c>
      <c r="L1600" s="8">
        <f t="shared" si="4"/>
        <v>2028</v>
      </c>
      <c r="N1600" s="8" t="str">
        <f t="array" ref="N1600">XLOOKUP(C1600,Customer_Dim!A:A,Customer_Dim!B:B,"Not Found")</f>
        <v>Christopher Garcia DDS</v>
      </c>
      <c r="O1600" s="8" t="str">
        <f t="array" ref="O1600">XLOOKUP(C1600,Customer_Dim!A:A,Customer_Dim!E:E,"Not Found")</f>
        <v>New Joseph</v>
      </c>
      <c r="P1600" s="8" t="str">
        <f t="array" ref="P1600">XLOOKUP(D1600,Product_Dim!A:A,Product_Dim!B:B,"Not Found")</f>
        <v>Sports Water Hydration Pack</v>
      </c>
      <c r="Q1600" s="8" t="str">
        <f t="array" ref="Q1600">XLOOKUP(D1600,Product_Dim!A:A,Product_Dim!C:C,"Not Found")</f>
        <v>Sports</v>
      </c>
      <c r="R1600" s="8" t="str">
        <f t="array" ref="R1600">XLOOKUP(E1600,Store_Dim!A:A,Store_Dim!B:B,"Not Found")</f>
        <v>North</v>
      </c>
      <c r="S1600" s="8" t="str">
        <f t="array" ref="S1600">XLOOKUP(E1600,Store_Dim!A:A,Store_Dim!D:D,"Not Found")</f>
        <v>Flagship</v>
      </c>
    </row>
    <row r="1601" ht="14.25" customHeight="1">
      <c r="A1601" s="8" t="s">
        <v>3554</v>
      </c>
      <c r="B1601" s="12">
        <v>47079.0</v>
      </c>
      <c r="C1601" s="8" t="s">
        <v>770</v>
      </c>
      <c r="D1601" s="8" t="s">
        <v>1830</v>
      </c>
      <c r="E1601" s="8" t="s">
        <v>1926</v>
      </c>
      <c r="F1601" s="8">
        <v>2.0</v>
      </c>
      <c r="G1601" s="8">
        <v>61.31</v>
      </c>
      <c r="H1601" s="8">
        <v>0.15</v>
      </c>
      <c r="I1601" s="8">
        <f t="shared" si="1"/>
        <v>122.62</v>
      </c>
      <c r="J1601" s="8">
        <f t="shared" si="2"/>
        <v>-18.243</v>
      </c>
      <c r="K1601" s="8" t="str">
        <f t="shared" si="3"/>
        <v>Nov</v>
      </c>
      <c r="L1601" s="8">
        <f t="shared" si="4"/>
        <v>2028</v>
      </c>
      <c r="N1601" s="8" t="str">
        <f t="array" ref="N1601">XLOOKUP(C1601,Customer_Dim!A:A,Customer_Dim!B:B,"Not Found")</f>
        <v>Jon Ortiz</v>
      </c>
      <c r="O1601" s="8" t="str">
        <f t="array" ref="O1601">XLOOKUP(C1601,Customer_Dim!A:A,Customer_Dim!E:E,"Not Found")</f>
        <v>South Angelaport</v>
      </c>
      <c r="P1601" s="8" t="str">
        <f t="array" ref="P1601">XLOOKUP(D1601,Product_Dim!A:A,Product_Dim!B:B,"Not Found")</f>
        <v>Wall-Mounted Spice Rack</v>
      </c>
      <c r="Q1601" s="8" t="str">
        <f t="array" ref="Q1601">XLOOKUP(D1601,Product_Dim!A:A,Product_Dim!C:C,"Not Found")</f>
        <v>Home</v>
      </c>
      <c r="R1601" s="8" t="str">
        <f t="array" ref="R1601">XLOOKUP(E1601,Store_Dim!A:A,Store_Dim!B:B,"Not Found")</f>
        <v>East</v>
      </c>
      <c r="S1601" s="8" t="str">
        <f t="array" ref="S1601">XLOOKUP(E1601,Store_Dim!A:A,Store_Dim!D:D,"Not Found")</f>
        <v>Online</v>
      </c>
    </row>
    <row r="1602" ht="14.25" customHeight="1">
      <c r="A1602" s="8" t="s">
        <v>3555</v>
      </c>
      <c r="B1602" s="12">
        <v>47080.0</v>
      </c>
      <c r="C1602" s="8" t="s">
        <v>1089</v>
      </c>
      <c r="D1602" s="8" t="s">
        <v>1833</v>
      </c>
      <c r="E1602" s="8" t="s">
        <v>1926</v>
      </c>
      <c r="F1602" s="8">
        <v>2.0</v>
      </c>
      <c r="G1602" s="8">
        <v>870.13</v>
      </c>
      <c r="H1602" s="8">
        <v>0.23</v>
      </c>
      <c r="I1602" s="8">
        <f t="shared" si="1"/>
        <v>1740.26</v>
      </c>
      <c r="J1602" s="8">
        <f t="shared" si="2"/>
        <v>-400.0298</v>
      </c>
      <c r="K1602" s="8" t="str">
        <f t="shared" si="3"/>
        <v>Nov</v>
      </c>
      <c r="L1602" s="8">
        <f t="shared" si="4"/>
        <v>2028</v>
      </c>
      <c r="N1602" s="8" t="str">
        <f t="array" ref="N1602">XLOOKUP(C1602,Customer_Dim!A:A,Customer_Dim!B:B,"Not Found")</f>
        <v>Michelle Cunningham</v>
      </c>
      <c r="O1602" s="8" t="str">
        <f t="array" ref="O1602">XLOOKUP(C1602,Customer_Dim!A:A,Customer_Dim!E:E,"Not Found")</f>
        <v>Amandaborough</v>
      </c>
      <c r="P1602" s="8" t="str">
        <f t="array" ref="P1602">XLOOKUP(D1602,Product_Dim!A:A,Product_Dim!B:B,"Not Found")</f>
        <v>Badminton Racket Set</v>
      </c>
      <c r="Q1602" s="8" t="str">
        <f t="array" ref="Q1602">XLOOKUP(D1602,Product_Dim!A:A,Product_Dim!C:C,"Not Found")</f>
        <v>Sports</v>
      </c>
      <c r="R1602" s="8" t="str">
        <f t="array" ref="R1602">XLOOKUP(E1602,Store_Dim!A:A,Store_Dim!B:B,"Not Found")</f>
        <v>East</v>
      </c>
      <c r="S1602" s="8" t="str">
        <f t="array" ref="S1602">XLOOKUP(E1602,Store_Dim!A:A,Store_Dim!D:D,"Not Found")</f>
        <v>Online</v>
      </c>
    </row>
    <row r="1603" ht="14.25" customHeight="1">
      <c r="A1603" s="8" t="s">
        <v>3556</v>
      </c>
      <c r="B1603" s="12">
        <v>47081.0</v>
      </c>
      <c r="C1603" s="8" t="s">
        <v>257</v>
      </c>
      <c r="D1603" s="8" t="s">
        <v>1624</v>
      </c>
      <c r="E1603" s="8" t="s">
        <v>1941</v>
      </c>
      <c r="F1603" s="8">
        <v>1.0</v>
      </c>
      <c r="G1603" s="8">
        <v>336.51</v>
      </c>
      <c r="H1603" s="8">
        <v>0.11</v>
      </c>
      <c r="I1603" s="8">
        <f t="shared" si="1"/>
        <v>336.51</v>
      </c>
      <c r="J1603" s="8">
        <f t="shared" si="2"/>
        <v>-36.9061</v>
      </c>
      <c r="K1603" s="8" t="str">
        <f t="shared" si="3"/>
        <v>Nov</v>
      </c>
      <c r="L1603" s="8">
        <f t="shared" si="4"/>
        <v>2028</v>
      </c>
      <c r="N1603" s="8" t="str">
        <f t="array" ref="N1603">XLOOKUP(C1603,Customer_Dim!A:A,Customer_Dim!B:B,"Not Found")</f>
        <v>Amber Mcclain</v>
      </c>
      <c r="O1603" s="8" t="str">
        <f t="array" ref="O1603">XLOOKUP(C1603,Customer_Dim!A:A,Customer_Dim!E:E,"Not Found")</f>
        <v>Brendaburgh</v>
      </c>
      <c r="P1603" s="8" t="str">
        <f t="array" ref="P1603">XLOOKUP(D1603,Product_Dim!A:A,Product_Dim!B:B,"Not Found")</f>
        <v>4K Home Projector</v>
      </c>
      <c r="Q1603" s="8" t="str">
        <f t="array" ref="Q1603">XLOOKUP(D1603,Product_Dim!A:A,Product_Dim!C:C,"Not Found")</f>
        <v>Electronics</v>
      </c>
      <c r="R1603" s="8" t="str">
        <f t="array" ref="R1603">XLOOKUP(E1603,Store_Dim!A:A,Store_Dim!B:B,"Not Found")</f>
        <v>East</v>
      </c>
      <c r="S1603" s="8" t="str">
        <f t="array" ref="S1603">XLOOKUP(E1603,Store_Dim!A:A,Store_Dim!D:D,"Not Found")</f>
        <v>Online</v>
      </c>
    </row>
    <row r="1604" ht="14.25" customHeight="1">
      <c r="A1604" s="8" t="s">
        <v>3557</v>
      </c>
      <c r="B1604" s="12">
        <v>47082.0</v>
      </c>
      <c r="C1604" s="8" t="s">
        <v>610</v>
      </c>
      <c r="D1604" s="8" t="s">
        <v>1790</v>
      </c>
      <c r="E1604" s="8" t="s">
        <v>1899</v>
      </c>
      <c r="F1604" s="8">
        <v>1.0</v>
      </c>
      <c r="G1604" s="8">
        <v>305.71</v>
      </c>
      <c r="H1604" s="8">
        <v>0.26</v>
      </c>
      <c r="I1604" s="8">
        <f t="shared" si="1"/>
        <v>305.71</v>
      </c>
      <c r="J1604" s="8">
        <f t="shared" si="2"/>
        <v>-79.2246</v>
      </c>
      <c r="K1604" s="8" t="str">
        <f t="shared" si="3"/>
        <v>Nov</v>
      </c>
      <c r="L1604" s="8">
        <f t="shared" si="4"/>
        <v>2028</v>
      </c>
      <c r="N1604" s="8" t="str">
        <f t="array" ref="N1604">XLOOKUP(C1604,Customer_Dim!A:A,Customer_Dim!B:B,"Not Found")</f>
        <v>Erin Ward</v>
      </c>
      <c r="O1604" s="8" t="str">
        <f t="array" ref="O1604">XLOOKUP(C1604,Customer_Dim!A:A,Customer_Dim!E:E,"Not Found")</f>
        <v>New Brianchester</v>
      </c>
      <c r="P1604" s="8" t="str">
        <f t="array" ref="P1604">XLOOKUP(D1604,Product_Dim!A:A,Product_Dim!B:B,"Not Found")</f>
        <v>Smart LED Light Strip</v>
      </c>
      <c r="Q1604" s="8" t="str">
        <f t="array" ref="Q1604">XLOOKUP(D1604,Product_Dim!A:A,Product_Dim!C:C,"Not Found")</f>
        <v>Electronics</v>
      </c>
      <c r="R1604" s="8" t="str">
        <f t="array" ref="R1604">XLOOKUP(E1604,Store_Dim!A:A,Store_Dim!B:B,"Not Found")</f>
        <v>East</v>
      </c>
      <c r="S1604" s="8" t="str">
        <f t="array" ref="S1604">XLOOKUP(E1604,Store_Dim!A:A,Store_Dim!D:D,"Not Found")</f>
        <v>Flagship</v>
      </c>
    </row>
    <row r="1605" ht="14.25" customHeight="1">
      <c r="A1605" s="8" t="s">
        <v>3558</v>
      </c>
      <c r="B1605" s="12">
        <v>47083.0</v>
      </c>
      <c r="C1605" s="8" t="s">
        <v>430</v>
      </c>
      <c r="D1605" s="8" t="s">
        <v>1606</v>
      </c>
      <c r="E1605" s="8" t="s">
        <v>1939</v>
      </c>
      <c r="F1605" s="8">
        <v>2.0</v>
      </c>
      <c r="G1605" s="8">
        <v>635.39</v>
      </c>
      <c r="H1605" s="8">
        <v>0.29</v>
      </c>
      <c r="I1605" s="8">
        <f t="shared" si="1"/>
        <v>1270.78</v>
      </c>
      <c r="J1605" s="8">
        <f t="shared" si="2"/>
        <v>-368.2362</v>
      </c>
      <c r="K1605" s="8" t="str">
        <f t="shared" si="3"/>
        <v>Nov</v>
      </c>
      <c r="L1605" s="8">
        <f t="shared" si="4"/>
        <v>2028</v>
      </c>
      <c r="N1605" s="8" t="str">
        <f t="array" ref="N1605">XLOOKUP(C1605,Customer_Dim!A:A,Customer_Dim!B:B,"Not Found")</f>
        <v>Joel Robinson</v>
      </c>
      <c r="O1605" s="8" t="str">
        <f t="array" ref="O1605">XLOOKUP(C1605,Customer_Dim!A:A,Customer_Dim!E:E,"Not Found")</f>
        <v>Lake Danielport</v>
      </c>
      <c r="P1605" s="8" t="str">
        <f t="array" ref="P1605">XLOOKUP(D1605,Product_Dim!A:A,Product_Dim!B:B,"Not Found")</f>
        <v>Ceramic Kitchen Bowl Set</v>
      </c>
      <c r="Q1605" s="8" t="str">
        <f t="array" ref="Q1605">XLOOKUP(D1605,Product_Dim!A:A,Product_Dim!C:C,"Not Found")</f>
        <v>Home</v>
      </c>
      <c r="R1605" s="8" t="str">
        <f t="array" ref="R1605">XLOOKUP(E1605,Store_Dim!A:A,Store_Dim!B:B,"Not Found")</f>
        <v>East</v>
      </c>
      <c r="S1605" s="8" t="str">
        <f t="array" ref="S1605">XLOOKUP(E1605,Store_Dim!A:A,Store_Dim!D:D,"Not Found")</f>
        <v>Flagship</v>
      </c>
    </row>
    <row r="1606" ht="14.25" customHeight="1">
      <c r="A1606" s="8" t="s">
        <v>3559</v>
      </c>
      <c r="B1606" s="12">
        <v>47084.0</v>
      </c>
      <c r="C1606" s="8" t="s">
        <v>415</v>
      </c>
      <c r="D1606" s="8" t="s">
        <v>1866</v>
      </c>
      <c r="E1606" s="8" t="s">
        <v>1941</v>
      </c>
      <c r="F1606" s="8">
        <v>2.0</v>
      </c>
      <c r="G1606" s="8">
        <v>253.87</v>
      </c>
      <c r="H1606" s="8">
        <v>0.23</v>
      </c>
      <c r="I1606" s="8">
        <f t="shared" si="1"/>
        <v>507.74</v>
      </c>
      <c r="J1606" s="8">
        <f t="shared" si="2"/>
        <v>-116.5502</v>
      </c>
      <c r="K1606" s="8" t="str">
        <f t="shared" si="3"/>
        <v>Nov</v>
      </c>
      <c r="L1606" s="8">
        <f t="shared" si="4"/>
        <v>2028</v>
      </c>
      <c r="N1606" s="8" t="str">
        <f t="array" ref="N1606">XLOOKUP(C1606,Customer_Dim!A:A,Customer_Dim!B:B,"Not Found")</f>
        <v>Anthony Phillips</v>
      </c>
      <c r="O1606" s="8" t="str">
        <f t="array" ref="O1606">XLOOKUP(C1606,Customer_Dim!A:A,Customer_Dim!E:E,"Not Found")</f>
        <v>North Davidport</v>
      </c>
      <c r="P1606" s="8" t="str">
        <f t="array" ref="P1606">XLOOKUP(D1606,Product_Dim!A:A,Product_Dim!B:B,"Not Found")</f>
        <v>Microwave Oven</v>
      </c>
      <c r="Q1606" s="8" t="str">
        <f t="array" ref="Q1606">XLOOKUP(D1606,Product_Dim!A:A,Product_Dim!C:C,"Not Found")</f>
        <v>Home</v>
      </c>
      <c r="R1606" s="8" t="str">
        <f t="array" ref="R1606">XLOOKUP(E1606,Store_Dim!A:A,Store_Dim!B:B,"Not Found")</f>
        <v>East</v>
      </c>
      <c r="S1606" s="8" t="str">
        <f t="array" ref="S1606">XLOOKUP(E1606,Store_Dim!A:A,Store_Dim!D:D,"Not Found")</f>
        <v>Online</v>
      </c>
    </row>
    <row r="1607" ht="14.25" customHeight="1">
      <c r="A1607" s="8" t="s">
        <v>3560</v>
      </c>
      <c r="B1607" s="12">
        <v>47085.0</v>
      </c>
      <c r="C1607" s="8" t="s">
        <v>1505</v>
      </c>
      <c r="D1607" s="8" t="s">
        <v>1818</v>
      </c>
      <c r="E1607" s="8" t="s">
        <v>1937</v>
      </c>
      <c r="F1607" s="8">
        <v>3.0</v>
      </c>
      <c r="G1607" s="8">
        <v>915.81</v>
      </c>
      <c r="H1607" s="8">
        <v>0.17</v>
      </c>
      <c r="I1607" s="8">
        <f t="shared" si="1"/>
        <v>2747.43</v>
      </c>
      <c r="J1607" s="8">
        <f t="shared" si="2"/>
        <v>-466.8931</v>
      </c>
      <c r="K1607" s="8" t="str">
        <f t="shared" si="3"/>
        <v>Nov</v>
      </c>
      <c r="L1607" s="8">
        <f t="shared" si="4"/>
        <v>2028</v>
      </c>
      <c r="N1607" s="8" t="str">
        <f t="array" ref="N1607">XLOOKUP(C1607,Customer_Dim!A:A,Customer_Dim!B:B,"Not Found")</f>
        <v>Jessica Castro</v>
      </c>
      <c r="O1607" s="8" t="str">
        <f t="array" ref="O1607">XLOOKUP(C1607,Customer_Dim!A:A,Customer_Dim!E:E,"Not Found")</f>
        <v>West Markton</v>
      </c>
      <c r="P1607" s="8" t="str">
        <f t="array" ref="P1607">XLOOKUP(D1607,Product_Dim!A:A,Product_Dim!B:B,"Not Found")</f>
        <v>Wireless Mouse</v>
      </c>
      <c r="Q1607" s="8" t="str">
        <f t="array" ref="Q1607">XLOOKUP(D1607,Product_Dim!A:A,Product_Dim!C:C,"Not Found")</f>
        <v>Electronics</v>
      </c>
      <c r="R1607" s="8" t="str">
        <f t="array" ref="R1607">XLOOKUP(E1607,Store_Dim!A:A,Store_Dim!B:B,"Not Found")</f>
        <v>North</v>
      </c>
      <c r="S1607" s="8" t="str">
        <f t="array" ref="S1607">XLOOKUP(E1607,Store_Dim!A:A,Store_Dim!D:D,"Not Found")</f>
        <v>Flagship</v>
      </c>
    </row>
    <row r="1608" ht="14.25" customHeight="1">
      <c r="A1608" s="8" t="s">
        <v>3561</v>
      </c>
      <c r="B1608" s="12">
        <v>47086.0</v>
      </c>
      <c r="C1608" s="8" t="s">
        <v>693</v>
      </c>
      <c r="D1608" s="8" t="s">
        <v>1713</v>
      </c>
      <c r="E1608" s="8" t="s">
        <v>1921</v>
      </c>
      <c r="F1608" s="8">
        <v>3.0</v>
      </c>
      <c r="G1608" s="8">
        <v>779.5</v>
      </c>
      <c r="H1608" s="8">
        <v>0.02</v>
      </c>
      <c r="I1608" s="8">
        <f t="shared" si="1"/>
        <v>2338.5</v>
      </c>
      <c r="J1608" s="8">
        <f t="shared" si="2"/>
        <v>-46.75</v>
      </c>
      <c r="K1608" s="8" t="str">
        <f t="shared" si="3"/>
        <v>Nov</v>
      </c>
      <c r="L1608" s="8">
        <f t="shared" si="4"/>
        <v>2028</v>
      </c>
      <c r="N1608" s="8" t="str">
        <f t="array" ref="N1608">XLOOKUP(C1608,Customer_Dim!A:A,Customer_Dim!B:B,"Not Found")</f>
        <v>Joan Johnson</v>
      </c>
      <c r="O1608" s="8" t="str">
        <f t="array" ref="O1608">XLOOKUP(C1608,Customer_Dim!A:A,Customer_Dim!E:E,"Not Found")</f>
        <v>Lake Josephport</v>
      </c>
      <c r="P1608" s="8" t="str">
        <f t="array" ref="P1608">XLOOKUP(D1608,Product_Dim!A:A,Product_Dim!B:B,"Not Found")</f>
        <v>Smart Home WiFi Camera</v>
      </c>
      <c r="Q1608" s="8" t="str">
        <f t="array" ref="Q1608">XLOOKUP(D1608,Product_Dim!A:A,Product_Dim!C:C,"Not Found")</f>
        <v>Electronics</v>
      </c>
      <c r="R1608" s="8" t="str">
        <f t="array" ref="R1608">XLOOKUP(E1608,Store_Dim!A:A,Store_Dim!B:B,"Not Found")</f>
        <v>West</v>
      </c>
      <c r="S1608" s="8" t="str">
        <f t="array" ref="S1608">XLOOKUP(E1608,Store_Dim!A:A,Store_Dim!D:D,"Not Found")</f>
        <v>Online</v>
      </c>
    </row>
    <row r="1609" ht="14.25" customHeight="1">
      <c r="A1609" s="8" t="s">
        <v>3562</v>
      </c>
      <c r="B1609" s="12">
        <v>47087.0</v>
      </c>
      <c r="C1609" s="8" t="s">
        <v>1462</v>
      </c>
      <c r="D1609" s="8" t="s">
        <v>1772</v>
      </c>
      <c r="E1609" s="8" t="s">
        <v>1935</v>
      </c>
      <c r="F1609" s="8">
        <v>2.0</v>
      </c>
      <c r="G1609" s="8">
        <v>780.57</v>
      </c>
      <c r="H1609" s="8">
        <v>0.26</v>
      </c>
      <c r="I1609" s="8">
        <f t="shared" si="1"/>
        <v>1561.14</v>
      </c>
      <c r="J1609" s="8">
        <f t="shared" si="2"/>
        <v>-405.6364</v>
      </c>
      <c r="K1609" s="8" t="str">
        <f t="shared" si="3"/>
        <v>Nov</v>
      </c>
      <c r="L1609" s="8">
        <f t="shared" si="4"/>
        <v>2028</v>
      </c>
      <c r="N1609" s="8" t="str">
        <f t="array" ref="N1609">XLOOKUP(C1609,Customer_Dim!A:A,Customer_Dim!B:B,"Not Found")</f>
        <v>James Foster</v>
      </c>
      <c r="O1609" s="8" t="str">
        <f t="array" ref="O1609">XLOOKUP(C1609,Customer_Dim!A:A,Customer_Dim!E:E,"Not Found")</f>
        <v>East Audrey</v>
      </c>
      <c r="P1609" s="8" t="str">
        <f t="array" ref="P1609">XLOOKUP(D1609,Product_Dim!A:A,Product_Dim!B:B,"Not Found")</f>
        <v>Tennis Ball 3-Pack</v>
      </c>
      <c r="Q1609" s="8" t="str">
        <f t="array" ref="Q1609">XLOOKUP(D1609,Product_Dim!A:A,Product_Dim!C:C,"Not Found")</f>
        <v>Sports</v>
      </c>
      <c r="R1609" s="8" t="str">
        <f t="array" ref="R1609">XLOOKUP(E1609,Store_Dim!A:A,Store_Dim!B:B,"Not Found")</f>
        <v>West</v>
      </c>
      <c r="S1609" s="8" t="str">
        <f t="array" ref="S1609">XLOOKUP(E1609,Store_Dim!A:A,Store_Dim!D:D,"Not Found")</f>
        <v>Flagship</v>
      </c>
    </row>
    <row r="1610" ht="14.25" customHeight="1">
      <c r="A1610" s="8" t="s">
        <v>3563</v>
      </c>
      <c r="B1610" s="12">
        <v>47088.0</v>
      </c>
      <c r="C1610" s="8" t="s">
        <v>1212</v>
      </c>
      <c r="D1610" s="8" t="s">
        <v>1875</v>
      </c>
      <c r="E1610" s="8" t="s">
        <v>1941</v>
      </c>
      <c r="F1610" s="8">
        <v>1.0</v>
      </c>
      <c r="G1610" s="8">
        <v>511.35</v>
      </c>
      <c r="H1610" s="8">
        <v>0.0</v>
      </c>
      <c r="I1610" s="8">
        <f t="shared" si="1"/>
        <v>511.35</v>
      </c>
      <c r="J1610" s="8">
        <f t="shared" si="2"/>
        <v>0</v>
      </c>
      <c r="K1610" s="8" t="str">
        <f t="shared" si="3"/>
        <v>Dec</v>
      </c>
      <c r="L1610" s="8">
        <f t="shared" si="4"/>
        <v>2028</v>
      </c>
      <c r="N1610" s="8" t="str">
        <f t="array" ref="N1610">XLOOKUP(C1610,Customer_Dim!A:A,Customer_Dim!B:B,"Not Found")</f>
        <v>Kristine Higgins</v>
      </c>
      <c r="O1610" s="8" t="str">
        <f t="array" ref="O1610">XLOOKUP(C1610,Customer_Dim!A:A,Customer_Dim!E:E,"Not Found")</f>
        <v>Jennifertown</v>
      </c>
      <c r="P1610" s="8" t="str">
        <f t="array" ref="P1610">XLOOKUP(D1610,Product_Dim!A:A,Product_Dim!B:B,"Not Found")</f>
        <v>Sports Stopwatch Basic</v>
      </c>
      <c r="Q1610" s="8" t="str">
        <f t="array" ref="Q1610">XLOOKUP(D1610,Product_Dim!A:A,Product_Dim!C:C,"Not Found")</f>
        <v>Sports</v>
      </c>
      <c r="R1610" s="8" t="str">
        <f t="array" ref="R1610">XLOOKUP(E1610,Store_Dim!A:A,Store_Dim!B:B,"Not Found")</f>
        <v>East</v>
      </c>
      <c r="S1610" s="8" t="str">
        <f t="array" ref="S1610">XLOOKUP(E1610,Store_Dim!A:A,Store_Dim!D:D,"Not Found")</f>
        <v>Online</v>
      </c>
    </row>
    <row r="1611" ht="14.25" customHeight="1">
      <c r="A1611" s="8" t="s">
        <v>3564</v>
      </c>
      <c r="B1611" s="12">
        <v>47089.0</v>
      </c>
      <c r="C1611" s="8" t="s">
        <v>84</v>
      </c>
      <c r="D1611" s="8" t="s">
        <v>1881</v>
      </c>
      <c r="E1611" s="8" t="s">
        <v>1910</v>
      </c>
      <c r="F1611" s="8">
        <v>4.0</v>
      </c>
      <c r="G1611" s="8">
        <v>44.07</v>
      </c>
      <c r="H1611" s="8">
        <v>0.29</v>
      </c>
      <c r="I1611" s="8">
        <f t="shared" si="1"/>
        <v>176.28</v>
      </c>
      <c r="J1611" s="8">
        <f t="shared" si="2"/>
        <v>-50.8312</v>
      </c>
      <c r="K1611" s="8" t="str">
        <f t="shared" si="3"/>
        <v>Dec</v>
      </c>
      <c r="L1611" s="8">
        <f t="shared" si="4"/>
        <v>2028</v>
      </c>
      <c r="N1611" s="8" t="str">
        <f t="array" ref="N1611">XLOOKUP(C1611,Customer_Dim!A:A,Customer_Dim!B:B,"Not Found")</f>
        <v>John Scott</v>
      </c>
      <c r="O1611" s="8" t="str">
        <f t="array" ref="O1611">XLOOKUP(C1611,Customer_Dim!A:A,Customer_Dim!E:E,"Not Found")</f>
        <v>South Christopher</v>
      </c>
      <c r="P1611" s="8" t="str">
        <f t="array" ref="P1611">XLOOKUP(D1611,Product_Dim!A:A,Product_Dim!B:B,"Not Found")</f>
        <v>Cricket Bat</v>
      </c>
      <c r="Q1611" s="8" t="str">
        <f t="array" ref="Q1611">XLOOKUP(D1611,Product_Dim!A:A,Product_Dim!C:C,"Not Found")</f>
        <v>Sports</v>
      </c>
      <c r="R1611" s="8" t="str">
        <f t="array" ref="R1611">XLOOKUP(E1611,Store_Dim!A:A,Store_Dim!B:B,"Not Found")</f>
        <v>North</v>
      </c>
      <c r="S1611" s="8" t="str">
        <f t="array" ref="S1611">XLOOKUP(E1611,Store_Dim!A:A,Store_Dim!D:D,"Not Found")</f>
        <v>Outlet</v>
      </c>
    </row>
    <row r="1612" ht="14.25" customHeight="1">
      <c r="A1612" s="8" t="s">
        <v>3565</v>
      </c>
      <c r="B1612" s="12">
        <v>47090.0</v>
      </c>
      <c r="C1612" s="8" t="s">
        <v>658</v>
      </c>
      <c r="D1612" s="8" t="s">
        <v>1797</v>
      </c>
      <c r="E1612" s="8" t="s">
        <v>1928</v>
      </c>
      <c r="F1612" s="8">
        <v>2.0</v>
      </c>
      <c r="G1612" s="8">
        <v>895.92</v>
      </c>
      <c r="H1612" s="8">
        <v>0.15</v>
      </c>
      <c r="I1612" s="8">
        <f t="shared" si="1"/>
        <v>1791.84</v>
      </c>
      <c r="J1612" s="8">
        <f t="shared" si="2"/>
        <v>-268.626</v>
      </c>
      <c r="K1612" s="8" t="str">
        <f t="shared" si="3"/>
        <v>Dec</v>
      </c>
      <c r="L1612" s="8">
        <f t="shared" si="4"/>
        <v>2028</v>
      </c>
      <c r="N1612" s="8" t="str">
        <f t="array" ref="N1612">XLOOKUP(C1612,Customer_Dim!A:A,Customer_Dim!B:B,"Not Found")</f>
        <v>Andrea Jacobs</v>
      </c>
      <c r="O1612" s="8" t="str">
        <f t="array" ref="O1612">XLOOKUP(C1612,Customer_Dim!A:A,Customer_Dim!E:E,"Not Found")</f>
        <v>Christopherland</v>
      </c>
      <c r="P1612" s="8" t="str">
        <f t="array" ref="P1612">XLOOKUP(D1612,Product_Dim!A:A,Product_Dim!B:B,"Not Found")</f>
        <v>Men's Sports Shorts</v>
      </c>
      <c r="Q1612" s="8" t="str">
        <f t="array" ref="Q1612">XLOOKUP(D1612,Product_Dim!A:A,Product_Dim!C:C,"Not Found")</f>
        <v>Clothing</v>
      </c>
      <c r="R1612" s="8" t="str">
        <f t="array" ref="R1612">XLOOKUP(E1612,Store_Dim!A:A,Store_Dim!B:B,"Not Found")</f>
        <v>South</v>
      </c>
      <c r="S1612" s="8" t="str">
        <f t="array" ref="S1612">XLOOKUP(E1612,Store_Dim!A:A,Store_Dim!D:D,"Not Found")</f>
        <v>Online</v>
      </c>
    </row>
    <row r="1613" ht="14.25" customHeight="1">
      <c r="A1613" s="8" t="s">
        <v>3566</v>
      </c>
      <c r="B1613" s="12">
        <v>47091.0</v>
      </c>
      <c r="C1613" s="8" t="s">
        <v>978</v>
      </c>
      <c r="D1613" s="8" t="s">
        <v>1748</v>
      </c>
      <c r="E1613" s="8" t="s">
        <v>1906</v>
      </c>
      <c r="F1613" s="8">
        <v>4.0</v>
      </c>
      <c r="G1613" s="8">
        <v>456.32</v>
      </c>
      <c r="H1613" s="8">
        <v>0.22</v>
      </c>
      <c r="I1613" s="8">
        <f t="shared" si="1"/>
        <v>1825.28</v>
      </c>
      <c r="J1613" s="8">
        <f t="shared" si="2"/>
        <v>-401.3416</v>
      </c>
      <c r="K1613" s="8" t="str">
        <f t="shared" si="3"/>
        <v>Dec</v>
      </c>
      <c r="L1613" s="8">
        <f t="shared" si="4"/>
        <v>2028</v>
      </c>
      <c r="N1613" s="8" t="str">
        <f t="array" ref="N1613">XLOOKUP(C1613,Customer_Dim!A:A,Customer_Dim!B:B,"Not Found")</f>
        <v>Roberta Green</v>
      </c>
      <c r="O1613" s="8" t="str">
        <f t="array" ref="O1613">XLOOKUP(C1613,Customer_Dim!A:A,Customer_Dim!E:E,"Not Found")</f>
        <v>West Joseph</v>
      </c>
      <c r="P1613" s="8" t="str">
        <f t="array" ref="P1613">XLOOKUP(D1613,Product_Dim!A:A,Product_Dim!B:B,"Not Found")</f>
        <v>Men's Track Pants</v>
      </c>
      <c r="Q1613" s="8" t="str">
        <f t="array" ref="Q1613">XLOOKUP(D1613,Product_Dim!A:A,Product_Dim!C:C,"Not Found")</f>
        <v>Clothing</v>
      </c>
      <c r="R1613" s="8" t="str">
        <f t="array" ref="R1613">XLOOKUP(E1613,Store_Dim!A:A,Store_Dim!B:B,"Not Found")</f>
        <v>South</v>
      </c>
      <c r="S1613" s="8" t="str">
        <f t="array" ref="S1613">XLOOKUP(E1613,Store_Dim!A:A,Store_Dim!D:D,"Not Found")</f>
        <v>Outlet</v>
      </c>
    </row>
    <row r="1614" ht="14.25" customHeight="1">
      <c r="A1614" s="8" t="s">
        <v>3567</v>
      </c>
      <c r="B1614" s="12">
        <v>47092.0</v>
      </c>
      <c r="C1614" s="8" t="s">
        <v>1320</v>
      </c>
      <c r="D1614" s="8" t="s">
        <v>1687</v>
      </c>
      <c r="E1614" s="8" t="s">
        <v>1899</v>
      </c>
      <c r="F1614" s="8">
        <v>1.0</v>
      </c>
      <c r="G1614" s="8">
        <v>905.5</v>
      </c>
      <c r="H1614" s="8">
        <v>0.29</v>
      </c>
      <c r="I1614" s="8">
        <f t="shared" si="1"/>
        <v>905.5</v>
      </c>
      <c r="J1614" s="8">
        <f t="shared" si="2"/>
        <v>-262.305</v>
      </c>
      <c r="K1614" s="8" t="str">
        <f t="shared" si="3"/>
        <v>Dec</v>
      </c>
      <c r="L1614" s="8">
        <f t="shared" si="4"/>
        <v>2028</v>
      </c>
      <c r="N1614" s="8" t="str">
        <f t="array" ref="N1614">XLOOKUP(C1614,Customer_Dim!A:A,Customer_Dim!B:B,"Not Found")</f>
        <v>Dr. Tamara White MD</v>
      </c>
      <c r="O1614" s="8" t="str">
        <f t="array" ref="O1614">XLOOKUP(C1614,Customer_Dim!A:A,Customer_Dim!E:E,"Not Found")</f>
        <v>New Benjamin</v>
      </c>
      <c r="P1614" s="8" t="str">
        <f t="array" ref="P1614">XLOOKUP(D1614,Product_Dim!A:A,Product_Dim!B:B,"Not Found")</f>
        <v>Gaming Mechanical Keyboard</v>
      </c>
      <c r="Q1614" s="8" t="str">
        <f t="array" ref="Q1614">XLOOKUP(D1614,Product_Dim!A:A,Product_Dim!C:C,"Not Found")</f>
        <v>Electronics</v>
      </c>
      <c r="R1614" s="8" t="str">
        <f t="array" ref="R1614">XLOOKUP(E1614,Store_Dim!A:A,Store_Dim!B:B,"Not Found")</f>
        <v>East</v>
      </c>
      <c r="S1614" s="8" t="str">
        <f t="array" ref="S1614">XLOOKUP(E1614,Store_Dim!A:A,Store_Dim!D:D,"Not Found")</f>
        <v>Flagship</v>
      </c>
    </row>
    <row r="1615" ht="14.25" customHeight="1">
      <c r="A1615" s="8" t="s">
        <v>3568</v>
      </c>
      <c r="B1615" s="12">
        <v>47093.0</v>
      </c>
      <c r="C1615" s="8" t="s">
        <v>678</v>
      </c>
      <c r="D1615" s="8" t="s">
        <v>1989</v>
      </c>
      <c r="E1615" s="8" t="s">
        <v>1931</v>
      </c>
      <c r="F1615" s="8">
        <v>3.0</v>
      </c>
      <c r="G1615" s="8">
        <v>63.19</v>
      </c>
      <c r="H1615" s="8">
        <v>0.08</v>
      </c>
      <c r="I1615" s="8">
        <f t="shared" si="1"/>
        <v>189.57</v>
      </c>
      <c r="J1615" s="8">
        <f t="shared" si="2"/>
        <v>-15.0856</v>
      </c>
      <c r="K1615" s="8" t="str">
        <f t="shared" si="3"/>
        <v>Dec</v>
      </c>
      <c r="L1615" s="8">
        <f t="shared" si="4"/>
        <v>2028</v>
      </c>
      <c r="N1615" s="8" t="str">
        <f t="array" ref="N1615">XLOOKUP(C1615,Customer_Dim!A:A,Customer_Dim!B:B,"Not Found")</f>
        <v>Tiffany Herrera</v>
      </c>
      <c r="O1615" s="8" t="str">
        <f t="array" ref="O1615">XLOOKUP(C1615,Customer_Dim!A:A,Customer_Dim!E:E,"Not Found")</f>
        <v>New Dianebury</v>
      </c>
      <c r="P1615" s="8" t="str">
        <f t="array" ref="P1615">XLOOKUP(D1615,Product_Dim!A:A,Product_Dim!B:B,"Not Found")</f>
        <v>Not Found</v>
      </c>
      <c r="Q1615" s="8" t="str">
        <f t="array" ref="Q1615">XLOOKUP(D1615,Product_Dim!A:A,Product_Dim!C:C,"Not Found")</f>
        <v>Not Found</v>
      </c>
      <c r="R1615" s="8" t="str">
        <f t="array" ref="R1615">XLOOKUP(E1615,Store_Dim!A:A,Store_Dim!B:B,"Not Found")</f>
        <v>East</v>
      </c>
      <c r="S1615" s="8" t="str">
        <f t="array" ref="S1615">XLOOKUP(E1615,Store_Dim!A:A,Store_Dim!D:D,"Not Found")</f>
        <v>Flagship</v>
      </c>
    </row>
    <row r="1616" ht="14.25" customHeight="1">
      <c r="A1616" s="8" t="s">
        <v>3569</v>
      </c>
      <c r="B1616" s="12">
        <v>47094.0</v>
      </c>
      <c r="C1616" s="8" t="s">
        <v>201</v>
      </c>
      <c r="D1616" s="8" t="s">
        <v>1800</v>
      </c>
      <c r="E1616" s="8" t="s">
        <v>1919</v>
      </c>
      <c r="F1616" s="8">
        <v>3.0</v>
      </c>
      <c r="G1616" s="8">
        <v>687.66</v>
      </c>
      <c r="H1616" s="8">
        <v>0.06</v>
      </c>
      <c r="I1616" s="8">
        <f t="shared" si="1"/>
        <v>2062.98</v>
      </c>
      <c r="J1616" s="8">
        <f t="shared" si="2"/>
        <v>-123.7188</v>
      </c>
      <c r="K1616" s="8" t="str">
        <f t="shared" si="3"/>
        <v>Dec</v>
      </c>
      <c r="L1616" s="8">
        <f t="shared" si="4"/>
        <v>2028</v>
      </c>
      <c r="N1616" s="8" t="str">
        <f t="array" ref="N1616">XLOOKUP(C1616,Customer_Dim!A:A,Customer_Dim!B:B,"Not Found")</f>
        <v>Matthew Hunter Jr.</v>
      </c>
      <c r="O1616" s="8" t="str">
        <f t="array" ref="O1616">XLOOKUP(C1616,Customer_Dim!A:A,Customer_Dim!E:E,"Not Found")</f>
        <v>Gregoryview</v>
      </c>
      <c r="P1616" s="8" t="str">
        <f t="array" ref="P1616">XLOOKUP(D1616,Product_Dim!A:A,Product_Dim!B:B,"Not Found")</f>
        <v>Kitchen Storage Rack</v>
      </c>
      <c r="Q1616" s="8" t="str">
        <f t="array" ref="Q1616">XLOOKUP(D1616,Product_Dim!A:A,Product_Dim!C:C,"Not Found")</f>
        <v>Home</v>
      </c>
      <c r="R1616" s="8" t="str">
        <f t="array" ref="R1616">XLOOKUP(E1616,Store_Dim!A:A,Store_Dim!B:B,"Not Found")</f>
        <v>South</v>
      </c>
      <c r="S1616" s="8" t="str">
        <f t="array" ref="S1616">XLOOKUP(E1616,Store_Dim!A:A,Store_Dim!D:D,"Not Found")</f>
        <v>Online</v>
      </c>
    </row>
    <row r="1617" ht="14.25" customHeight="1">
      <c r="A1617" s="8" t="s">
        <v>3570</v>
      </c>
      <c r="B1617" s="12">
        <v>47095.0</v>
      </c>
      <c r="C1617" s="8" t="s">
        <v>723</v>
      </c>
      <c r="D1617" s="8" t="s">
        <v>1716</v>
      </c>
      <c r="E1617" s="8" t="s">
        <v>1924</v>
      </c>
      <c r="F1617" s="8">
        <v>4.0</v>
      </c>
      <c r="G1617" s="8">
        <v>639.06</v>
      </c>
      <c r="H1617" s="8">
        <v>0.12</v>
      </c>
      <c r="I1617" s="8">
        <f t="shared" si="1"/>
        <v>2556.24</v>
      </c>
      <c r="J1617" s="8">
        <f t="shared" si="2"/>
        <v>-306.6288</v>
      </c>
      <c r="K1617" s="8" t="str">
        <f t="shared" si="3"/>
        <v>Dec</v>
      </c>
      <c r="L1617" s="8">
        <f t="shared" si="4"/>
        <v>2028</v>
      </c>
      <c r="N1617" s="8" t="str">
        <f t="array" ref="N1617">XLOOKUP(C1617,Customer_Dim!A:A,Customer_Dim!B:B,"Not Found")</f>
        <v>Jordan Wells</v>
      </c>
      <c r="O1617" s="8" t="str">
        <f t="array" ref="O1617">XLOOKUP(C1617,Customer_Dim!A:A,Customer_Dim!E:E,"Not Found")</f>
        <v>Phillipschester   </v>
      </c>
      <c r="P1617" s="8" t="str">
        <f t="array" ref="P1617">XLOOKUP(D1617,Product_Dim!A:A,Product_Dim!B:B,"Not Found")</f>
        <v>USB External Hard Drive</v>
      </c>
      <c r="Q1617" s="8" t="str">
        <f t="array" ref="Q1617">XLOOKUP(D1617,Product_Dim!A:A,Product_Dim!C:C,"Not Found")</f>
        <v>Electronics</v>
      </c>
      <c r="R1617" s="8" t="str">
        <f t="array" ref="R1617">XLOOKUP(E1617,Store_Dim!A:A,Store_Dim!B:B,"Not Found")</f>
        <v>South</v>
      </c>
      <c r="S1617" s="8" t="str">
        <f t="array" ref="S1617">XLOOKUP(E1617,Store_Dim!A:A,Store_Dim!D:D,"Not Found")</f>
        <v>Flagship</v>
      </c>
    </row>
    <row r="1618" ht="14.25" customHeight="1">
      <c r="A1618" s="8" t="s">
        <v>3571</v>
      </c>
      <c r="B1618" s="12">
        <v>47096.0</v>
      </c>
      <c r="C1618" s="8" t="s">
        <v>257</v>
      </c>
      <c r="D1618" s="8" t="s">
        <v>1803</v>
      </c>
      <c r="E1618" s="8" t="s">
        <v>1919</v>
      </c>
      <c r="F1618" s="8">
        <v>1.0</v>
      </c>
      <c r="G1618" s="8">
        <v>475.15</v>
      </c>
      <c r="H1618" s="8">
        <v>0.04</v>
      </c>
      <c r="I1618" s="8">
        <f t="shared" si="1"/>
        <v>475.15</v>
      </c>
      <c r="J1618" s="8">
        <f t="shared" si="2"/>
        <v>-18.966</v>
      </c>
      <c r="K1618" s="8" t="str">
        <f t="shared" si="3"/>
        <v>Dec</v>
      </c>
      <c r="L1618" s="8">
        <f t="shared" si="4"/>
        <v>2028</v>
      </c>
      <c r="N1618" s="8" t="str">
        <f t="array" ref="N1618">XLOOKUP(C1618,Customer_Dim!A:A,Customer_Dim!B:B,"Not Found")</f>
        <v>Amber Mcclain</v>
      </c>
      <c r="O1618" s="8" t="str">
        <f t="array" ref="O1618">XLOOKUP(C1618,Customer_Dim!A:A,Customer_Dim!E:E,"Not Found")</f>
        <v>Brendaburgh</v>
      </c>
      <c r="P1618" s="8" t="str">
        <f t="array" ref="P1618">XLOOKUP(D1618,Product_Dim!A:A,Product_Dim!B:B,"Not Found")</f>
        <v>Hair Repair Oil Treatment</v>
      </c>
      <c r="Q1618" s="8" t="str">
        <f t="array" ref="Q1618">XLOOKUP(D1618,Product_Dim!A:A,Product_Dim!C:C,"Not Found")</f>
        <v>Beauty</v>
      </c>
      <c r="R1618" s="8" t="str">
        <f t="array" ref="R1618">XLOOKUP(E1618,Store_Dim!A:A,Store_Dim!B:B,"Not Found")</f>
        <v>South</v>
      </c>
      <c r="S1618" s="8" t="str">
        <f t="array" ref="S1618">XLOOKUP(E1618,Store_Dim!A:A,Store_Dim!D:D,"Not Found")</f>
        <v>Online</v>
      </c>
    </row>
    <row r="1619" ht="14.25" customHeight="1">
      <c r="A1619" s="8" t="s">
        <v>3572</v>
      </c>
      <c r="B1619" s="12">
        <v>47097.0</v>
      </c>
      <c r="C1619" s="8" t="s">
        <v>637</v>
      </c>
      <c r="D1619" s="8" t="s">
        <v>1719</v>
      </c>
      <c r="E1619" s="8" t="s">
        <v>1917</v>
      </c>
      <c r="F1619" s="8">
        <v>1.0</v>
      </c>
      <c r="G1619" s="8">
        <v>62.38</v>
      </c>
      <c r="H1619" s="8">
        <v>0.08</v>
      </c>
      <c r="I1619" s="8">
        <f t="shared" si="1"/>
        <v>62.38</v>
      </c>
      <c r="J1619" s="8">
        <f t="shared" si="2"/>
        <v>-4.9104</v>
      </c>
      <c r="K1619" s="8" t="str">
        <f t="shared" si="3"/>
        <v>Dec</v>
      </c>
      <c r="L1619" s="8">
        <f t="shared" si="4"/>
        <v>2028</v>
      </c>
      <c r="N1619" s="8" t="str">
        <f t="array" ref="N1619">XLOOKUP(C1619,Customer_Dim!A:A,Customer_Dim!B:B,"Not Found")</f>
        <v>Christopher Stewart</v>
      </c>
      <c r="O1619" s="8" t="str">
        <f t="array" ref="O1619">XLOOKUP(C1619,Customer_Dim!A:A,Customer_Dim!E:E,"Not Found")</f>
        <v>Amandaside</v>
      </c>
      <c r="P1619" s="8" t="str">
        <f t="array" ref="P1619">XLOOKUP(D1619,Product_Dim!A:A,Product_Dim!B:B,"Not Found")</f>
        <v>Adjustable Jump Rope</v>
      </c>
      <c r="Q1619" s="8" t="str">
        <f t="array" ref="Q1619">XLOOKUP(D1619,Product_Dim!A:A,Product_Dim!C:C,"Not Found")</f>
        <v>Sports</v>
      </c>
      <c r="R1619" s="8" t="str">
        <f t="array" ref="R1619">XLOOKUP(E1619,Store_Dim!A:A,Store_Dim!B:B,"Not Found")</f>
        <v>East</v>
      </c>
      <c r="S1619" s="8" t="str">
        <f t="array" ref="S1619">XLOOKUP(E1619,Store_Dim!A:A,Store_Dim!D:D,"Not Found")</f>
        <v>Online</v>
      </c>
    </row>
    <row r="1620" ht="14.25" customHeight="1">
      <c r="A1620" s="8" t="s">
        <v>3573</v>
      </c>
      <c r="B1620" s="12">
        <v>47098.0</v>
      </c>
      <c r="C1620" s="8" t="s">
        <v>1125</v>
      </c>
      <c r="D1620" s="8" t="s">
        <v>1624</v>
      </c>
      <c r="E1620" s="8" t="s">
        <v>1919</v>
      </c>
      <c r="F1620" s="8">
        <v>1.0</v>
      </c>
      <c r="G1620" s="8">
        <v>977.02</v>
      </c>
      <c r="H1620" s="8">
        <v>0.2</v>
      </c>
      <c r="I1620" s="8">
        <f t="shared" si="1"/>
        <v>977.02</v>
      </c>
      <c r="J1620" s="8">
        <f t="shared" si="2"/>
        <v>-195.204</v>
      </c>
      <c r="K1620" s="8" t="str">
        <f t="shared" si="3"/>
        <v>Dec</v>
      </c>
      <c r="L1620" s="8">
        <f t="shared" si="4"/>
        <v>2028</v>
      </c>
      <c r="N1620" s="8" t="str">
        <f t="array" ref="N1620">XLOOKUP(C1620,Customer_Dim!A:A,Customer_Dim!B:B,"Not Found")</f>
        <v>Ryan Torres</v>
      </c>
      <c r="O1620" s="8" t="str">
        <f t="array" ref="O1620">XLOOKUP(C1620,Customer_Dim!A:A,Customer_Dim!E:E,"Not Found")</f>
        <v>Guerreroport</v>
      </c>
      <c r="P1620" s="8" t="str">
        <f t="array" ref="P1620">XLOOKUP(D1620,Product_Dim!A:A,Product_Dim!B:B,"Not Found")</f>
        <v>4K Home Projector</v>
      </c>
      <c r="Q1620" s="8" t="str">
        <f t="array" ref="Q1620">XLOOKUP(D1620,Product_Dim!A:A,Product_Dim!C:C,"Not Found")</f>
        <v>Electronics</v>
      </c>
      <c r="R1620" s="8" t="str">
        <f t="array" ref="R1620">XLOOKUP(E1620,Store_Dim!A:A,Store_Dim!B:B,"Not Found")</f>
        <v>South</v>
      </c>
      <c r="S1620" s="8" t="str">
        <f t="array" ref="S1620">XLOOKUP(E1620,Store_Dim!A:A,Store_Dim!D:D,"Not Found")</f>
        <v>Online</v>
      </c>
    </row>
    <row r="1621" ht="14.25" customHeight="1">
      <c r="A1621" s="8" t="s">
        <v>3574</v>
      </c>
      <c r="B1621" s="12">
        <v>47099.0</v>
      </c>
      <c r="C1621" s="8" t="s">
        <v>281</v>
      </c>
      <c r="D1621" s="8" t="s">
        <v>1839</v>
      </c>
      <c r="E1621" s="8" t="s">
        <v>1912</v>
      </c>
      <c r="F1621" s="8">
        <v>2.0</v>
      </c>
      <c r="G1621" s="8">
        <v>898.81</v>
      </c>
      <c r="H1621" s="8">
        <v>0.25</v>
      </c>
      <c r="I1621" s="8">
        <f t="shared" si="1"/>
        <v>1797.62</v>
      </c>
      <c r="J1621" s="8">
        <f t="shared" si="2"/>
        <v>-449.155</v>
      </c>
      <c r="K1621" s="8" t="str">
        <f t="shared" si="3"/>
        <v>Dec</v>
      </c>
      <c r="L1621" s="8">
        <f t="shared" si="4"/>
        <v>2028</v>
      </c>
      <c r="N1621" s="8" t="str">
        <f t="array" ref="N1621">XLOOKUP(C1621,Customer_Dim!A:A,Customer_Dim!B:B,"Not Found")</f>
        <v>John Mayer</v>
      </c>
      <c r="O1621" s="8" t="str">
        <f t="array" ref="O1621">XLOOKUP(C1621,Customer_Dim!A:A,Customer_Dim!E:E,"Not Found")</f>
        <v>Longport</v>
      </c>
      <c r="P1621" s="8" t="str">
        <f t="array" ref="P1621">XLOOKUP(D1621,Product_Dim!A:A,Product_Dim!B:B,"Not Found")</f>
        <v>Hydrating Face Cleanser</v>
      </c>
      <c r="Q1621" s="8" t="str">
        <f t="array" ref="Q1621">XLOOKUP(D1621,Product_Dim!A:A,Product_Dim!C:C,"Not Found")</f>
        <v>Beauty</v>
      </c>
      <c r="R1621" s="8" t="str">
        <f t="array" ref="R1621">XLOOKUP(E1621,Store_Dim!A:A,Store_Dim!B:B,"Not Found")</f>
        <v>South</v>
      </c>
      <c r="S1621" s="8" t="str">
        <f t="array" ref="S1621">XLOOKUP(E1621,Store_Dim!A:A,Store_Dim!D:D,"Not Found")</f>
        <v>Online</v>
      </c>
    </row>
    <row r="1622" ht="14.25" customHeight="1">
      <c r="A1622" s="8" t="s">
        <v>3575</v>
      </c>
      <c r="B1622" s="12">
        <v>47100.0</v>
      </c>
      <c r="C1622" s="8" t="s">
        <v>1116</v>
      </c>
      <c r="D1622" s="8" t="s">
        <v>1760</v>
      </c>
      <c r="E1622" s="8" t="s">
        <v>1910</v>
      </c>
      <c r="F1622" s="8">
        <v>2.0</v>
      </c>
      <c r="G1622" s="8">
        <v>422.13</v>
      </c>
      <c r="H1622" s="8">
        <v>0.28</v>
      </c>
      <c r="I1622" s="8">
        <f t="shared" si="1"/>
        <v>844.26</v>
      </c>
      <c r="J1622" s="8">
        <f t="shared" si="2"/>
        <v>-236.1128</v>
      </c>
      <c r="K1622" s="8" t="str">
        <f t="shared" si="3"/>
        <v>Dec</v>
      </c>
      <c r="L1622" s="8">
        <f t="shared" si="4"/>
        <v>2028</v>
      </c>
      <c r="N1622" s="8" t="str">
        <f t="array" ref="N1622">XLOOKUP(C1622,Customer_Dim!A:A,Customer_Dim!B:B,"Not Found")</f>
        <v>Jeffrey Mccarthy</v>
      </c>
      <c r="O1622" s="8" t="str">
        <f t="array" ref="O1622">XLOOKUP(C1622,Customer_Dim!A:A,Customer_Dim!E:E,"Not Found")</f>
        <v>North Samuel</v>
      </c>
      <c r="P1622" s="8" t="str">
        <f t="array" ref="P1622">XLOOKUP(D1622,Product_Dim!A:A,Product_Dim!B:B,"Not Found")</f>
        <v>Foam Roller</v>
      </c>
      <c r="Q1622" s="8" t="str">
        <f t="array" ref="Q1622">XLOOKUP(D1622,Product_Dim!A:A,Product_Dim!C:C,"Not Found")</f>
        <v>Sports</v>
      </c>
      <c r="R1622" s="8" t="str">
        <f t="array" ref="R1622">XLOOKUP(E1622,Store_Dim!A:A,Store_Dim!B:B,"Not Found")</f>
        <v>North</v>
      </c>
      <c r="S1622" s="8" t="str">
        <f t="array" ref="S1622">XLOOKUP(E1622,Store_Dim!A:A,Store_Dim!D:D,"Not Found")</f>
        <v>Outlet</v>
      </c>
    </row>
    <row r="1623" ht="14.25" customHeight="1">
      <c r="A1623" s="8" t="s">
        <v>3576</v>
      </c>
      <c r="B1623" s="12">
        <v>47101.0</v>
      </c>
      <c r="C1623" s="8" t="s">
        <v>201</v>
      </c>
      <c r="D1623" s="8" t="s">
        <v>1687</v>
      </c>
      <c r="E1623" s="8" t="s">
        <v>1928</v>
      </c>
      <c r="F1623" s="8">
        <v>1.0</v>
      </c>
      <c r="G1623" s="8">
        <v>324.56</v>
      </c>
      <c r="H1623" s="8">
        <v>0.03</v>
      </c>
      <c r="I1623" s="8">
        <f t="shared" si="1"/>
        <v>324.56</v>
      </c>
      <c r="J1623" s="8">
        <f t="shared" si="2"/>
        <v>-9.7068</v>
      </c>
      <c r="K1623" s="8" t="str">
        <f t="shared" si="3"/>
        <v>Dec</v>
      </c>
      <c r="L1623" s="8">
        <f t="shared" si="4"/>
        <v>2028</v>
      </c>
      <c r="N1623" s="8" t="str">
        <f t="array" ref="N1623">XLOOKUP(C1623,Customer_Dim!A:A,Customer_Dim!B:B,"Not Found")</f>
        <v>Matthew Hunter Jr.</v>
      </c>
      <c r="O1623" s="8" t="str">
        <f t="array" ref="O1623">XLOOKUP(C1623,Customer_Dim!A:A,Customer_Dim!E:E,"Not Found")</f>
        <v>Gregoryview</v>
      </c>
      <c r="P1623" s="8" t="str">
        <f t="array" ref="P1623">XLOOKUP(D1623,Product_Dim!A:A,Product_Dim!B:B,"Not Found")</f>
        <v>Gaming Mechanical Keyboard</v>
      </c>
      <c r="Q1623" s="8" t="str">
        <f t="array" ref="Q1623">XLOOKUP(D1623,Product_Dim!A:A,Product_Dim!C:C,"Not Found")</f>
        <v>Electronics</v>
      </c>
      <c r="R1623" s="8" t="str">
        <f t="array" ref="R1623">XLOOKUP(E1623,Store_Dim!A:A,Store_Dim!B:B,"Not Found")</f>
        <v>South</v>
      </c>
      <c r="S1623" s="8" t="str">
        <f t="array" ref="S1623">XLOOKUP(E1623,Store_Dim!A:A,Store_Dim!D:D,"Not Found")</f>
        <v>Online</v>
      </c>
    </row>
    <row r="1624" ht="14.25" customHeight="1">
      <c r="A1624" s="8" t="s">
        <v>3577</v>
      </c>
      <c r="B1624" s="12">
        <v>47102.0</v>
      </c>
      <c r="C1624" s="8" t="s">
        <v>1459</v>
      </c>
      <c r="D1624" s="8" t="s">
        <v>1754</v>
      </c>
      <c r="E1624" s="8" t="s">
        <v>1935</v>
      </c>
      <c r="F1624" s="8">
        <v>4.0</v>
      </c>
      <c r="G1624" s="8">
        <v>570.38</v>
      </c>
      <c r="H1624" s="8">
        <v>0.26</v>
      </c>
      <c r="I1624" s="8">
        <f t="shared" si="1"/>
        <v>2281.52</v>
      </c>
      <c r="J1624" s="8">
        <f t="shared" si="2"/>
        <v>-592.9352</v>
      </c>
      <c r="K1624" s="8" t="str">
        <f t="shared" si="3"/>
        <v>Dec</v>
      </c>
      <c r="L1624" s="8">
        <f t="shared" si="4"/>
        <v>2028</v>
      </c>
      <c r="N1624" s="8" t="str">
        <f t="array" ref="N1624">XLOOKUP(C1624,Customer_Dim!A:A,Customer_Dim!B:B,"Not Found")</f>
        <v>Gregory Curtis</v>
      </c>
      <c r="O1624" s="8" t="str">
        <f t="array" ref="O1624">XLOOKUP(C1624,Customer_Dim!A:A,Customer_Dim!E:E,"Not Found")</f>
        <v>Bergermouth</v>
      </c>
      <c r="P1624" s="8" t="str">
        <f t="array" ref="P1624">XLOOKUP(D1624,Product_Dim!A:A,Product_Dim!B:B,"Not Found")</f>
        <v>Ceramic Plant Pot</v>
      </c>
      <c r="Q1624" s="8" t="str">
        <f t="array" ref="Q1624">XLOOKUP(D1624,Product_Dim!A:A,Product_Dim!C:C,"Not Found")</f>
        <v>Home</v>
      </c>
      <c r="R1624" s="8" t="str">
        <f t="array" ref="R1624">XLOOKUP(E1624,Store_Dim!A:A,Store_Dim!B:B,"Not Found")</f>
        <v>West</v>
      </c>
      <c r="S1624" s="8" t="str">
        <f t="array" ref="S1624">XLOOKUP(E1624,Store_Dim!A:A,Store_Dim!D:D,"Not Found")</f>
        <v>Flagship</v>
      </c>
    </row>
    <row r="1625" ht="14.25" customHeight="1">
      <c r="A1625" s="8" t="s">
        <v>3578</v>
      </c>
      <c r="B1625" s="12">
        <v>47103.0</v>
      </c>
      <c r="C1625" s="8" t="s">
        <v>1245</v>
      </c>
      <c r="D1625" s="8" t="s">
        <v>1687</v>
      </c>
      <c r="E1625" s="8" t="s">
        <v>1933</v>
      </c>
      <c r="F1625" s="8">
        <v>2.0</v>
      </c>
      <c r="G1625" s="8">
        <v>223.73</v>
      </c>
      <c r="H1625" s="8">
        <v>0.11</v>
      </c>
      <c r="I1625" s="8">
        <f t="shared" si="1"/>
        <v>447.46</v>
      </c>
      <c r="J1625" s="8">
        <f t="shared" si="2"/>
        <v>-49.1106</v>
      </c>
      <c r="K1625" s="8" t="str">
        <f t="shared" si="3"/>
        <v>Dec</v>
      </c>
      <c r="L1625" s="8">
        <f t="shared" si="4"/>
        <v>2028</v>
      </c>
      <c r="N1625" s="8" t="str">
        <f t="array" ref="N1625">XLOOKUP(C1625,Customer_Dim!A:A,Customer_Dim!B:B,"Not Found")</f>
        <v>Alejandro Evans</v>
      </c>
      <c r="O1625" s="8" t="str">
        <f t="array" ref="O1625">XLOOKUP(C1625,Customer_Dim!A:A,Customer_Dim!E:E,"Not Found")</f>
        <v>Cannonberg</v>
      </c>
      <c r="P1625" s="8" t="str">
        <f t="array" ref="P1625">XLOOKUP(D1625,Product_Dim!A:A,Product_Dim!B:B,"Not Found")</f>
        <v>Gaming Mechanical Keyboard</v>
      </c>
      <c r="Q1625" s="8" t="str">
        <f t="array" ref="Q1625">XLOOKUP(D1625,Product_Dim!A:A,Product_Dim!C:C,"Not Found")</f>
        <v>Electronics</v>
      </c>
      <c r="R1625" s="8" t="str">
        <f t="array" ref="R1625">XLOOKUP(E1625,Store_Dim!A:A,Store_Dim!B:B,"Not Found")</f>
        <v>North</v>
      </c>
      <c r="S1625" s="8" t="str">
        <f t="array" ref="S1625">XLOOKUP(E1625,Store_Dim!A:A,Store_Dim!D:D,"Not Found")</f>
        <v>Flagship</v>
      </c>
    </row>
    <row r="1626" ht="14.25" customHeight="1">
      <c r="A1626" s="8" t="s">
        <v>3579</v>
      </c>
      <c r="B1626" s="12">
        <v>47104.0</v>
      </c>
      <c r="C1626" s="8" t="s">
        <v>1116</v>
      </c>
      <c r="D1626" s="8" t="s">
        <v>1848</v>
      </c>
      <c r="E1626" s="8" t="s">
        <v>1935</v>
      </c>
      <c r="F1626" s="8">
        <v>4.0</v>
      </c>
      <c r="G1626" s="8">
        <v>164.93</v>
      </c>
      <c r="H1626" s="8">
        <v>0.11</v>
      </c>
      <c r="I1626" s="8">
        <f t="shared" si="1"/>
        <v>659.72</v>
      </c>
      <c r="J1626" s="8">
        <f t="shared" si="2"/>
        <v>-72.4592</v>
      </c>
      <c r="K1626" s="8" t="str">
        <f t="shared" si="3"/>
        <v>Dec</v>
      </c>
      <c r="L1626" s="8">
        <f t="shared" si="4"/>
        <v>2028</v>
      </c>
      <c r="N1626" s="8" t="str">
        <f t="array" ref="N1626">XLOOKUP(C1626,Customer_Dim!A:A,Customer_Dim!B:B,"Not Found")</f>
        <v>Jeffrey Mccarthy</v>
      </c>
      <c r="O1626" s="8" t="str">
        <f t="array" ref="O1626">XLOOKUP(C1626,Customer_Dim!A:A,Customer_Dim!E:E,"Not Found")</f>
        <v>North Samuel</v>
      </c>
      <c r="P1626" s="8" t="str">
        <f t="array" ref="P1626">XLOOKUP(D1626,Product_Dim!A:A,Product_Dim!B:B,"Not Found")</f>
        <v>Kitchen Cutting Board</v>
      </c>
      <c r="Q1626" s="8" t="str">
        <f t="array" ref="Q1626">XLOOKUP(D1626,Product_Dim!A:A,Product_Dim!C:C,"Not Found")</f>
        <v>Home</v>
      </c>
      <c r="R1626" s="8" t="str">
        <f t="array" ref="R1626">XLOOKUP(E1626,Store_Dim!A:A,Store_Dim!B:B,"Not Found")</f>
        <v>West</v>
      </c>
      <c r="S1626" s="8" t="str">
        <f t="array" ref="S1626">XLOOKUP(E1626,Store_Dim!A:A,Store_Dim!D:D,"Not Found")</f>
        <v>Flagship</v>
      </c>
    </row>
    <row r="1627" ht="14.25" customHeight="1">
      <c r="A1627" s="8" t="s">
        <v>3580</v>
      </c>
      <c r="B1627" s="12">
        <v>47105.0</v>
      </c>
      <c r="C1627" s="8" t="s">
        <v>812</v>
      </c>
      <c r="D1627" s="8" t="s">
        <v>1624</v>
      </c>
      <c r="E1627" s="8" t="s">
        <v>1919</v>
      </c>
      <c r="F1627" s="8">
        <v>3.0</v>
      </c>
      <c r="G1627" s="8">
        <v>326.66</v>
      </c>
      <c r="H1627" s="8">
        <v>0.28</v>
      </c>
      <c r="I1627" s="8">
        <f t="shared" si="1"/>
        <v>979.98</v>
      </c>
      <c r="J1627" s="8">
        <f t="shared" si="2"/>
        <v>-274.1144</v>
      </c>
      <c r="K1627" s="8" t="str">
        <f t="shared" si="3"/>
        <v>Dec</v>
      </c>
      <c r="L1627" s="8">
        <f t="shared" si="4"/>
        <v>2028</v>
      </c>
      <c r="N1627" s="8" t="str">
        <f t="array" ref="N1627">XLOOKUP(C1627,Customer_Dim!A:A,Customer_Dim!B:B,"Not Found")</f>
        <v>Lauren George</v>
      </c>
      <c r="O1627" s="8" t="str">
        <f t="array" ref="O1627">XLOOKUP(C1627,Customer_Dim!A:A,Customer_Dim!E:E,"Not Found")</f>
        <v>Garciamouth</v>
      </c>
      <c r="P1627" s="8" t="str">
        <f t="array" ref="P1627">XLOOKUP(D1627,Product_Dim!A:A,Product_Dim!B:B,"Not Found")</f>
        <v>4K Home Projector</v>
      </c>
      <c r="Q1627" s="8" t="str">
        <f t="array" ref="Q1627">XLOOKUP(D1627,Product_Dim!A:A,Product_Dim!C:C,"Not Found")</f>
        <v>Electronics</v>
      </c>
      <c r="R1627" s="8" t="str">
        <f t="array" ref="R1627">XLOOKUP(E1627,Store_Dim!A:A,Store_Dim!B:B,"Not Found")</f>
        <v>South</v>
      </c>
      <c r="S1627" s="8" t="str">
        <f t="array" ref="S1627">XLOOKUP(E1627,Store_Dim!A:A,Store_Dim!D:D,"Not Found")</f>
        <v>Online</v>
      </c>
    </row>
    <row r="1628" ht="14.25" customHeight="1">
      <c r="A1628" s="8" t="s">
        <v>3581</v>
      </c>
      <c r="B1628" s="12">
        <v>47106.0</v>
      </c>
      <c r="C1628" s="8" t="s">
        <v>613</v>
      </c>
      <c r="D1628" s="8" t="s">
        <v>1567</v>
      </c>
      <c r="E1628" s="8" t="s">
        <v>1933</v>
      </c>
      <c r="F1628" s="8">
        <v>2.0</v>
      </c>
      <c r="G1628" s="8">
        <v>462.93</v>
      </c>
      <c r="H1628" s="8">
        <v>0.17</v>
      </c>
      <c r="I1628" s="8">
        <f t="shared" si="1"/>
        <v>925.86</v>
      </c>
      <c r="J1628" s="8">
        <f t="shared" si="2"/>
        <v>-157.2262</v>
      </c>
      <c r="K1628" s="8" t="str">
        <f t="shared" si="3"/>
        <v>Dec</v>
      </c>
      <c r="L1628" s="8">
        <f t="shared" si="4"/>
        <v>2028</v>
      </c>
      <c r="N1628" s="8" t="str">
        <f t="array" ref="N1628">XLOOKUP(C1628,Customer_Dim!A:A,Customer_Dim!B:B,"Not Found")</f>
        <v>Melissa Hamilton</v>
      </c>
      <c r="O1628" s="8" t="str">
        <f t="array" ref="O1628">XLOOKUP(C1628,Customer_Dim!A:A,Customer_Dim!E:E,"Not Found")</f>
        <v>Hutchinsonville</v>
      </c>
      <c r="P1628" s="8" t="str">
        <f t="array" ref="P1628">XLOOKUP(D1628,Product_Dim!A:A,Product_Dim!B:B,"Not Found")</f>
        <v>Men's Graphic T-Shirt</v>
      </c>
      <c r="Q1628" s="8" t="str">
        <f t="array" ref="Q1628">XLOOKUP(D1628,Product_Dim!A:A,Product_Dim!C:C,"Not Found")</f>
        <v>Clothing</v>
      </c>
      <c r="R1628" s="8" t="str">
        <f t="array" ref="R1628">XLOOKUP(E1628,Store_Dim!A:A,Store_Dim!B:B,"Not Found")</f>
        <v>North</v>
      </c>
      <c r="S1628" s="8" t="str">
        <f t="array" ref="S1628">XLOOKUP(E1628,Store_Dim!A:A,Store_Dim!D:D,"Not Found")</f>
        <v>Flagship</v>
      </c>
    </row>
    <row r="1629" ht="14.25" customHeight="1">
      <c r="A1629" s="8" t="s">
        <v>3582</v>
      </c>
      <c r="B1629" s="12">
        <v>47107.0</v>
      </c>
      <c r="C1629" s="8" t="s">
        <v>508</v>
      </c>
      <c r="D1629" s="8" t="s">
        <v>1562</v>
      </c>
      <c r="E1629" s="8" t="s">
        <v>1935</v>
      </c>
      <c r="F1629" s="8">
        <v>3.0</v>
      </c>
      <c r="G1629" s="8">
        <v>60.26</v>
      </c>
      <c r="H1629" s="8">
        <v>0.04</v>
      </c>
      <c r="I1629" s="8">
        <f t="shared" si="1"/>
        <v>180.78</v>
      </c>
      <c r="J1629" s="8">
        <f t="shared" si="2"/>
        <v>-7.1912</v>
      </c>
      <c r="K1629" s="8" t="str">
        <f t="shared" si="3"/>
        <v>Dec</v>
      </c>
      <c r="L1629" s="8">
        <f t="shared" si="4"/>
        <v>2028</v>
      </c>
      <c r="N1629" s="8" t="str">
        <f t="array" ref="N1629">XLOOKUP(C1629,Customer_Dim!A:A,Customer_Dim!B:B,"Not Found")</f>
        <v>Rhonda Young</v>
      </c>
      <c r="O1629" s="8" t="str">
        <f t="array" ref="O1629">XLOOKUP(C1629,Customer_Dim!A:A,Customer_Dim!E:E,"Not Found")</f>
        <v>Lake Nathanfort</v>
      </c>
      <c r="P1629" s="8" t="str">
        <f t="array" ref="P1629">XLOOKUP(D1629,Product_Dim!A:A,Product_Dim!B:B,"Not Found")</f>
        <v>Brother Laser Printer</v>
      </c>
      <c r="Q1629" s="8" t="str">
        <f t="array" ref="Q1629">XLOOKUP(D1629,Product_Dim!A:A,Product_Dim!C:C,"Not Found")</f>
        <v>Electronics</v>
      </c>
      <c r="R1629" s="8" t="str">
        <f t="array" ref="R1629">XLOOKUP(E1629,Store_Dim!A:A,Store_Dim!B:B,"Not Found")</f>
        <v>West</v>
      </c>
      <c r="S1629" s="8" t="str">
        <f t="array" ref="S1629">XLOOKUP(E1629,Store_Dim!A:A,Store_Dim!D:D,"Not Found")</f>
        <v>Flagship</v>
      </c>
    </row>
    <row r="1630" ht="14.25" customHeight="1">
      <c r="A1630" s="8" t="s">
        <v>3583</v>
      </c>
      <c r="B1630" s="12">
        <v>47108.0</v>
      </c>
      <c r="C1630" s="8" t="s">
        <v>271</v>
      </c>
      <c r="D1630" s="8" t="s">
        <v>1687</v>
      </c>
      <c r="E1630" s="8" t="s">
        <v>1924</v>
      </c>
      <c r="F1630" s="8">
        <v>3.0</v>
      </c>
      <c r="G1630" s="8">
        <v>109.5</v>
      </c>
      <c r="H1630" s="8">
        <v>0.06</v>
      </c>
      <c r="I1630" s="8">
        <f t="shared" si="1"/>
        <v>328.5</v>
      </c>
      <c r="J1630" s="8">
        <f t="shared" si="2"/>
        <v>-19.65</v>
      </c>
      <c r="K1630" s="8" t="str">
        <f t="shared" si="3"/>
        <v>Dec</v>
      </c>
      <c r="L1630" s="8">
        <f t="shared" si="4"/>
        <v>2028</v>
      </c>
      <c r="N1630" s="8" t="str">
        <f t="array" ref="N1630">XLOOKUP(C1630,Customer_Dim!A:A,Customer_Dim!B:B,"Not Found")</f>
        <v>Andrea Perez</v>
      </c>
      <c r="O1630" s="8" t="str">
        <f t="array" ref="O1630">XLOOKUP(C1630,Customer_Dim!A:A,Customer_Dim!E:E,"Not Found")</f>
        <v>South Shaun</v>
      </c>
      <c r="P1630" s="8" t="str">
        <f t="array" ref="P1630">XLOOKUP(D1630,Product_Dim!A:A,Product_Dim!B:B,"Not Found")</f>
        <v>Gaming Mechanical Keyboard</v>
      </c>
      <c r="Q1630" s="8" t="str">
        <f t="array" ref="Q1630">XLOOKUP(D1630,Product_Dim!A:A,Product_Dim!C:C,"Not Found")</f>
        <v>Electronics</v>
      </c>
      <c r="R1630" s="8" t="str">
        <f t="array" ref="R1630">XLOOKUP(E1630,Store_Dim!A:A,Store_Dim!B:B,"Not Found")</f>
        <v>South</v>
      </c>
      <c r="S1630" s="8" t="str">
        <f t="array" ref="S1630">XLOOKUP(E1630,Store_Dim!A:A,Store_Dim!D:D,"Not Found")</f>
        <v>Flagship</v>
      </c>
    </row>
    <row r="1631" ht="14.25" customHeight="1">
      <c r="A1631" s="8" t="s">
        <v>3584</v>
      </c>
      <c r="B1631" s="12">
        <v>47109.0</v>
      </c>
      <c r="C1631" s="8" t="s">
        <v>1209</v>
      </c>
      <c r="D1631" s="8" t="s">
        <v>1800</v>
      </c>
      <c r="E1631" s="8" t="s">
        <v>1935</v>
      </c>
      <c r="F1631" s="8">
        <v>1.0</v>
      </c>
      <c r="G1631" s="8">
        <v>505.83</v>
      </c>
      <c r="H1631" s="8">
        <v>0.14</v>
      </c>
      <c r="I1631" s="8">
        <f t="shared" si="1"/>
        <v>505.83</v>
      </c>
      <c r="J1631" s="8">
        <f t="shared" si="2"/>
        <v>-70.6762</v>
      </c>
      <c r="K1631" s="8" t="str">
        <f t="shared" si="3"/>
        <v>Dec</v>
      </c>
      <c r="L1631" s="8">
        <f t="shared" si="4"/>
        <v>2028</v>
      </c>
      <c r="N1631" s="8" t="str">
        <f t="array" ref="N1631">XLOOKUP(C1631,Customer_Dim!A:A,Customer_Dim!B:B,"Not Found")</f>
        <v>Martha Brown</v>
      </c>
      <c r="O1631" s="8" t="str">
        <f t="array" ref="O1631">XLOOKUP(C1631,Customer_Dim!A:A,Customer_Dim!E:E,"Not Found")</f>
        <v>Novakstad</v>
      </c>
      <c r="P1631" s="8" t="str">
        <f t="array" ref="P1631">XLOOKUP(D1631,Product_Dim!A:A,Product_Dim!B:B,"Not Found")</f>
        <v>Kitchen Storage Rack</v>
      </c>
      <c r="Q1631" s="8" t="str">
        <f t="array" ref="Q1631">XLOOKUP(D1631,Product_Dim!A:A,Product_Dim!C:C,"Not Found")</f>
        <v>Home</v>
      </c>
      <c r="R1631" s="8" t="str">
        <f t="array" ref="R1631">XLOOKUP(E1631,Store_Dim!A:A,Store_Dim!B:B,"Not Found")</f>
        <v>West</v>
      </c>
      <c r="S1631" s="8" t="str">
        <f t="array" ref="S1631">XLOOKUP(E1631,Store_Dim!A:A,Store_Dim!D:D,"Not Found")</f>
        <v>Flagship</v>
      </c>
    </row>
    <row r="1632" ht="14.25" customHeight="1">
      <c r="A1632" s="8" t="s">
        <v>3585</v>
      </c>
      <c r="B1632" s="12">
        <v>47110.0</v>
      </c>
      <c r="C1632" s="8" t="s">
        <v>556</v>
      </c>
      <c r="D1632" s="8" t="s">
        <v>1884</v>
      </c>
      <c r="E1632" s="8" t="s">
        <v>1926</v>
      </c>
      <c r="F1632" s="8">
        <v>2.0</v>
      </c>
      <c r="G1632" s="8">
        <v>443.15</v>
      </c>
      <c r="H1632" s="8">
        <v>0.27</v>
      </c>
      <c r="I1632" s="8">
        <f t="shared" si="1"/>
        <v>886.3</v>
      </c>
      <c r="J1632" s="8">
        <f t="shared" si="2"/>
        <v>-239.031</v>
      </c>
      <c r="K1632" s="8" t="str">
        <f t="shared" si="3"/>
        <v>Dec</v>
      </c>
      <c r="L1632" s="8">
        <f t="shared" si="4"/>
        <v>2028</v>
      </c>
      <c r="N1632" s="8" t="str">
        <f t="array" ref="N1632">XLOOKUP(C1632,Customer_Dim!A:A,Customer_Dim!B:B,"Not Found")</f>
        <v>Joseph Jones</v>
      </c>
      <c r="O1632" s="8" t="str">
        <f t="array" ref="O1632">XLOOKUP(C1632,Customer_Dim!A:A,Customer_Dim!E:E,"Not Found")</f>
        <v>North Matthew</v>
      </c>
      <c r="P1632" s="8" t="str">
        <f t="array" ref="P1632">XLOOKUP(D1632,Product_Dim!A:A,Product_Dim!B:B,"Not Found")</f>
        <v>Portable Bluetooth Speaker</v>
      </c>
      <c r="Q1632" s="8" t="str">
        <f t="array" ref="Q1632">XLOOKUP(D1632,Product_Dim!A:A,Product_Dim!C:C,"Not Found")</f>
        <v>Electronics</v>
      </c>
      <c r="R1632" s="8" t="str">
        <f t="array" ref="R1632">XLOOKUP(E1632,Store_Dim!A:A,Store_Dim!B:B,"Not Found")</f>
        <v>East</v>
      </c>
      <c r="S1632" s="8" t="str">
        <f t="array" ref="S1632">XLOOKUP(E1632,Store_Dim!A:A,Store_Dim!D:D,"Not Found")</f>
        <v>Online</v>
      </c>
    </row>
    <row r="1633" ht="14.25" customHeight="1">
      <c r="A1633" s="8" t="s">
        <v>3586</v>
      </c>
      <c r="B1633" s="12">
        <v>47111.0</v>
      </c>
      <c r="C1633" s="8" t="s">
        <v>1543</v>
      </c>
      <c r="D1633" s="8" t="s">
        <v>1592</v>
      </c>
      <c r="E1633" s="8" t="s">
        <v>1919</v>
      </c>
      <c r="F1633" s="8">
        <v>2.0</v>
      </c>
      <c r="G1633" s="8">
        <v>784.26</v>
      </c>
      <c r="H1633" s="8">
        <v>0.23</v>
      </c>
      <c r="I1633" s="8">
        <f t="shared" si="1"/>
        <v>1568.52</v>
      </c>
      <c r="J1633" s="8">
        <f t="shared" si="2"/>
        <v>-360.5296</v>
      </c>
      <c r="K1633" s="8" t="str">
        <f t="shared" si="3"/>
        <v>Dec</v>
      </c>
      <c r="L1633" s="8">
        <f t="shared" si="4"/>
        <v>2028</v>
      </c>
      <c r="N1633" s="8" t="str">
        <f t="array" ref="N1633">XLOOKUP(C1633,Customer_Dim!A:A,Customer_Dim!B:B,"Not Found")</f>
        <v>Sarah Marsh</v>
      </c>
      <c r="O1633" s="8" t="str">
        <f t="array" ref="O1633">XLOOKUP(C1633,Customer_Dim!A:A,Customer_Dim!E:E,"Not Found")</f>
        <v>Port William</v>
      </c>
      <c r="P1633" s="8" t="str">
        <f t="array" ref="P1633">XLOOKUP(D1633,Product_Dim!A:A,Product_Dim!B:B,"Not Found")</f>
        <v>LED Table Lamp</v>
      </c>
      <c r="Q1633" s="8" t="str">
        <f t="array" ref="Q1633">XLOOKUP(D1633,Product_Dim!A:A,Product_Dim!C:C,"Not Found")</f>
        <v>Home</v>
      </c>
      <c r="R1633" s="8" t="str">
        <f t="array" ref="R1633">XLOOKUP(E1633,Store_Dim!A:A,Store_Dim!B:B,"Not Found")</f>
        <v>South</v>
      </c>
      <c r="S1633" s="8" t="str">
        <f t="array" ref="S1633">XLOOKUP(E1633,Store_Dim!A:A,Store_Dim!D:D,"Not Found")</f>
        <v>Online</v>
      </c>
    </row>
    <row r="1634" ht="14.25" customHeight="1">
      <c r="A1634" s="8" t="s">
        <v>3587</v>
      </c>
      <c r="B1634" s="12">
        <v>47112.0</v>
      </c>
      <c r="C1634" s="8" t="s">
        <v>1421</v>
      </c>
      <c r="D1634" s="8" t="s">
        <v>1703</v>
      </c>
      <c r="E1634" s="8" t="s">
        <v>1928</v>
      </c>
      <c r="F1634" s="8">
        <v>3.0</v>
      </c>
      <c r="G1634" s="8">
        <v>590.31</v>
      </c>
      <c r="H1634" s="8">
        <v>0.17</v>
      </c>
      <c r="I1634" s="8">
        <f t="shared" si="1"/>
        <v>1770.93</v>
      </c>
      <c r="J1634" s="8">
        <f t="shared" si="2"/>
        <v>-300.8881</v>
      </c>
      <c r="K1634" s="8" t="str">
        <f t="shared" si="3"/>
        <v>Dec</v>
      </c>
      <c r="L1634" s="8">
        <f t="shared" si="4"/>
        <v>2028</v>
      </c>
      <c r="N1634" s="8" t="str">
        <f t="array" ref="N1634">XLOOKUP(C1634,Customer_Dim!A:A,Customer_Dim!B:B,"Not Found")</f>
        <v>Tyler Weber</v>
      </c>
      <c r="O1634" s="8" t="str">
        <f t="array" ref="O1634">XLOOKUP(C1634,Customer_Dim!A:A,Customer_Dim!E:E,"Not Found")</f>
        <v>East Yvette</v>
      </c>
      <c r="P1634" s="8" t="str">
        <f t="array" ref="P1634">XLOOKUP(D1634,Product_Dim!A:A,Product_Dim!B:B,"Not Found")</f>
        <v>Portable Power Bank</v>
      </c>
      <c r="Q1634" s="8" t="str">
        <f t="array" ref="Q1634">XLOOKUP(D1634,Product_Dim!A:A,Product_Dim!C:C,"Not Found")</f>
        <v>Electronics</v>
      </c>
      <c r="R1634" s="8" t="str">
        <f t="array" ref="R1634">XLOOKUP(E1634,Store_Dim!A:A,Store_Dim!B:B,"Not Found")</f>
        <v>South</v>
      </c>
      <c r="S1634" s="8" t="str">
        <f t="array" ref="S1634">XLOOKUP(E1634,Store_Dim!A:A,Store_Dim!D:D,"Not Found")</f>
        <v>Online</v>
      </c>
    </row>
    <row r="1635" ht="14.25" customHeight="1">
      <c r="A1635" s="8" t="s">
        <v>3588</v>
      </c>
      <c r="B1635" s="12">
        <v>47113.0</v>
      </c>
      <c r="C1635" s="8" t="s">
        <v>427</v>
      </c>
      <c r="D1635" s="8" t="s">
        <v>1797</v>
      </c>
      <c r="E1635" s="8" t="s">
        <v>1935</v>
      </c>
      <c r="F1635" s="8">
        <v>1.0</v>
      </c>
      <c r="G1635" s="8">
        <v>696.13</v>
      </c>
      <c r="H1635" s="8">
        <v>0.06</v>
      </c>
      <c r="I1635" s="8">
        <f t="shared" si="1"/>
        <v>696.13</v>
      </c>
      <c r="J1635" s="8">
        <f t="shared" si="2"/>
        <v>-41.7078</v>
      </c>
      <c r="K1635" s="8" t="str">
        <f t="shared" si="3"/>
        <v>Dec</v>
      </c>
      <c r="L1635" s="8">
        <f t="shared" si="4"/>
        <v>2028</v>
      </c>
      <c r="N1635" s="8" t="str">
        <f t="array" ref="N1635">XLOOKUP(C1635,Customer_Dim!A:A,Customer_Dim!B:B,"Not Found")</f>
        <v>Jacob Hopkins</v>
      </c>
      <c r="O1635" s="8" t="str">
        <f t="array" ref="O1635">XLOOKUP(C1635,Customer_Dim!A:A,Customer_Dim!E:E,"Not Found")</f>
        <v>lake tylerfort</v>
      </c>
      <c r="P1635" s="8" t="str">
        <f t="array" ref="P1635">XLOOKUP(D1635,Product_Dim!A:A,Product_Dim!B:B,"Not Found")</f>
        <v>Men's Sports Shorts</v>
      </c>
      <c r="Q1635" s="8" t="str">
        <f t="array" ref="Q1635">XLOOKUP(D1635,Product_Dim!A:A,Product_Dim!C:C,"Not Found")</f>
        <v>Clothing</v>
      </c>
      <c r="R1635" s="8" t="str">
        <f t="array" ref="R1635">XLOOKUP(E1635,Store_Dim!A:A,Store_Dim!B:B,"Not Found")</f>
        <v>West</v>
      </c>
      <c r="S1635" s="8" t="str">
        <f t="array" ref="S1635">XLOOKUP(E1635,Store_Dim!A:A,Store_Dim!D:D,"Not Found")</f>
        <v>Flagship</v>
      </c>
    </row>
    <row r="1636" ht="14.25" customHeight="1">
      <c r="A1636" s="8" t="s">
        <v>3589</v>
      </c>
      <c r="B1636" s="12">
        <v>47114.0</v>
      </c>
      <c r="C1636" s="8" t="s">
        <v>379</v>
      </c>
      <c r="D1636" s="8" t="s">
        <v>1742</v>
      </c>
      <c r="E1636" s="8" t="s">
        <v>1917</v>
      </c>
      <c r="F1636" s="8">
        <v>4.0</v>
      </c>
      <c r="G1636" s="8">
        <v>194.39</v>
      </c>
      <c r="H1636" s="8">
        <v>0.25</v>
      </c>
      <c r="I1636" s="8">
        <f t="shared" si="1"/>
        <v>777.56</v>
      </c>
      <c r="J1636" s="8">
        <f t="shared" si="2"/>
        <v>-194.14</v>
      </c>
      <c r="K1636" s="8" t="str">
        <f t="shared" si="3"/>
        <v>Dec</v>
      </c>
      <c r="L1636" s="8">
        <f t="shared" si="4"/>
        <v>2028</v>
      </c>
      <c r="N1636" s="8" t="str">
        <f t="array" ref="N1636">XLOOKUP(C1636,Customer_Dim!A:A,Customer_Dim!B:B,"Not Found")</f>
        <v>Christopher Lester</v>
      </c>
      <c r="O1636" s="8" t="str">
        <f t="array" ref="O1636">XLOOKUP(C1636,Customer_Dim!A:A,Customer_Dim!E:E,"Not Found")</f>
        <v>South Jenniferville</v>
      </c>
      <c r="P1636" s="8" t="str">
        <f t="array" ref="P1636">XLOOKUP(D1636,Product_Dim!A:A,Product_Dim!B:B,"Not Found")</f>
        <v>HDMI Cable – 2m</v>
      </c>
      <c r="Q1636" s="8" t="str">
        <f t="array" ref="Q1636">XLOOKUP(D1636,Product_Dim!A:A,Product_Dim!C:C,"Not Found")</f>
        <v>Electronics</v>
      </c>
      <c r="R1636" s="8" t="str">
        <f t="array" ref="R1636">XLOOKUP(E1636,Store_Dim!A:A,Store_Dim!B:B,"Not Found")</f>
        <v>East</v>
      </c>
      <c r="S1636" s="8" t="str">
        <f t="array" ref="S1636">XLOOKUP(E1636,Store_Dim!A:A,Store_Dim!D:D,"Not Found")</f>
        <v>Online</v>
      </c>
    </row>
    <row r="1637" ht="14.25" customHeight="1">
      <c r="A1637" s="8" t="s">
        <v>3590</v>
      </c>
      <c r="B1637" s="12">
        <v>47115.0</v>
      </c>
      <c r="C1637" s="8" t="s">
        <v>1053</v>
      </c>
      <c r="D1637" s="8" t="s">
        <v>1684</v>
      </c>
      <c r="E1637" s="8" t="s">
        <v>1903</v>
      </c>
      <c r="F1637" s="8">
        <v>1.0</v>
      </c>
      <c r="G1637" s="8">
        <v>339.7</v>
      </c>
      <c r="H1637" s="8">
        <v>0.1</v>
      </c>
      <c r="I1637" s="8">
        <f t="shared" si="1"/>
        <v>339.7</v>
      </c>
      <c r="J1637" s="8">
        <f t="shared" si="2"/>
        <v>-33.87</v>
      </c>
      <c r="K1637" s="8" t="str">
        <f t="shared" si="3"/>
        <v>Dec</v>
      </c>
      <c r="L1637" s="8">
        <f t="shared" si="4"/>
        <v>2028</v>
      </c>
      <c r="N1637" s="8" t="str">
        <f t="array" ref="N1637">XLOOKUP(C1637,Customer_Dim!A:A,Customer_Dim!B:B,"Not Found")</f>
        <v>Pamela Mcguire</v>
      </c>
      <c r="O1637" s="8" t="str">
        <f t="array" ref="O1637">XLOOKUP(C1637,Customer_Dim!A:A,Customer_Dim!E:E,"Not Found")</f>
        <v>South Jasontown</v>
      </c>
      <c r="P1637" s="8" t="str">
        <f t="array" ref="P1637">XLOOKUP(D1637,Product_Dim!A:A,Product_Dim!B:B,"Not Found")</f>
        <v>Modern Wall Clock</v>
      </c>
      <c r="Q1637" s="8" t="str">
        <f t="array" ref="Q1637">XLOOKUP(D1637,Product_Dim!A:A,Product_Dim!C:C,"Not Found")</f>
        <v>Home</v>
      </c>
      <c r="R1637" s="8" t="str">
        <f t="array" ref="R1637">XLOOKUP(E1637,Store_Dim!A:A,Store_Dim!B:B,"Not Found")</f>
        <v>North</v>
      </c>
      <c r="S1637" s="8" t="str">
        <f t="array" ref="S1637">XLOOKUP(E1637,Store_Dim!A:A,Store_Dim!D:D,"Not Found")</f>
        <v>Flagship</v>
      </c>
    </row>
    <row r="1638" ht="14.25" customHeight="1">
      <c r="A1638" s="8" t="s">
        <v>3591</v>
      </c>
      <c r="B1638" s="12">
        <v>47116.0</v>
      </c>
      <c r="C1638" s="8" t="s">
        <v>195</v>
      </c>
      <c r="D1638" s="8" t="s">
        <v>1793</v>
      </c>
      <c r="E1638" s="8" t="s">
        <v>1931</v>
      </c>
      <c r="F1638" s="8">
        <v>4.0</v>
      </c>
      <c r="G1638" s="8">
        <v>463.16</v>
      </c>
      <c r="H1638" s="8">
        <v>0.27</v>
      </c>
      <c r="I1638" s="8">
        <f t="shared" si="1"/>
        <v>1852.64</v>
      </c>
      <c r="J1638" s="8">
        <f t="shared" si="2"/>
        <v>-499.9428</v>
      </c>
      <c r="K1638" s="8" t="str">
        <f t="shared" si="3"/>
        <v>Dec</v>
      </c>
      <c r="L1638" s="8">
        <f t="shared" si="4"/>
        <v>2028</v>
      </c>
      <c r="N1638" s="8" t="str">
        <f t="array" ref="N1638">XLOOKUP(C1638,Customer_Dim!A:A,Customer_Dim!B:B,"Not Found")</f>
        <v>April Mullins</v>
      </c>
      <c r="O1638" s="8" t="str">
        <f t="array" ref="O1638">XLOOKUP(C1638,Customer_Dim!A:A,Customer_Dim!E:E,"Not Found")</f>
        <v>Dawsonbury</v>
      </c>
      <c r="P1638" s="8" t="str">
        <f t="array" ref="P1638">XLOOKUP(D1638,Product_Dim!A:A,Product_Dim!B:B,"Not Found")</f>
        <v>Wooden Nightstand</v>
      </c>
      <c r="Q1638" s="8" t="str">
        <f t="array" ref="Q1638">XLOOKUP(D1638,Product_Dim!A:A,Product_Dim!C:C,"Not Found")</f>
        <v>Home</v>
      </c>
      <c r="R1638" s="8" t="str">
        <f t="array" ref="R1638">XLOOKUP(E1638,Store_Dim!A:A,Store_Dim!B:B,"Not Found")</f>
        <v>East</v>
      </c>
      <c r="S1638" s="8" t="str">
        <f t="array" ref="S1638">XLOOKUP(E1638,Store_Dim!A:A,Store_Dim!D:D,"Not Found")</f>
        <v>Flagship</v>
      </c>
    </row>
    <row r="1639" ht="14.25" customHeight="1">
      <c r="A1639" s="8" t="s">
        <v>3592</v>
      </c>
      <c r="B1639" s="12">
        <v>47117.0</v>
      </c>
      <c r="C1639" s="8" t="s">
        <v>388</v>
      </c>
      <c r="D1639" s="8" t="s">
        <v>1583</v>
      </c>
      <c r="E1639" s="8" t="s">
        <v>1926</v>
      </c>
      <c r="F1639" s="8">
        <v>2.0</v>
      </c>
      <c r="G1639" s="8">
        <v>824.91</v>
      </c>
      <c r="H1639" s="8">
        <v>0.09</v>
      </c>
      <c r="I1639" s="8">
        <f t="shared" si="1"/>
        <v>1649.82</v>
      </c>
      <c r="J1639" s="8">
        <f t="shared" si="2"/>
        <v>-148.3938</v>
      </c>
      <c r="K1639" s="8" t="str">
        <f t="shared" si="3"/>
        <v>Dec</v>
      </c>
      <c r="L1639" s="8">
        <f t="shared" si="4"/>
        <v>2028</v>
      </c>
      <c r="N1639" s="8" t="str">
        <f t="array" ref="N1639">XLOOKUP(C1639,Customer_Dim!A:A,Customer_Dim!B:B,"Not Found")</f>
        <v>Erica Carney</v>
      </c>
      <c r="O1639" s="8" t="str">
        <f t="array" ref="O1639">XLOOKUP(C1639,Customer_Dim!A:A,Customer_Dim!E:E,"Not Found")</f>
        <v>North Justin</v>
      </c>
      <c r="P1639" s="8" t="str">
        <f t="array" ref="P1639">XLOOKUP(D1639,Product_Dim!A:A,Product_Dim!B:B,"Not Found")</f>
        <v>Men's Leather Belt</v>
      </c>
      <c r="Q1639" s="8" t="str">
        <f t="array" ref="Q1639">XLOOKUP(D1639,Product_Dim!A:A,Product_Dim!C:C,"Not Found")</f>
        <v>Clothing</v>
      </c>
      <c r="R1639" s="8" t="str">
        <f t="array" ref="R1639">XLOOKUP(E1639,Store_Dim!A:A,Store_Dim!B:B,"Not Found")</f>
        <v>East</v>
      </c>
      <c r="S1639" s="8" t="str">
        <f t="array" ref="S1639">XLOOKUP(E1639,Store_Dim!A:A,Store_Dim!D:D,"Not Found")</f>
        <v>Online</v>
      </c>
    </row>
    <row r="1640" ht="14.25" customHeight="1">
      <c r="A1640" s="8" t="s">
        <v>3593</v>
      </c>
      <c r="B1640" s="12">
        <v>47118.0</v>
      </c>
      <c r="C1640" s="8" t="s">
        <v>268</v>
      </c>
      <c r="D1640" s="8" t="s">
        <v>1583</v>
      </c>
      <c r="E1640" s="8" t="s">
        <v>1906</v>
      </c>
      <c r="F1640" s="8">
        <v>4.0</v>
      </c>
      <c r="G1640" s="8">
        <v>796.89</v>
      </c>
      <c r="H1640" s="8">
        <v>0.17</v>
      </c>
      <c r="I1640" s="8">
        <f t="shared" si="1"/>
        <v>3187.56</v>
      </c>
      <c r="J1640" s="8">
        <f t="shared" si="2"/>
        <v>-541.7152</v>
      </c>
      <c r="K1640" s="8" t="str">
        <f t="shared" si="3"/>
        <v>Dec</v>
      </c>
      <c r="L1640" s="8">
        <f t="shared" si="4"/>
        <v>2028</v>
      </c>
      <c r="N1640" s="8" t="str">
        <f t="array" ref="N1640">XLOOKUP(C1640,Customer_Dim!A:A,Customer_Dim!B:B,"Not Found")</f>
        <v>Eric Singh</v>
      </c>
      <c r="O1640" s="8" t="str">
        <f t="array" ref="O1640">XLOOKUP(C1640,Customer_Dim!A:A,Customer_Dim!E:E,"Not Found")</f>
        <v>Port Lisa</v>
      </c>
      <c r="P1640" s="8" t="str">
        <f t="array" ref="P1640">XLOOKUP(D1640,Product_Dim!A:A,Product_Dim!B:B,"Not Found")</f>
        <v>Men's Leather Belt</v>
      </c>
      <c r="Q1640" s="8" t="str">
        <f t="array" ref="Q1640">XLOOKUP(D1640,Product_Dim!A:A,Product_Dim!C:C,"Not Found")</f>
        <v>Clothing</v>
      </c>
      <c r="R1640" s="8" t="str">
        <f t="array" ref="R1640">XLOOKUP(E1640,Store_Dim!A:A,Store_Dim!B:B,"Not Found")</f>
        <v>South</v>
      </c>
      <c r="S1640" s="8" t="str">
        <f t="array" ref="S1640">XLOOKUP(E1640,Store_Dim!A:A,Store_Dim!D:D,"Not Found")</f>
        <v>Outlet</v>
      </c>
    </row>
    <row r="1641" ht="14.25" customHeight="1">
      <c r="A1641" s="8" t="s">
        <v>3594</v>
      </c>
      <c r="B1641" s="12">
        <v>47119.0</v>
      </c>
      <c r="C1641" s="8" t="s">
        <v>785</v>
      </c>
      <c r="D1641" s="8" t="s">
        <v>1662</v>
      </c>
      <c r="E1641" s="8" t="s">
        <v>1937</v>
      </c>
      <c r="F1641" s="8">
        <v>3.0</v>
      </c>
      <c r="G1641" s="8">
        <v>543.93</v>
      </c>
      <c r="H1641" s="8">
        <v>0.3</v>
      </c>
      <c r="I1641" s="8">
        <f t="shared" si="1"/>
        <v>1631.79</v>
      </c>
      <c r="J1641" s="8">
        <f t="shared" si="2"/>
        <v>-489.237</v>
      </c>
      <c r="K1641" s="8" t="str">
        <f t="shared" si="3"/>
        <v>Jan</v>
      </c>
      <c r="L1641" s="8">
        <f t="shared" si="4"/>
        <v>2029</v>
      </c>
      <c r="N1641" s="8" t="str">
        <f t="array" ref="N1641">XLOOKUP(C1641,Customer_Dim!A:A,Customer_Dim!B:B,"Not Found")</f>
        <v>William Hull</v>
      </c>
      <c r="O1641" s="8" t="str">
        <f t="array" ref="O1641">XLOOKUP(C1641,Customer_Dim!A:A,Customer_Dim!E:E,"Not Found")</f>
        <v>Heathfort</v>
      </c>
      <c r="P1641" s="8" t="str">
        <f t="array" ref="P1641">XLOOKUP(D1641,Product_Dim!A:A,Product_Dim!B:B,"Not Found")</f>
        <v>Wireless Bluetooth Speaker</v>
      </c>
      <c r="Q1641" s="8" t="str">
        <f t="array" ref="Q1641">XLOOKUP(D1641,Product_Dim!A:A,Product_Dim!C:C,"Not Found")</f>
        <v>Electronics</v>
      </c>
      <c r="R1641" s="8" t="str">
        <f t="array" ref="R1641">XLOOKUP(E1641,Store_Dim!A:A,Store_Dim!B:B,"Not Found")</f>
        <v>North</v>
      </c>
      <c r="S1641" s="8" t="str">
        <f t="array" ref="S1641">XLOOKUP(E1641,Store_Dim!A:A,Store_Dim!D:D,"Not Found")</f>
        <v>Flagship</v>
      </c>
    </row>
    <row r="1642" ht="14.25" customHeight="1">
      <c r="A1642" s="8" t="s">
        <v>3595</v>
      </c>
      <c r="B1642" s="12">
        <v>47120.0</v>
      </c>
      <c r="C1642" s="8" t="s">
        <v>586</v>
      </c>
      <c r="D1642" s="8" t="s">
        <v>1620</v>
      </c>
      <c r="E1642" s="8" t="s">
        <v>1919</v>
      </c>
      <c r="F1642" s="8">
        <v>2.0</v>
      </c>
      <c r="G1642" s="8">
        <v>44.65</v>
      </c>
      <c r="H1642" s="8">
        <v>0.03</v>
      </c>
      <c r="I1642" s="8">
        <f t="shared" si="1"/>
        <v>89.3</v>
      </c>
      <c r="J1642" s="8">
        <f t="shared" si="2"/>
        <v>-2.649</v>
      </c>
      <c r="K1642" s="8" t="str">
        <f t="shared" si="3"/>
        <v>Jan</v>
      </c>
      <c r="L1642" s="8">
        <f t="shared" si="4"/>
        <v>2029</v>
      </c>
      <c r="N1642" s="8" t="str">
        <f t="array" ref="N1642">XLOOKUP(C1642,Customer_Dim!A:A,Customer_Dim!B:B,"Not Found")</f>
        <v>Teresa Stokes</v>
      </c>
      <c r="O1642" s="8" t="str">
        <f t="array" ref="O1642">XLOOKUP(C1642,Customer_Dim!A:A,Customer_Dim!E:E,"Not Found")</f>
        <v>New William</v>
      </c>
      <c r="P1642" s="8" t="str">
        <f t="array" ref="P1642">XLOOKUP(D1642,Product_Dim!A:A,Product_Dim!B:B,"Not Found")</f>
        <v>Decorative Wall Mirror</v>
      </c>
      <c r="Q1642" s="8" t="str">
        <f t="array" ref="Q1642">XLOOKUP(D1642,Product_Dim!A:A,Product_Dim!C:C,"Not Found")</f>
        <v>Home</v>
      </c>
      <c r="R1642" s="8" t="str">
        <f t="array" ref="R1642">XLOOKUP(E1642,Store_Dim!A:A,Store_Dim!B:B,"Not Found")</f>
        <v>South</v>
      </c>
      <c r="S1642" s="8" t="str">
        <f t="array" ref="S1642">XLOOKUP(E1642,Store_Dim!A:A,Store_Dim!D:D,"Not Found")</f>
        <v>Online</v>
      </c>
    </row>
    <row r="1643" ht="14.25" customHeight="1">
      <c r="A1643" s="8" t="s">
        <v>3596</v>
      </c>
      <c r="B1643" s="12">
        <v>47121.0</v>
      </c>
      <c r="C1643" s="8" t="s">
        <v>815</v>
      </c>
      <c r="D1643" s="8" t="s">
        <v>1757</v>
      </c>
      <c r="E1643" s="8" t="s">
        <v>1899</v>
      </c>
      <c r="F1643" s="8">
        <v>4.0</v>
      </c>
      <c r="G1643" s="8">
        <v>827.39</v>
      </c>
      <c r="H1643" s="8">
        <v>0.06</v>
      </c>
      <c r="I1643" s="8">
        <f t="shared" si="1"/>
        <v>3309.56</v>
      </c>
      <c r="J1643" s="8">
        <f t="shared" si="2"/>
        <v>-198.5136</v>
      </c>
      <c r="K1643" s="8" t="str">
        <f t="shared" si="3"/>
        <v>Jan</v>
      </c>
      <c r="L1643" s="8">
        <f t="shared" si="4"/>
        <v>2029</v>
      </c>
      <c r="N1643" s="8" t="str">
        <f t="array" ref="N1643">XLOOKUP(C1643,Customer_Dim!A:A,Customer_Dim!B:B,"Not Found")</f>
        <v>Veronica Newman</v>
      </c>
      <c r="O1643" s="8" t="str">
        <f t="array" ref="O1643">XLOOKUP(C1643,Customer_Dim!A:A,Customer_Dim!E:E,"Not Found")</f>
        <v>New Daniel</v>
      </c>
      <c r="P1643" s="8" t="str">
        <f t="array" ref="P1643">XLOOKUP(D1643,Product_Dim!A:A,Product_Dim!B:B,"Not Found")</f>
        <v>Premium Blanket Throw</v>
      </c>
      <c r="Q1643" s="8" t="str">
        <f t="array" ref="Q1643">XLOOKUP(D1643,Product_Dim!A:A,Product_Dim!C:C,"Not Found")</f>
        <v>Home</v>
      </c>
      <c r="R1643" s="8" t="str">
        <f t="array" ref="R1643">XLOOKUP(E1643,Store_Dim!A:A,Store_Dim!B:B,"Not Found")</f>
        <v>East</v>
      </c>
      <c r="S1643" s="8" t="str">
        <f t="array" ref="S1643">XLOOKUP(E1643,Store_Dim!A:A,Store_Dim!D:D,"Not Found")</f>
        <v>Flagship</v>
      </c>
    </row>
    <row r="1644" ht="14.25" customHeight="1">
      <c r="A1644" s="8" t="s">
        <v>3597</v>
      </c>
      <c r="B1644" s="12">
        <v>47122.0</v>
      </c>
      <c r="C1644" s="8" t="s">
        <v>987</v>
      </c>
      <c r="D1644" s="8" t="s">
        <v>1620</v>
      </c>
      <c r="E1644" s="8" t="s">
        <v>1929</v>
      </c>
      <c r="F1644" s="8">
        <v>2.0</v>
      </c>
      <c r="G1644" s="8">
        <v>403.2</v>
      </c>
      <c r="H1644" s="8">
        <v>0.21</v>
      </c>
      <c r="I1644" s="8">
        <f t="shared" si="1"/>
        <v>806.4</v>
      </c>
      <c r="J1644" s="8">
        <f t="shared" si="2"/>
        <v>-169.134</v>
      </c>
      <c r="K1644" s="8" t="str">
        <f t="shared" si="3"/>
        <v>Jan</v>
      </c>
      <c r="L1644" s="8">
        <f t="shared" si="4"/>
        <v>2029</v>
      </c>
      <c r="N1644" s="8" t="str">
        <f t="array" ref="N1644">XLOOKUP(C1644,Customer_Dim!A:A,Customer_Dim!B:B,"Not Found")</f>
        <v>Jennifer Zamora</v>
      </c>
      <c r="O1644" s="8" t="str">
        <f t="array" ref="O1644">XLOOKUP(C1644,Customer_Dim!A:A,Customer_Dim!E:E,"Not Found")</f>
        <v>Sarahland</v>
      </c>
      <c r="P1644" s="8" t="str">
        <f t="array" ref="P1644">XLOOKUP(D1644,Product_Dim!A:A,Product_Dim!B:B,"Not Found")</f>
        <v>Decorative Wall Mirror</v>
      </c>
      <c r="Q1644" s="8" t="str">
        <f t="array" ref="Q1644">XLOOKUP(D1644,Product_Dim!A:A,Product_Dim!C:C,"Not Found")</f>
        <v>Home</v>
      </c>
      <c r="R1644" s="8" t="str">
        <f t="array" ref="R1644">XLOOKUP(E1644,Store_Dim!A:A,Store_Dim!B:B,"Not Found")</f>
        <v>North</v>
      </c>
      <c r="S1644" s="8" t="str">
        <f t="array" ref="S1644">XLOOKUP(E1644,Store_Dim!A:A,Store_Dim!D:D,"Not Found")</f>
        <v>Online</v>
      </c>
    </row>
    <row r="1645" ht="14.25" customHeight="1">
      <c r="A1645" s="8" t="s">
        <v>3598</v>
      </c>
      <c r="B1645" s="12">
        <v>47123.0</v>
      </c>
      <c r="C1645" s="8" t="s">
        <v>87</v>
      </c>
      <c r="D1645" s="8" t="s">
        <v>1848</v>
      </c>
      <c r="E1645" s="8" t="s">
        <v>1931</v>
      </c>
      <c r="F1645" s="8">
        <v>4.0</v>
      </c>
      <c r="G1645" s="8">
        <v>292.31</v>
      </c>
      <c r="H1645" s="8">
        <v>0.27</v>
      </c>
      <c r="I1645" s="8">
        <f t="shared" si="1"/>
        <v>1169.24</v>
      </c>
      <c r="J1645" s="8">
        <f t="shared" si="2"/>
        <v>-315.4248</v>
      </c>
      <c r="K1645" s="8" t="str">
        <f t="shared" si="3"/>
        <v>Jan</v>
      </c>
      <c r="L1645" s="8">
        <f t="shared" si="4"/>
        <v>2029</v>
      </c>
      <c r="N1645" s="8" t="str">
        <f t="array" ref="N1645">XLOOKUP(C1645,Customer_Dim!A:A,Customer_Dim!B:B,"Not Found")</f>
        <v>Adam Cruz</v>
      </c>
      <c r="O1645" s="8" t="str">
        <f t="array" ref="O1645">XLOOKUP(C1645,Customer_Dim!A:A,Customer_Dim!E:E,"Not Found")</f>
        <v>Brandonville</v>
      </c>
      <c r="P1645" s="8" t="str">
        <f t="array" ref="P1645">XLOOKUP(D1645,Product_Dim!A:A,Product_Dim!B:B,"Not Found")</f>
        <v>Kitchen Cutting Board</v>
      </c>
      <c r="Q1645" s="8" t="str">
        <f t="array" ref="Q1645">XLOOKUP(D1645,Product_Dim!A:A,Product_Dim!C:C,"Not Found")</f>
        <v>Home</v>
      </c>
      <c r="R1645" s="8" t="str">
        <f t="array" ref="R1645">XLOOKUP(E1645,Store_Dim!A:A,Store_Dim!B:B,"Not Found")</f>
        <v>East</v>
      </c>
      <c r="S1645" s="8" t="str">
        <f t="array" ref="S1645">XLOOKUP(E1645,Store_Dim!A:A,Store_Dim!D:D,"Not Found")</f>
        <v>Flagship</v>
      </c>
    </row>
    <row r="1646" ht="14.25" customHeight="1">
      <c r="A1646" s="8" t="s">
        <v>3599</v>
      </c>
      <c r="B1646" s="12">
        <v>47124.0</v>
      </c>
      <c r="C1646" s="8" t="s">
        <v>1529</v>
      </c>
      <c r="D1646" s="8" t="s">
        <v>1572</v>
      </c>
      <c r="E1646" s="8" t="s">
        <v>1926</v>
      </c>
      <c r="F1646" s="8">
        <v>1.0</v>
      </c>
      <c r="G1646" s="8">
        <v>948.33</v>
      </c>
      <c r="H1646" s="8">
        <v>0.11</v>
      </c>
      <c r="I1646" s="8">
        <f t="shared" si="1"/>
        <v>948.33</v>
      </c>
      <c r="J1646" s="8">
        <f t="shared" si="2"/>
        <v>-104.2063</v>
      </c>
      <c r="K1646" s="8" t="str">
        <f t="shared" si="3"/>
        <v>Jan</v>
      </c>
      <c r="L1646" s="8">
        <f t="shared" si="4"/>
        <v>2029</v>
      </c>
      <c r="N1646" s="8" t="str">
        <f t="array" ref="N1646">XLOOKUP(C1646,Customer_Dim!A:A,Customer_Dim!B:B,"Not Found")</f>
        <v>Darrell Miller</v>
      </c>
      <c r="O1646" s="8" t="str">
        <f t="array" ref="O1646">XLOOKUP(C1646,Customer_Dim!A:A,Customer_Dim!E:E,"Not Found")</f>
        <v>Port Carol</v>
      </c>
      <c r="P1646" s="8" t="str">
        <f t="array" ref="P1646">XLOOKUP(D1646,Product_Dim!A:A,Product_Dim!B:B,"Not Found")</f>
        <v>Women's Casual Hoodie</v>
      </c>
      <c r="Q1646" s="8" t="str">
        <f t="array" ref="Q1646">XLOOKUP(D1646,Product_Dim!A:A,Product_Dim!C:C,"Not Found")</f>
        <v>Clothing</v>
      </c>
      <c r="R1646" s="8" t="str">
        <f t="array" ref="R1646">XLOOKUP(E1646,Store_Dim!A:A,Store_Dim!B:B,"Not Found")</f>
        <v>East</v>
      </c>
      <c r="S1646" s="8" t="str">
        <f t="array" ref="S1646">XLOOKUP(E1646,Store_Dim!A:A,Store_Dim!D:D,"Not Found")</f>
        <v>Online</v>
      </c>
    </row>
    <row r="1647" ht="14.25" customHeight="1">
      <c r="A1647" s="8" t="s">
        <v>3600</v>
      </c>
      <c r="B1647" s="12">
        <v>47125.0</v>
      </c>
      <c r="C1647" s="8" t="s">
        <v>1092</v>
      </c>
      <c r="D1647" s="8" t="s">
        <v>1703</v>
      </c>
      <c r="E1647" s="8" t="s">
        <v>1915</v>
      </c>
      <c r="F1647" s="8">
        <v>1.0</v>
      </c>
      <c r="G1647" s="8">
        <v>702.27</v>
      </c>
      <c r="H1647" s="8">
        <v>0.17</v>
      </c>
      <c r="I1647" s="8">
        <f t="shared" si="1"/>
        <v>702.27</v>
      </c>
      <c r="J1647" s="8">
        <f t="shared" si="2"/>
        <v>-119.2159</v>
      </c>
      <c r="K1647" s="8" t="str">
        <f t="shared" si="3"/>
        <v>Jan</v>
      </c>
      <c r="L1647" s="8">
        <f t="shared" si="4"/>
        <v>2029</v>
      </c>
      <c r="N1647" s="8" t="str">
        <f t="array" ref="N1647">XLOOKUP(C1647,Customer_Dim!A:A,Customer_Dim!B:B,"Not Found")</f>
        <v>Ryan Moore</v>
      </c>
      <c r="O1647" s="8" t="str">
        <f t="array" ref="O1647">XLOOKUP(C1647,Customer_Dim!A:A,Customer_Dim!E:E,"Not Found")</f>
        <v>Cartershire</v>
      </c>
      <c r="P1647" s="8" t="str">
        <f t="array" ref="P1647">XLOOKUP(D1647,Product_Dim!A:A,Product_Dim!B:B,"Not Found")</f>
        <v>Portable Power Bank</v>
      </c>
      <c r="Q1647" s="8" t="str">
        <f t="array" ref="Q1647">XLOOKUP(D1647,Product_Dim!A:A,Product_Dim!C:C,"Not Found")</f>
        <v>Electronics</v>
      </c>
      <c r="R1647" s="8" t="str">
        <f t="array" ref="R1647">XLOOKUP(E1647,Store_Dim!A:A,Store_Dim!B:B,"Not Found")</f>
        <v>North</v>
      </c>
      <c r="S1647" s="8" t="str">
        <f t="array" ref="S1647">XLOOKUP(E1647,Store_Dim!A:A,Store_Dim!D:D,"Not Found")</f>
        <v>Outlet</v>
      </c>
    </row>
    <row r="1648" ht="14.25" customHeight="1">
      <c r="A1648" s="8" t="s">
        <v>3601</v>
      </c>
      <c r="B1648" s="12">
        <v>47126.0</v>
      </c>
      <c r="C1648" s="8" t="s">
        <v>170</v>
      </c>
      <c r="D1648" s="8" t="s">
        <v>1674</v>
      </c>
      <c r="E1648" s="8" t="s">
        <v>1910</v>
      </c>
      <c r="F1648" s="8">
        <v>2.0</v>
      </c>
      <c r="G1648" s="8">
        <v>379.28</v>
      </c>
      <c r="H1648" s="8">
        <v>0.26</v>
      </c>
      <c r="I1648" s="8">
        <f t="shared" si="1"/>
        <v>758.56</v>
      </c>
      <c r="J1648" s="8">
        <f t="shared" si="2"/>
        <v>-196.9656</v>
      </c>
      <c r="K1648" s="8" t="str">
        <f t="shared" si="3"/>
        <v>Jan</v>
      </c>
      <c r="L1648" s="8">
        <f t="shared" si="4"/>
        <v>2029</v>
      </c>
      <c r="N1648" s="8" t="str">
        <f t="array" ref="N1648">XLOOKUP(C1648,Customer_Dim!A:A,Customer_Dim!B:B,"Not Found")</f>
        <v>James Gibbs</v>
      </c>
      <c r="O1648" s="8" t="str">
        <f t="array" ref="O1648">XLOOKUP(C1648,Customer_Dim!A:A,Customer_Dim!E:E,"Not Found")</f>
        <v>Mooneyshire</v>
      </c>
      <c r="P1648" s="8" t="str">
        <f t="array" ref="P1648">XLOOKUP(D1648,Product_Dim!A:A,Product_Dim!B:B,"Not Found")</f>
        <v>Stainless Steel Cutlery Set</v>
      </c>
      <c r="Q1648" s="8" t="str">
        <f t="array" ref="Q1648">XLOOKUP(D1648,Product_Dim!A:A,Product_Dim!C:C,"Not Found")</f>
        <v>Home</v>
      </c>
      <c r="R1648" s="8" t="str">
        <f t="array" ref="R1648">XLOOKUP(E1648,Store_Dim!A:A,Store_Dim!B:B,"Not Found")</f>
        <v>North</v>
      </c>
      <c r="S1648" s="8" t="str">
        <f t="array" ref="S1648">XLOOKUP(E1648,Store_Dim!A:A,Store_Dim!D:D,"Not Found")</f>
        <v>Outlet</v>
      </c>
    </row>
    <row r="1649" ht="14.25" customHeight="1">
      <c r="A1649" s="8" t="s">
        <v>3602</v>
      </c>
      <c r="B1649" s="12">
        <v>47127.0</v>
      </c>
      <c r="C1649" s="8" t="s">
        <v>464</v>
      </c>
      <c r="D1649" s="8" t="s">
        <v>1728</v>
      </c>
      <c r="E1649" s="8" t="s">
        <v>1899</v>
      </c>
      <c r="F1649" s="8">
        <v>4.0</v>
      </c>
      <c r="G1649" s="8">
        <v>92.35</v>
      </c>
      <c r="H1649" s="8">
        <v>0.15</v>
      </c>
      <c r="I1649" s="8">
        <f t="shared" si="1"/>
        <v>369.4</v>
      </c>
      <c r="J1649" s="8">
        <f t="shared" si="2"/>
        <v>-55.26</v>
      </c>
      <c r="K1649" s="8" t="str">
        <f t="shared" si="3"/>
        <v>Jan</v>
      </c>
      <c r="L1649" s="8">
        <f t="shared" si="4"/>
        <v>2029</v>
      </c>
      <c r="N1649" s="8" t="str">
        <f t="array" ref="N1649">XLOOKUP(C1649,Customer_Dim!A:A,Customer_Dim!B:B,"Not Found")</f>
        <v>Miguel Reynolds</v>
      </c>
      <c r="O1649" s="8" t="str">
        <f t="array" ref="O1649">XLOOKUP(C1649,Customer_Dim!A:A,Customer_Dim!E:E,"Not Found")</f>
        <v>Taylorberg</v>
      </c>
      <c r="P1649" s="8" t="str">
        <f t="array" ref="P1649">XLOOKUP(D1649,Product_Dim!A:A,Product_Dim!B:B,"Not Found")</f>
        <v>Makeup Brush Set</v>
      </c>
      <c r="Q1649" s="8" t="str">
        <f t="array" ref="Q1649">XLOOKUP(D1649,Product_Dim!A:A,Product_Dim!C:C,"Not Found")</f>
        <v>Beauty</v>
      </c>
      <c r="R1649" s="8" t="str">
        <f t="array" ref="R1649">XLOOKUP(E1649,Store_Dim!A:A,Store_Dim!B:B,"Not Found")</f>
        <v>East</v>
      </c>
      <c r="S1649" s="8" t="str">
        <f t="array" ref="S1649">XLOOKUP(E1649,Store_Dim!A:A,Store_Dim!D:D,"Not Found")</f>
        <v>Flagship</v>
      </c>
    </row>
    <row r="1650" ht="14.25" customHeight="1">
      <c r="A1650" s="8" t="s">
        <v>3603</v>
      </c>
      <c r="B1650" s="12">
        <v>47128.0</v>
      </c>
      <c r="C1650" s="8" t="s">
        <v>723</v>
      </c>
      <c r="D1650" s="8" t="s">
        <v>1703</v>
      </c>
      <c r="E1650" s="8" t="s">
        <v>1929</v>
      </c>
      <c r="F1650" s="8">
        <v>4.0</v>
      </c>
      <c r="G1650" s="8">
        <v>721.54</v>
      </c>
      <c r="H1650" s="8">
        <v>0.21</v>
      </c>
      <c r="I1650" s="8">
        <f t="shared" si="1"/>
        <v>2886.16</v>
      </c>
      <c r="J1650" s="8">
        <f t="shared" si="2"/>
        <v>-605.8836</v>
      </c>
      <c r="K1650" s="8" t="str">
        <f t="shared" si="3"/>
        <v>Jan</v>
      </c>
      <c r="L1650" s="8">
        <f t="shared" si="4"/>
        <v>2029</v>
      </c>
      <c r="N1650" s="8" t="str">
        <f t="array" ref="N1650">XLOOKUP(C1650,Customer_Dim!A:A,Customer_Dim!B:B,"Not Found")</f>
        <v>Jordan Wells</v>
      </c>
      <c r="O1650" s="8" t="str">
        <f t="array" ref="O1650">XLOOKUP(C1650,Customer_Dim!A:A,Customer_Dim!E:E,"Not Found")</f>
        <v>Phillipschester   </v>
      </c>
      <c r="P1650" s="8" t="str">
        <f t="array" ref="P1650">XLOOKUP(D1650,Product_Dim!A:A,Product_Dim!B:B,"Not Found")</f>
        <v>Portable Power Bank</v>
      </c>
      <c r="Q1650" s="8" t="str">
        <f t="array" ref="Q1650">XLOOKUP(D1650,Product_Dim!A:A,Product_Dim!C:C,"Not Found")</f>
        <v>Electronics</v>
      </c>
      <c r="R1650" s="8" t="str">
        <f t="array" ref="R1650">XLOOKUP(E1650,Store_Dim!A:A,Store_Dim!B:B,"Not Found")</f>
        <v>North</v>
      </c>
      <c r="S1650" s="8" t="str">
        <f t="array" ref="S1650">XLOOKUP(E1650,Store_Dim!A:A,Store_Dim!D:D,"Not Found")</f>
        <v>Online</v>
      </c>
    </row>
    <row r="1651" ht="14.25" customHeight="1">
      <c r="A1651" s="8" t="s">
        <v>3604</v>
      </c>
      <c r="B1651" s="12">
        <v>47129.0</v>
      </c>
      <c r="C1651" s="8" t="s">
        <v>212</v>
      </c>
      <c r="D1651" s="8" t="s">
        <v>1700</v>
      </c>
      <c r="E1651" s="8" t="s">
        <v>1924</v>
      </c>
      <c r="F1651" s="8">
        <v>1.0</v>
      </c>
      <c r="G1651" s="8">
        <v>228.69</v>
      </c>
      <c r="H1651" s="8">
        <v>0.14</v>
      </c>
      <c r="I1651" s="8">
        <f t="shared" si="1"/>
        <v>228.69</v>
      </c>
      <c r="J1651" s="8">
        <f t="shared" si="2"/>
        <v>-31.8766</v>
      </c>
      <c r="K1651" s="8" t="str">
        <f t="shared" si="3"/>
        <v>Jan</v>
      </c>
      <c r="L1651" s="8">
        <f t="shared" si="4"/>
        <v>2029</v>
      </c>
      <c r="N1651" s="8" t="str">
        <f t="array" ref="N1651">XLOOKUP(C1651,Customer_Dim!A:A,Customer_Dim!B:B,"Not Found")</f>
        <v>Sharon Brown</v>
      </c>
      <c r="O1651" s="8" t="str">
        <f t="array" ref="O1651">XLOOKUP(C1651,Customer_Dim!A:A,Customer_Dim!E:E,"Not Found")</f>
        <v>East Andrea</v>
      </c>
      <c r="P1651" s="8" t="str">
        <f t="array" ref="P1651">XLOOKUP(D1651,Product_Dim!A:A,Product_Dim!B:B,"Not Found")</f>
        <v>Sports Water Hydration Pack</v>
      </c>
      <c r="Q1651" s="8" t="str">
        <f t="array" ref="Q1651">XLOOKUP(D1651,Product_Dim!A:A,Product_Dim!C:C,"Not Found")</f>
        <v>Sports</v>
      </c>
      <c r="R1651" s="8" t="str">
        <f t="array" ref="R1651">XLOOKUP(E1651,Store_Dim!A:A,Store_Dim!B:B,"Not Found")</f>
        <v>South</v>
      </c>
      <c r="S1651" s="8" t="str">
        <f t="array" ref="S1651">XLOOKUP(E1651,Store_Dim!A:A,Store_Dim!D:D,"Not Found")</f>
        <v>Flagship</v>
      </c>
    </row>
    <row r="1652" ht="14.25" customHeight="1">
      <c r="A1652" s="8" t="s">
        <v>3605</v>
      </c>
      <c r="B1652" s="12">
        <v>47130.0</v>
      </c>
      <c r="C1652" s="8" t="s">
        <v>1128</v>
      </c>
      <c r="D1652" s="8" t="s">
        <v>1748</v>
      </c>
      <c r="E1652" s="8" t="s">
        <v>1926</v>
      </c>
      <c r="F1652" s="8">
        <v>1.0</v>
      </c>
      <c r="G1652" s="8">
        <v>899.09</v>
      </c>
      <c r="H1652" s="8">
        <v>0.2</v>
      </c>
      <c r="I1652" s="8">
        <f t="shared" si="1"/>
        <v>899.09</v>
      </c>
      <c r="J1652" s="8">
        <f t="shared" si="2"/>
        <v>-179.618</v>
      </c>
      <c r="K1652" s="8" t="str">
        <f t="shared" si="3"/>
        <v>Jan</v>
      </c>
      <c r="L1652" s="8">
        <f t="shared" si="4"/>
        <v>2029</v>
      </c>
      <c r="N1652" s="8" t="str">
        <f t="array" ref="N1652">XLOOKUP(C1652,Customer_Dim!A:A,Customer_Dim!B:B,"Not Found")</f>
        <v>Carlos Flores</v>
      </c>
      <c r="O1652" s="8" t="str">
        <f t="array" ref="O1652">XLOOKUP(C1652,Customer_Dim!A:A,Customer_Dim!E:E,"Not Found")</f>
        <v>North Johnfurt</v>
      </c>
      <c r="P1652" s="8" t="str">
        <f t="array" ref="P1652">XLOOKUP(D1652,Product_Dim!A:A,Product_Dim!B:B,"Not Found")</f>
        <v>Men's Track Pants</v>
      </c>
      <c r="Q1652" s="8" t="str">
        <f t="array" ref="Q1652">XLOOKUP(D1652,Product_Dim!A:A,Product_Dim!C:C,"Not Found")</f>
        <v>Clothing</v>
      </c>
      <c r="R1652" s="8" t="str">
        <f t="array" ref="R1652">XLOOKUP(E1652,Store_Dim!A:A,Store_Dim!B:B,"Not Found")</f>
        <v>East</v>
      </c>
      <c r="S1652" s="8" t="str">
        <f t="array" ref="S1652">XLOOKUP(E1652,Store_Dim!A:A,Store_Dim!D:D,"Not Found")</f>
        <v>Online</v>
      </c>
    </row>
    <row r="1653" ht="14.25" customHeight="1">
      <c r="A1653" s="8" t="s">
        <v>3606</v>
      </c>
      <c r="B1653" s="12">
        <v>47131.0</v>
      </c>
      <c r="C1653" s="8" t="s">
        <v>1215</v>
      </c>
      <c r="D1653" s="8" t="s">
        <v>1597</v>
      </c>
      <c r="E1653" s="8" t="s">
        <v>1921</v>
      </c>
      <c r="F1653" s="8">
        <v>4.0</v>
      </c>
      <c r="G1653" s="8">
        <v>195.75</v>
      </c>
      <c r="H1653" s="8">
        <v>0.17</v>
      </c>
      <c r="I1653" s="8">
        <f t="shared" si="1"/>
        <v>783</v>
      </c>
      <c r="J1653" s="8">
        <f t="shared" si="2"/>
        <v>-132.94</v>
      </c>
      <c r="K1653" s="8" t="str">
        <f t="shared" si="3"/>
        <v>Jan</v>
      </c>
      <c r="L1653" s="8">
        <f t="shared" si="4"/>
        <v>2029</v>
      </c>
      <c r="N1653" s="8" t="str">
        <f t="array" ref="N1653">XLOOKUP(C1653,Customer_Dim!A:A,Customer_Dim!B:B,"Not Found")</f>
        <v>Andrew Mason</v>
      </c>
      <c r="O1653" s="8" t="str">
        <f t="array" ref="O1653">XLOOKUP(C1653,Customer_Dim!A:A,Customer_Dim!E:E,"Not Found")</f>
        <v>North Michael</v>
      </c>
      <c r="P1653" s="8" t="str">
        <f t="array" ref="P1653">XLOOKUP(D1653,Product_Dim!A:A,Product_Dim!B:B,"Not Found")</f>
        <v>Wireless Bluetooth Earbuds</v>
      </c>
      <c r="Q1653" s="8" t="str">
        <f t="array" ref="Q1653">XLOOKUP(D1653,Product_Dim!A:A,Product_Dim!C:C,"Not Found")</f>
        <v>Electronics</v>
      </c>
      <c r="R1653" s="8" t="str">
        <f t="array" ref="R1653">XLOOKUP(E1653,Store_Dim!A:A,Store_Dim!B:B,"Not Found")</f>
        <v>West</v>
      </c>
      <c r="S1653" s="8" t="str">
        <f t="array" ref="S1653">XLOOKUP(E1653,Store_Dim!A:A,Store_Dim!D:D,"Not Found")</f>
        <v>Online</v>
      </c>
    </row>
    <row r="1654" ht="14.25" customHeight="1">
      <c r="A1654" s="8" t="s">
        <v>3607</v>
      </c>
      <c r="B1654" s="12">
        <v>47132.0</v>
      </c>
      <c r="C1654" s="8" t="s">
        <v>1338</v>
      </c>
      <c r="D1654" s="8" t="s">
        <v>1869</v>
      </c>
      <c r="E1654" s="8" t="s">
        <v>1933</v>
      </c>
      <c r="F1654" s="8">
        <v>3.0</v>
      </c>
      <c r="G1654" s="8">
        <v>199.13</v>
      </c>
      <c r="H1654" s="8">
        <v>0.24</v>
      </c>
      <c r="I1654" s="8">
        <f t="shared" si="1"/>
        <v>597.39</v>
      </c>
      <c r="J1654" s="8">
        <f t="shared" si="2"/>
        <v>-143.1336</v>
      </c>
      <c r="K1654" s="8" t="str">
        <f t="shared" si="3"/>
        <v>Jan</v>
      </c>
      <c r="L1654" s="8">
        <f t="shared" si="4"/>
        <v>2029</v>
      </c>
      <c r="N1654" s="8" t="str">
        <f t="array" ref="N1654">XLOOKUP(C1654,Customer_Dim!A:A,Customer_Dim!B:B,"Not Found")</f>
        <v>Jeanette Nichols</v>
      </c>
      <c r="O1654" s="8" t="str">
        <f t="array" ref="O1654">XLOOKUP(C1654,Customer_Dim!A:A,Customer_Dim!E:E,"Not Found")</f>
        <v>Aguilarland</v>
      </c>
      <c r="P1654" s="8" t="str">
        <f t="array" ref="P1654">XLOOKUP(D1654,Product_Dim!A:A,Product_Dim!B:B,"Not Found")</f>
        <v>USB-C Laptop Charger</v>
      </c>
      <c r="Q1654" s="8" t="str">
        <f t="array" ref="Q1654">XLOOKUP(D1654,Product_Dim!A:A,Product_Dim!C:C,"Not Found")</f>
        <v>Electronics</v>
      </c>
      <c r="R1654" s="8" t="str">
        <f t="array" ref="R1654">XLOOKUP(E1654,Store_Dim!A:A,Store_Dim!B:B,"Not Found")</f>
        <v>North</v>
      </c>
      <c r="S1654" s="8" t="str">
        <f t="array" ref="S1654">XLOOKUP(E1654,Store_Dim!A:A,Store_Dim!D:D,"Not Found")</f>
        <v>Flagship</v>
      </c>
    </row>
    <row r="1655" ht="14.25" customHeight="1">
      <c r="A1655" s="8" t="s">
        <v>3608</v>
      </c>
      <c r="B1655" s="12">
        <v>47133.0</v>
      </c>
      <c r="C1655" s="8" t="s">
        <v>547</v>
      </c>
      <c r="D1655" s="8" t="s">
        <v>1649</v>
      </c>
      <c r="E1655" s="8" t="s">
        <v>1932</v>
      </c>
      <c r="F1655" s="8">
        <v>2.0</v>
      </c>
      <c r="G1655" s="8">
        <v>833.62</v>
      </c>
      <c r="H1655" s="8">
        <v>0.18</v>
      </c>
      <c r="I1655" s="8">
        <f t="shared" si="1"/>
        <v>1667.24</v>
      </c>
      <c r="J1655" s="8">
        <f t="shared" si="2"/>
        <v>-299.9232</v>
      </c>
      <c r="K1655" s="8" t="str">
        <f t="shared" si="3"/>
        <v>Jan</v>
      </c>
      <c r="L1655" s="8">
        <f t="shared" si="4"/>
        <v>2029</v>
      </c>
      <c r="N1655" s="8" t="str">
        <f t="array" ref="N1655">XLOOKUP(C1655,Customer_Dim!A:A,Customer_Dim!B:B,"Not Found")</f>
        <v>John Lawson</v>
      </c>
      <c r="O1655" s="8" t="str">
        <f t="array" ref="O1655">XLOOKUP(C1655,Customer_Dim!A:A,Customer_Dim!E:E,"Not Found")</f>
        <v>New Juliemouth</v>
      </c>
      <c r="P1655" s="8" t="str">
        <f t="array" ref="P1655">XLOOKUP(D1655,Product_Dim!A:A,Product_Dim!B:B,"Not Found")</f>
        <v>Carbon Fiber Tennis Racket</v>
      </c>
      <c r="Q1655" s="8" t="str">
        <f t="array" ref="Q1655">XLOOKUP(D1655,Product_Dim!A:A,Product_Dim!C:C,"Not Found")</f>
        <v>Sports</v>
      </c>
      <c r="R1655" s="8" t="str">
        <f t="array" ref="R1655">XLOOKUP(E1655,Store_Dim!A:A,Store_Dim!B:B,"Not Found")</f>
        <v>South</v>
      </c>
      <c r="S1655" s="8" t="str">
        <f t="array" ref="S1655">XLOOKUP(E1655,Store_Dim!A:A,Store_Dim!D:D,"Not Found")</f>
        <v>Outlet</v>
      </c>
    </row>
    <row r="1656" ht="14.25" customHeight="1">
      <c r="A1656" s="8" t="s">
        <v>3609</v>
      </c>
      <c r="B1656" s="12">
        <v>47134.0</v>
      </c>
      <c r="C1656" s="8" t="s">
        <v>1505</v>
      </c>
      <c r="D1656" s="8" t="s">
        <v>1815</v>
      </c>
      <c r="E1656" s="8" t="s">
        <v>1899</v>
      </c>
      <c r="F1656" s="8">
        <v>1.0</v>
      </c>
      <c r="G1656" s="8">
        <v>676.26</v>
      </c>
      <c r="H1656" s="8">
        <v>0.14</v>
      </c>
      <c r="I1656" s="8">
        <f t="shared" si="1"/>
        <v>676.26</v>
      </c>
      <c r="J1656" s="8">
        <f t="shared" si="2"/>
        <v>-94.5364</v>
      </c>
      <c r="K1656" s="8" t="str">
        <f t="shared" si="3"/>
        <v>Jan</v>
      </c>
      <c r="L1656" s="8">
        <f t="shared" si="4"/>
        <v>2029</v>
      </c>
      <c r="N1656" s="8" t="str">
        <f t="array" ref="N1656">XLOOKUP(C1656,Customer_Dim!A:A,Customer_Dim!B:B,"Not Found")</f>
        <v>Jessica Castro</v>
      </c>
      <c r="O1656" s="8" t="str">
        <f t="array" ref="O1656">XLOOKUP(C1656,Customer_Dim!A:A,Customer_Dim!E:E,"Not Found")</f>
        <v>West Markton</v>
      </c>
      <c r="P1656" s="8" t="str">
        <f t="array" ref="P1656">XLOOKUP(D1656,Product_Dim!A:A,Product_Dim!B:B,"Not Found")</f>
        <v>Women's Ankle Boots</v>
      </c>
      <c r="Q1656" s="8" t="str">
        <f t="array" ref="Q1656">XLOOKUP(D1656,Product_Dim!A:A,Product_Dim!C:C,"Not Found")</f>
        <v>Clothing</v>
      </c>
      <c r="R1656" s="8" t="str">
        <f t="array" ref="R1656">XLOOKUP(E1656,Store_Dim!A:A,Store_Dim!B:B,"Not Found")</f>
        <v>East</v>
      </c>
      <c r="S1656" s="8" t="str">
        <f t="array" ref="S1656">XLOOKUP(E1656,Store_Dim!A:A,Store_Dim!D:D,"Not Found")</f>
        <v>Flagship</v>
      </c>
    </row>
    <row r="1657" ht="14.25" customHeight="1">
      <c r="A1657" s="8" t="s">
        <v>3610</v>
      </c>
      <c r="B1657" s="12">
        <v>47135.0</v>
      </c>
      <c r="C1657" s="8" t="s">
        <v>140</v>
      </c>
      <c r="D1657" s="8" t="s">
        <v>1769</v>
      </c>
      <c r="E1657" s="8" t="s">
        <v>1924</v>
      </c>
      <c r="F1657" s="8">
        <v>2.0</v>
      </c>
      <c r="G1657" s="8">
        <v>666.49</v>
      </c>
      <c r="H1657" s="8">
        <v>0.06</v>
      </c>
      <c r="I1657" s="8">
        <f t="shared" si="1"/>
        <v>1332.98</v>
      </c>
      <c r="J1657" s="8">
        <f t="shared" si="2"/>
        <v>-79.9188</v>
      </c>
      <c r="K1657" s="8" t="str">
        <f t="shared" si="3"/>
        <v>Jan</v>
      </c>
      <c r="L1657" s="8">
        <f t="shared" si="4"/>
        <v>2029</v>
      </c>
      <c r="N1657" s="8" t="str">
        <f t="array" ref="N1657">XLOOKUP(C1657,Customer_Dim!A:A,Customer_Dim!B:B,"Not Found")</f>
        <v>Mike Jennings</v>
      </c>
      <c r="O1657" s="8" t="str">
        <f t="array" ref="O1657">XLOOKUP(C1657,Customer_Dim!A:A,Customer_Dim!E:E,"Not Found")</f>
        <v>Fostermouth</v>
      </c>
      <c r="P1657" s="8" t="str">
        <f t="array" ref="P1657">XLOOKUP(D1657,Product_Dim!A:A,Product_Dim!B:B,"Not Found")</f>
        <v>Luxury Perfume Spray</v>
      </c>
      <c r="Q1657" s="8" t="str">
        <f t="array" ref="Q1657">XLOOKUP(D1657,Product_Dim!A:A,Product_Dim!C:C,"Not Found")</f>
        <v>Beauty</v>
      </c>
      <c r="R1657" s="8" t="str">
        <f t="array" ref="R1657">XLOOKUP(E1657,Store_Dim!A:A,Store_Dim!B:B,"Not Found")</f>
        <v>South</v>
      </c>
      <c r="S1657" s="8" t="str">
        <f t="array" ref="S1657">XLOOKUP(E1657,Store_Dim!A:A,Store_Dim!D:D,"Not Found")</f>
        <v>Flagship</v>
      </c>
    </row>
    <row r="1658" ht="14.25" customHeight="1">
      <c r="A1658" s="8" t="s">
        <v>3611</v>
      </c>
      <c r="B1658" s="12">
        <v>47136.0</v>
      </c>
      <c r="C1658" s="8" t="s">
        <v>1435</v>
      </c>
      <c r="D1658" s="8" t="s">
        <v>1624</v>
      </c>
      <c r="E1658" s="8" t="s">
        <v>1912</v>
      </c>
      <c r="F1658" s="8">
        <v>3.0</v>
      </c>
      <c r="G1658" s="8">
        <v>471.19</v>
      </c>
      <c r="H1658" s="8">
        <v>0.28</v>
      </c>
      <c r="I1658" s="8">
        <f t="shared" si="1"/>
        <v>1413.57</v>
      </c>
      <c r="J1658" s="8">
        <f t="shared" si="2"/>
        <v>-395.5196</v>
      </c>
      <c r="K1658" s="8" t="str">
        <f t="shared" si="3"/>
        <v>Jan</v>
      </c>
      <c r="L1658" s="8">
        <f t="shared" si="4"/>
        <v>2029</v>
      </c>
      <c r="N1658" s="8" t="str">
        <f t="array" ref="N1658">XLOOKUP(C1658,Customer_Dim!A:A,Customer_Dim!B:B,"Not Found")</f>
        <v>Justin Johnson</v>
      </c>
      <c r="O1658" s="8" t="str">
        <f t="array" ref="O1658">XLOOKUP(C1658,Customer_Dim!A:A,Customer_Dim!E:E,"Not Found")</f>
        <v>Hughesview</v>
      </c>
      <c r="P1658" s="8" t="str">
        <f t="array" ref="P1658">XLOOKUP(D1658,Product_Dim!A:A,Product_Dim!B:B,"Not Found")</f>
        <v>4K Home Projector</v>
      </c>
      <c r="Q1658" s="8" t="str">
        <f t="array" ref="Q1658">XLOOKUP(D1658,Product_Dim!A:A,Product_Dim!C:C,"Not Found")</f>
        <v>Electronics</v>
      </c>
      <c r="R1658" s="8" t="str">
        <f t="array" ref="R1658">XLOOKUP(E1658,Store_Dim!A:A,Store_Dim!B:B,"Not Found")</f>
        <v>South</v>
      </c>
      <c r="S1658" s="8" t="str">
        <f t="array" ref="S1658">XLOOKUP(E1658,Store_Dim!A:A,Store_Dim!D:D,"Not Found")</f>
        <v>Online</v>
      </c>
    </row>
    <row r="1659" ht="14.25" customHeight="1">
      <c r="A1659" s="8" t="s">
        <v>3612</v>
      </c>
      <c r="B1659" s="12">
        <v>47137.0</v>
      </c>
      <c r="C1659" s="8" t="s">
        <v>424</v>
      </c>
      <c r="D1659" s="8" t="s">
        <v>1597</v>
      </c>
      <c r="E1659" s="8" t="s">
        <v>1910</v>
      </c>
      <c r="F1659" s="8">
        <v>4.0</v>
      </c>
      <c r="G1659" s="8">
        <v>555.65</v>
      </c>
      <c r="H1659" s="8">
        <v>0.25</v>
      </c>
      <c r="I1659" s="8">
        <f t="shared" si="1"/>
        <v>2222.6</v>
      </c>
      <c r="J1659" s="8">
        <f t="shared" si="2"/>
        <v>-555.4</v>
      </c>
      <c r="K1659" s="8" t="str">
        <f t="shared" si="3"/>
        <v>Jan</v>
      </c>
      <c r="L1659" s="8">
        <f t="shared" si="4"/>
        <v>2029</v>
      </c>
      <c r="N1659" s="8" t="str">
        <f t="array" ref="N1659">XLOOKUP(C1659,Customer_Dim!A:A,Customer_Dim!B:B,"Not Found")</f>
        <v>Michael Jones</v>
      </c>
      <c r="O1659" s="8" t="str">
        <f t="array" ref="O1659">XLOOKUP(C1659,Customer_Dim!A:A,Customer_Dim!E:E,"Not Found")</f>
        <v>North Edwardton</v>
      </c>
      <c r="P1659" s="8" t="str">
        <f t="array" ref="P1659">XLOOKUP(D1659,Product_Dim!A:A,Product_Dim!B:B,"Not Found")</f>
        <v>Wireless Bluetooth Earbuds</v>
      </c>
      <c r="Q1659" s="8" t="str">
        <f t="array" ref="Q1659">XLOOKUP(D1659,Product_Dim!A:A,Product_Dim!C:C,"Not Found")</f>
        <v>Electronics</v>
      </c>
      <c r="R1659" s="8" t="str">
        <f t="array" ref="R1659">XLOOKUP(E1659,Store_Dim!A:A,Store_Dim!B:B,"Not Found")</f>
        <v>North</v>
      </c>
      <c r="S1659" s="8" t="str">
        <f t="array" ref="S1659">XLOOKUP(E1659,Store_Dim!A:A,Store_Dim!D:D,"Not Found")</f>
        <v>Outlet</v>
      </c>
    </row>
    <row r="1660" ht="14.25" customHeight="1">
      <c r="A1660" s="8" t="s">
        <v>3613</v>
      </c>
      <c r="B1660" s="12">
        <v>47138.0</v>
      </c>
      <c r="C1660" s="8" t="s">
        <v>151</v>
      </c>
      <c r="D1660" s="8" t="s">
        <v>1875</v>
      </c>
      <c r="E1660" s="8" t="s">
        <v>1932</v>
      </c>
      <c r="F1660" s="8">
        <v>2.0</v>
      </c>
      <c r="G1660" s="8">
        <v>100.42</v>
      </c>
      <c r="H1660" s="8">
        <v>0.06</v>
      </c>
      <c r="I1660" s="8">
        <f t="shared" si="1"/>
        <v>200.84</v>
      </c>
      <c r="J1660" s="8">
        <f t="shared" si="2"/>
        <v>-11.9904</v>
      </c>
      <c r="K1660" s="8" t="str">
        <f t="shared" si="3"/>
        <v>Jan</v>
      </c>
      <c r="L1660" s="8">
        <f t="shared" si="4"/>
        <v>2029</v>
      </c>
      <c r="N1660" s="8" t="str">
        <f t="array" ref="N1660">XLOOKUP(C1660,Customer_Dim!A:A,Customer_Dim!B:B,"Not Found")</f>
        <v>Rachel Myers</v>
      </c>
      <c r="O1660" s="8" t="str">
        <f t="array" ref="O1660">XLOOKUP(C1660,Customer_Dim!A:A,Customer_Dim!E:E,"Not Found")</f>
        <v>Robertberg</v>
      </c>
      <c r="P1660" s="8" t="str">
        <f t="array" ref="P1660">XLOOKUP(D1660,Product_Dim!A:A,Product_Dim!B:B,"Not Found")</f>
        <v>Sports Stopwatch Basic</v>
      </c>
      <c r="Q1660" s="8" t="str">
        <f t="array" ref="Q1660">XLOOKUP(D1660,Product_Dim!A:A,Product_Dim!C:C,"Not Found")</f>
        <v>Sports</v>
      </c>
      <c r="R1660" s="8" t="str">
        <f t="array" ref="R1660">XLOOKUP(E1660,Store_Dim!A:A,Store_Dim!B:B,"Not Found")</f>
        <v>South</v>
      </c>
      <c r="S1660" s="8" t="str">
        <f t="array" ref="S1660">XLOOKUP(E1660,Store_Dim!A:A,Store_Dim!D:D,"Not Found")</f>
        <v>Outlet</v>
      </c>
    </row>
    <row r="1661" ht="14.25" customHeight="1">
      <c r="A1661" s="8" t="s">
        <v>3614</v>
      </c>
      <c r="B1661" s="12">
        <v>47139.0</v>
      </c>
      <c r="C1661" s="8" t="s">
        <v>201</v>
      </c>
      <c r="D1661" s="8" t="s">
        <v>1884</v>
      </c>
      <c r="E1661" s="8" t="s">
        <v>1939</v>
      </c>
      <c r="F1661" s="8">
        <v>3.0</v>
      </c>
      <c r="G1661" s="8">
        <v>981.69</v>
      </c>
      <c r="H1661" s="8">
        <v>0.05</v>
      </c>
      <c r="I1661" s="8">
        <f t="shared" si="1"/>
        <v>2945.07</v>
      </c>
      <c r="J1661" s="8">
        <f t="shared" si="2"/>
        <v>-147.2035</v>
      </c>
      <c r="K1661" s="8" t="str">
        <f t="shared" si="3"/>
        <v>Jan</v>
      </c>
      <c r="L1661" s="8">
        <f t="shared" si="4"/>
        <v>2029</v>
      </c>
      <c r="N1661" s="8" t="str">
        <f t="array" ref="N1661">XLOOKUP(C1661,Customer_Dim!A:A,Customer_Dim!B:B,"Not Found")</f>
        <v>Matthew Hunter Jr.</v>
      </c>
      <c r="O1661" s="8" t="str">
        <f t="array" ref="O1661">XLOOKUP(C1661,Customer_Dim!A:A,Customer_Dim!E:E,"Not Found")</f>
        <v>Gregoryview</v>
      </c>
      <c r="P1661" s="8" t="str">
        <f t="array" ref="P1661">XLOOKUP(D1661,Product_Dim!A:A,Product_Dim!B:B,"Not Found")</f>
        <v>Portable Bluetooth Speaker</v>
      </c>
      <c r="Q1661" s="8" t="str">
        <f t="array" ref="Q1661">XLOOKUP(D1661,Product_Dim!A:A,Product_Dim!C:C,"Not Found")</f>
        <v>Electronics</v>
      </c>
      <c r="R1661" s="8" t="str">
        <f t="array" ref="R1661">XLOOKUP(E1661,Store_Dim!A:A,Store_Dim!B:B,"Not Found")</f>
        <v>East</v>
      </c>
      <c r="S1661" s="8" t="str">
        <f t="array" ref="S1661">XLOOKUP(E1661,Store_Dim!A:A,Store_Dim!D:D,"Not Found")</f>
        <v>Flagship</v>
      </c>
    </row>
    <row r="1662" ht="14.25" customHeight="1">
      <c r="A1662" s="8" t="s">
        <v>3615</v>
      </c>
      <c r="B1662" s="12">
        <v>47140.0</v>
      </c>
      <c r="C1662" s="8" t="s">
        <v>1044</v>
      </c>
      <c r="D1662" s="8" t="s">
        <v>1606</v>
      </c>
      <c r="E1662" s="8" t="s">
        <v>1935</v>
      </c>
      <c r="F1662" s="8">
        <v>2.0</v>
      </c>
      <c r="G1662" s="8">
        <v>848.87</v>
      </c>
      <c r="H1662" s="8">
        <v>0.09</v>
      </c>
      <c r="I1662" s="8">
        <f t="shared" si="1"/>
        <v>1697.74</v>
      </c>
      <c r="J1662" s="8">
        <f t="shared" si="2"/>
        <v>-152.7066</v>
      </c>
      <c r="K1662" s="8" t="str">
        <f t="shared" si="3"/>
        <v>Jan</v>
      </c>
      <c r="L1662" s="8">
        <f t="shared" si="4"/>
        <v>2029</v>
      </c>
      <c r="N1662" s="8" t="str">
        <f t="array" ref="N1662">XLOOKUP(C1662,Customer_Dim!A:A,Customer_Dim!B:B,"Not Found")</f>
        <v>Reginald Willis</v>
      </c>
      <c r="O1662" s="8" t="str">
        <f t="array" ref="O1662">XLOOKUP(C1662,Customer_Dim!A:A,Customer_Dim!E:E,"Not Found")</f>
        <v>Kellybury</v>
      </c>
      <c r="P1662" s="8" t="str">
        <f t="array" ref="P1662">XLOOKUP(D1662,Product_Dim!A:A,Product_Dim!B:B,"Not Found")</f>
        <v>Ceramic Kitchen Bowl Set</v>
      </c>
      <c r="Q1662" s="8" t="str">
        <f t="array" ref="Q1662">XLOOKUP(D1662,Product_Dim!A:A,Product_Dim!C:C,"Not Found")</f>
        <v>Home</v>
      </c>
      <c r="R1662" s="8" t="str">
        <f t="array" ref="R1662">XLOOKUP(E1662,Store_Dim!A:A,Store_Dim!B:B,"Not Found")</f>
        <v>West</v>
      </c>
      <c r="S1662" s="8" t="str">
        <f t="array" ref="S1662">XLOOKUP(E1662,Store_Dim!A:A,Store_Dim!D:D,"Not Found")</f>
        <v>Flagship</v>
      </c>
    </row>
    <row r="1663" ht="14.25" customHeight="1">
      <c r="A1663" s="8" t="s">
        <v>3616</v>
      </c>
      <c r="B1663" s="12">
        <v>47141.0</v>
      </c>
      <c r="C1663" s="8" t="s">
        <v>1188</v>
      </c>
      <c r="D1663" s="8" t="s">
        <v>1878</v>
      </c>
      <c r="E1663" s="8" t="s">
        <v>1926</v>
      </c>
      <c r="F1663" s="8">
        <v>3.0</v>
      </c>
      <c r="G1663" s="8">
        <v>582.32</v>
      </c>
      <c r="H1663" s="8">
        <v>0.0</v>
      </c>
      <c r="I1663" s="8">
        <f t="shared" si="1"/>
        <v>1746.96</v>
      </c>
      <c r="J1663" s="8">
        <f t="shared" si="2"/>
        <v>0</v>
      </c>
      <c r="K1663" s="8" t="str">
        <f t="shared" si="3"/>
        <v>Jan</v>
      </c>
      <c r="L1663" s="8">
        <f t="shared" si="4"/>
        <v>2029</v>
      </c>
      <c r="N1663" s="8" t="str">
        <f t="array" ref="N1663">XLOOKUP(C1663,Customer_Dim!A:A,Customer_Dim!B:B,"Not Found")</f>
        <v>Joshua Bell</v>
      </c>
      <c r="O1663" s="8" t="str">
        <f t="array" ref="O1663">XLOOKUP(C1663,Customer_Dim!A:A,Customer_Dim!E:E,"Not Found")</f>
        <v>Port Richardshire</v>
      </c>
      <c r="P1663" s="8" t="str">
        <f t="array" ref="P1663">XLOOKUP(D1663,Product_Dim!A:A,Product_Dim!B:B,"Not Found")</f>
        <v>Women's Formal Blazer</v>
      </c>
      <c r="Q1663" s="8" t="str">
        <f t="array" ref="Q1663">XLOOKUP(D1663,Product_Dim!A:A,Product_Dim!C:C,"Not Found")</f>
        <v>Clothing</v>
      </c>
      <c r="R1663" s="8" t="str">
        <f t="array" ref="R1663">XLOOKUP(E1663,Store_Dim!A:A,Store_Dim!B:B,"Not Found")</f>
        <v>East</v>
      </c>
      <c r="S1663" s="8" t="str">
        <f t="array" ref="S1663">XLOOKUP(E1663,Store_Dim!A:A,Store_Dim!D:D,"Not Found")</f>
        <v>Online</v>
      </c>
    </row>
    <row r="1664" ht="14.25" customHeight="1">
      <c r="A1664" s="8" t="s">
        <v>3617</v>
      </c>
      <c r="B1664" s="12">
        <v>47142.0</v>
      </c>
      <c r="C1664" s="8" t="s">
        <v>580</v>
      </c>
      <c r="D1664" s="8" t="s">
        <v>1735</v>
      </c>
      <c r="E1664" s="8" t="s">
        <v>1937</v>
      </c>
      <c r="F1664" s="8">
        <v>2.0</v>
      </c>
      <c r="G1664" s="8">
        <v>869.43</v>
      </c>
      <c r="H1664" s="8">
        <v>0.24</v>
      </c>
      <c r="I1664" s="8">
        <f t="shared" si="1"/>
        <v>1738.86</v>
      </c>
      <c r="J1664" s="8">
        <f t="shared" si="2"/>
        <v>-417.0864</v>
      </c>
      <c r="K1664" s="8" t="str">
        <f t="shared" si="3"/>
        <v>Jan</v>
      </c>
      <c r="L1664" s="8">
        <f t="shared" si="4"/>
        <v>2029</v>
      </c>
      <c r="N1664" s="8" t="str">
        <f t="array" ref="N1664">XLOOKUP(C1664,Customer_Dim!A:A,Customer_Dim!B:B,"Not Found")</f>
        <v>Amy Wilson</v>
      </c>
      <c r="O1664" s="8" t="str">
        <f t="array" ref="O1664">XLOOKUP(C1664,Customer_Dim!A:A,Customer_Dim!E:E,"Not Found")</f>
        <v>Morrisburgh</v>
      </c>
      <c r="P1664" s="8" t="str">
        <f t="array" ref="P1664">XLOOKUP(D1664,Product_Dim!A:A,Product_Dim!B:B,"Not Found")</f>
        <v>Men's Roll-On Perfume</v>
      </c>
      <c r="Q1664" s="8" t="str">
        <f t="array" ref="Q1664">XLOOKUP(D1664,Product_Dim!A:A,Product_Dim!C:C,"Not Found")</f>
        <v>Beauty</v>
      </c>
      <c r="R1664" s="8" t="str">
        <f t="array" ref="R1664">XLOOKUP(E1664,Store_Dim!A:A,Store_Dim!B:B,"Not Found")</f>
        <v>North</v>
      </c>
      <c r="S1664" s="8" t="str">
        <f t="array" ref="S1664">XLOOKUP(E1664,Store_Dim!A:A,Store_Dim!D:D,"Not Found")</f>
        <v>Flagship</v>
      </c>
    </row>
    <row r="1665" ht="14.25" customHeight="1">
      <c r="A1665" s="8" t="s">
        <v>3618</v>
      </c>
      <c r="B1665" s="12">
        <v>47143.0</v>
      </c>
      <c r="C1665" s="8" t="s">
        <v>102</v>
      </c>
      <c r="D1665" s="8" t="s">
        <v>1751</v>
      </c>
      <c r="E1665" s="8" t="s">
        <v>1912</v>
      </c>
      <c r="F1665" s="8">
        <v>1.0</v>
      </c>
      <c r="G1665" s="8">
        <v>62.26</v>
      </c>
      <c r="H1665" s="8">
        <v>0.03</v>
      </c>
      <c r="I1665" s="8">
        <f t="shared" si="1"/>
        <v>62.26</v>
      </c>
      <c r="J1665" s="8">
        <f t="shared" si="2"/>
        <v>-1.8378</v>
      </c>
      <c r="K1665" s="8" t="str">
        <f t="shared" si="3"/>
        <v>Jan</v>
      </c>
      <c r="L1665" s="8">
        <f t="shared" si="4"/>
        <v>2029</v>
      </c>
      <c r="N1665" s="8" t="str">
        <f t="array" ref="N1665">XLOOKUP(C1665,Customer_Dim!A:A,Customer_Dim!B:B,"Not Found")</f>
        <v>Jeff Martinez</v>
      </c>
      <c r="O1665" s="8" t="str">
        <f t="array" ref="O1665">XLOOKUP(C1665,Customer_Dim!A:A,Customer_Dim!E:E,"Not Found")</f>
        <v>Smithburgh</v>
      </c>
      <c r="P1665" s="8" t="str">
        <f t="array" ref="P1665">XLOOKUP(D1665,Product_Dim!A:A,Product_Dim!B:B,"Not Found")</f>
        <v>Sports Stopwatch Pro</v>
      </c>
      <c r="Q1665" s="8" t="str">
        <f t="array" ref="Q1665">XLOOKUP(D1665,Product_Dim!A:A,Product_Dim!C:C,"Not Found")</f>
        <v>Sports</v>
      </c>
      <c r="R1665" s="8" t="str">
        <f t="array" ref="R1665">XLOOKUP(E1665,Store_Dim!A:A,Store_Dim!B:B,"Not Found")</f>
        <v>South</v>
      </c>
      <c r="S1665" s="8" t="str">
        <f t="array" ref="S1665">XLOOKUP(E1665,Store_Dim!A:A,Store_Dim!D:D,"Not Found")</f>
        <v>Online</v>
      </c>
    </row>
    <row r="1666" ht="14.25" customHeight="1">
      <c r="A1666" s="8" t="s">
        <v>3619</v>
      </c>
      <c r="B1666" s="12">
        <v>47144.0</v>
      </c>
      <c r="C1666" s="8" t="s">
        <v>523</v>
      </c>
      <c r="D1666" s="8" t="s">
        <v>1703</v>
      </c>
      <c r="E1666" s="8" t="s">
        <v>1932</v>
      </c>
      <c r="F1666" s="8">
        <v>3.0</v>
      </c>
      <c r="G1666" s="8">
        <v>343.97</v>
      </c>
      <c r="H1666" s="8">
        <v>0.04</v>
      </c>
      <c r="I1666" s="8">
        <f t="shared" si="1"/>
        <v>1031.91</v>
      </c>
      <c r="J1666" s="8">
        <f t="shared" si="2"/>
        <v>-41.2364</v>
      </c>
      <c r="K1666" s="8" t="str">
        <f t="shared" si="3"/>
        <v>Jan</v>
      </c>
      <c r="L1666" s="8">
        <f t="shared" si="4"/>
        <v>2029</v>
      </c>
      <c r="N1666" s="8" t="str">
        <f t="array" ref="N1666">XLOOKUP(C1666,Customer_Dim!A:A,Customer_Dim!B:B,"Not Found")</f>
        <v>Patrick Roberts</v>
      </c>
      <c r="O1666" s="8" t="str">
        <f t="array" ref="O1666">XLOOKUP(C1666,Customer_Dim!A:A,Customer_Dim!E:E,"Not Found")</f>
        <v>Jaredville</v>
      </c>
      <c r="P1666" s="8" t="str">
        <f t="array" ref="P1666">XLOOKUP(D1666,Product_Dim!A:A,Product_Dim!B:B,"Not Found")</f>
        <v>Portable Power Bank</v>
      </c>
      <c r="Q1666" s="8" t="str">
        <f t="array" ref="Q1666">XLOOKUP(D1666,Product_Dim!A:A,Product_Dim!C:C,"Not Found")</f>
        <v>Electronics</v>
      </c>
      <c r="R1666" s="8" t="str">
        <f t="array" ref="R1666">XLOOKUP(E1666,Store_Dim!A:A,Store_Dim!B:B,"Not Found")</f>
        <v>South</v>
      </c>
      <c r="S1666" s="8" t="str">
        <f t="array" ref="S1666">XLOOKUP(E1666,Store_Dim!A:A,Store_Dim!D:D,"Not Found")</f>
        <v>Outlet</v>
      </c>
    </row>
    <row r="1667" ht="14.25" customHeight="1">
      <c r="A1667" s="8" t="s">
        <v>3620</v>
      </c>
      <c r="B1667" s="12">
        <v>47145.0</v>
      </c>
      <c r="C1667" s="8" t="s">
        <v>972</v>
      </c>
      <c r="D1667" s="8" t="s">
        <v>1655</v>
      </c>
      <c r="E1667" s="8" t="s">
        <v>1929</v>
      </c>
      <c r="F1667" s="8">
        <v>3.0</v>
      </c>
      <c r="G1667" s="8">
        <v>304.67</v>
      </c>
      <c r="H1667" s="8">
        <v>0.11</v>
      </c>
      <c r="I1667" s="8">
        <f t="shared" si="1"/>
        <v>914.01</v>
      </c>
      <c r="J1667" s="8">
        <f t="shared" si="2"/>
        <v>-100.4311</v>
      </c>
      <c r="K1667" s="8" t="str">
        <f t="shared" si="3"/>
        <v>Jan</v>
      </c>
      <c r="L1667" s="8">
        <f t="shared" si="4"/>
        <v>2029</v>
      </c>
      <c r="N1667" s="8" t="str">
        <f t="array" ref="N1667">XLOOKUP(C1667,Customer_Dim!A:A,Customer_Dim!B:B,"Not Found")</f>
        <v>John Sloan</v>
      </c>
      <c r="O1667" s="8" t="str">
        <f t="array" ref="O1667">XLOOKUP(C1667,Customer_Dim!A:A,Customer_Dim!E:E,"Not Found")</f>
        <v>East Johntown</v>
      </c>
      <c r="P1667" s="8" t="str">
        <f t="array" ref="P1667">XLOOKUP(D1667,Product_Dim!A:A,Product_Dim!B:B,"Not Found")</f>
        <v>Foldable Camping Chair</v>
      </c>
      <c r="Q1667" s="8" t="str">
        <f t="array" ref="Q1667">XLOOKUP(D1667,Product_Dim!A:A,Product_Dim!C:C,"Not Found")</f>
        <v>Sports</v>
      </c>
      <c r="R1667" s="8" t="str">
        <f t="array" ref="R1667">XLOOKUP(E1667,Store_Dim!A:A,Store_Dim!B:B,"Not Found")</f>
        <v>North</v>
      </c>
      <c r="S1667" s="8" t="str">
        <f t="array" ref="S1667">XLOOKUP(E1667,Store_Dim!A:A,Store_Dim!D:D,"Not Found")</f>
        <v>Online</v>
      </c>
    </row>
    <row r="1668" ht="14.25" customHeight="1">
      <c r="A1668" s="8" t="s">
        <v>3621</v>
      </c>
      <c r="B1668" s="12">
        <v>47146.0</v>
      </c>
      <c r="C1668" s="8" t="s">
        <v>1158</v>
      </c>
      <c r="D1668" s="8" t="s">
        <v>1665</v>
      </c>
      <c r="E1668" s="8" t="s">
        <v>1924</v>
      </c>
      <c r="F1668" s="8">
        <v>4.0</v>
      </c>
      <c r="G1668" s="8">
        <v>208.34</v>
      </c>
      <c r="H1668" s="8">
        <v>0.01</v>
      </c>
      <c r="I1668" s="8">
        <f t="shared" si="1"/>
        <v>833.36</v>
      </c>
      <c r="J1668" s="8">
        <f t="shared" si="2"/>
        <v>-8.3236</v>
      </c>
      <c r="K1668" s="8" t="str">
        <f t="shared" si="3"/>
        <v>Jan</v>
      </c>
      <c r="L1668" s="8">
        <f t="shared" si="4"/>
        <v>2029</v>
      </c>
      <c r="N1668" s="8" t="str">
        <f t="array" ref="N1668">XLOOKUP(C1668,Customer_Dim!A:A,Customer_Dim!B:B,"Not Found")</f>
        <v>Brandon Mcbride</v>
      </c>
      <c r="O1668" s="8" t="str">
        <f t="array" ref="O1668">XLOOKUP(C1668,Customer_Dim!A:A,Customer_Dim!E:E,"Not Found")</f>
        <v>Kellyside</v>
      </c>
      <c r="P1668" s="8" t="str">
        <f t="array" ref="P1668">XLOOKUP(D1668,Product_Dim!A:A,Product_Dim!B:B,"Not Found")</f>
        <v>Decorative Floor Vase</v>
      </c>
      <c r="Q1668" s="8" t="str">
        <f t="array" ref="Q1668">XLOOKUP(D1668,Product_Dim!A:A,Product_Dim!C:C,"Not Found")</f>
        <v>Home</v>
      </c>
      <c r="R1668" s="8" t="str">
        <f t="array" ref="R1668">XLOOKUP(E1668,Store_Dim!A:A,Store_Dim!B:B,"Not Found")</f>
        <v>South</v>
      </c>
      <c r="S1668" s="8" t="str">
        <f t="array" ref="S1668">XLOOKUP(E1668,Store_Dim!A:A,Store_Dim!D:D,"Not Found")</f>
        <v>Flagship</v>
      </c>
    </row>
    <row r="1669" ht="14.25" customHeight="1">
      <c r="A1669" s="8" t="s">
        <v>3622</v>
      </c>
      <c r="B1669" s="12">
        <v>47147.0</v>
      </c>
      <c r="C1669" s="8" t="s">
        <v>999</v>
      </c>
      <c r="D1669" s="8" t="s">
        <v>1848</v>
      </c>
      <c r="E1669" s="8" t="s">
        <v>1903</v>
      </c>
      <c r="F1669" s="8">
        <v>1.0</v>
      </c>
      <c r="G1669" s="8">
        <v>119.04</v>
      </c>
      <c r="H1669" s="8">
        <v>0.13</v>
      </c>
      <c r="I1669" s="8">
        <f t="shared" si="1"/>
        <v>119.04</v>
      </c>
      <c r="J1669" s="8">
        <f t="shared" si="2"/>
        <v>-15.3452</v>
      </c>
      <c r="K1669" s="8" t="str">
        <f t="shared" si="3"/>
        <v>Jan</v>
      </c>
      <c r="L1669" s="8">
        <f t="shared" si="4"/>
        <v>2029</v>
      </c>
      <c r="N1669" s="8" t="str">
        <f t="array" ref="N1669">XLOOKUP(C1669,Customer_Dim!A:A,Customer_Dim!B:B,"Not Found")</f>
        <v>Jason Mullins</v>
      </c>
      <c r="O1669" s="8" t="str">
        <f t="array" ref="O1669">XLOOKUP(C1669,Customer_Dim!A:A,Customer_Dim!E:E,"Not Found")</f>
        <v>Brianchester</v>
      </c>
      <c r="P1669" s="8" t="str">
        <f t="array" ref="P1669">XLOOKUP(D1669,Product_Dim!A:A,Product_Dim!B:B,"Not Found")</f>
        <v>Kitchen Cutting Board</v>
      </c>
      <c r="Q1669" s="8" t="str">
        <f t="array" ref="Q1669">XLOOKUP(D1669,Product_Dim!A:A,Product_Dim!C:C,"Not Found")</f>
        <v>Home</v>
      </c>
      <c r="R1669" s="8" t="str">
        <f t="array" ref="R1669">XLOOKUP(E1669,Store_Dim!A:A,Store_Dim!B:B,"Not Found")</f>
        <v>North</v>
      </c>
      <c r="S1669" s="8" t="str">
        <f t="array" ref="S1669">XLOOKUP(E1669,Store_Dim!A:A,Store_Dim!D:D,"Not Found")</f>
        <v>Flagship</v>
      </c>
    </row>
    <row r="1670" ht="14.25" customHeight="1">
      <c r="A1670" s="8" t="s">
        <v>3623</v>
      </c>
      <c r="B1670" s="12">
        <v>47148.0</v>
      </c>
      <c r="C1670" s="8" t="s">
        <v>1026</v>
      </c>
      <c r="D1670" s="8" t="s">
        <v>1719</v>
      </c>
      <c r="E1670" s="8" t="s">
        <v>1924</v>
      </c>
      <c r="F1670" s="8">
        <v>4.0</v>
      </c>
      <c r="G1670" s="8">
        <v>791.65</v>
      </c>
      <c r="H1670" s="8">
        <v>0.06</v>
      </c>
      <c r="I1670" s="8">
        <f t="shared" si="1"/>
        <v>3166.6</v>
      </c>
      <c r="J1670" s="8">
        <f t="shared" si="2"/>
        <v>-189.936</v>
      </c>
      <c r="K1670" s="8" t="str">
        <f t="shared" si="3"/>
        <v>Jan</v>
      </c>
      <c r="L1670" s="8">
        <f t="shared" si="4"/>
        <v>2029</v>
      </c>
      <c r="N1670" s="8" t="str">
        <f t="array" ref="N1670">XLOOKUP(C1670,Customer_Dim!A:A,Customer_Dim!B:B,"Not Found")</f>
        <v>Darren Burton</v>
      </c>
      <c r="O1670" s="8" t="str">
        <f t="array" ref="O1670">XLOOKUP(C1670,Customer_Dim!A:A,Customer_Dim!E:E,"Not Found")</f>
        <v>Lake Alice</v>
      </c>
      <c r="P1670" s="8" t="str">
        <f t="array" ref="P1670">XLOOKUP(D1670,Product_Dim!A:A,Product_Dim!B:B,"Not Found")</f>
        <v>Adjustable Jump Rope</v>
      </c>
      <c r="Q1670" s="8" t="str">
        <f t="array" ref="Q1670">XLOOKUP(D1670,Product_Dim!A:A,Product_Dim!C:C,"Not Found")</f>
        <v>Sports</v>
      </c>
      <c r="R1670" s="8" t="str">
        <f t="array" ref="R1670">XLOOKUP(E1670,Store_Dim!A:A,Store_Dim!B:B,"Not Found")</f>
        <v>South</v>
      </c>
      <c r="S1670" s="8" t="str">
        <f t="array" ref="S1670">XLOOKUP(E1670,Store_Dim!A:A,Store_Dim!D:D,"Not Found")</f>
        <v>Flagship</v>
      </c>
    </row>
    <row r="1671" ht="14.25" customHeight="1">
      <c r="A1671" s="8" t="s">
        <v>3624</v>
      </c>
      <c r="B1671" s="12">
        <v>47149.0</v>
      </c>
      <c r="C1671" s="8" t="s">
        <v>208</v>
      </c>
      <c r="D1671" s="8" t="s">
        <v>1620</v>
      </c>
      <c r="E1671" s="8" t="s">
        <v>1906</v>
      </c>
      <c r="F1671" s="8">
        <v>2.0</v>
      </c>
      <c r="G1671" s="8">
        <v>414.86</v>
      </c>
      <c r="H1671" s="8">
        <v>0.23</v>
      </c>
      <c r="I1671" s="8">
        <f t="shared" si="1"/>
        <v>829.72</v>
      </c>
      <c r="J1671" s="8">
        <f t="shared" si="2"/>
        <v>-190.6056</v>
      </c>
      <c r="K1671" s="8" t="str">
        <f t="shared" si="3"/>
        <v>Jan</v>
      </c>
      <c r="L1671" s="8">
        <f t="shared" si="4"/>
        <v>2029</v>
      </c>
      <c r="N1671" s="8" t="str">
        <f t="array" ref="N1671">XLOOKUP(C1671,Customer_Dim!A:A,Customer_Dim!B:B,"Not Found")</f>
        <v>Debra Liu</v>
      </c>
      <c r="O1671" s="8" t="str">
        <f t="array" ref="O1671">XLOOKUP(C1671,Customer_Dim!A:A,Customer_Dim!E:E,"Not Found")</f>
        <v>South Timtown</v>
      </c>
      <c r="P1671" s="8" t="str">
        <f t="array" ref="P1671">XLOOKUP(D1671,Product_Dim!A:A,Product_Dim!B:B,"Not Found")</f>
        <v>Decorative Wall Mirror</v>
      </c>
      <c r="Q1671" s="8" t="str">
        <f t="array" ref="Q1671">XLOOKUP(D1671,Product_Dim!A:A,Product_Dim!C:C,"Not Found")</f>
        <v>Home</v>
      </c>
      <c r="R1671" s="8" t="str">
        <f t="array" ref="R1671">XLOOKUP(E1671,Store_Dim!A:A,Store_Dim!B:B,"Not Found")</f>
        <v>South</v>
      </c>
      <c r="S1671" s="8" t="str">
        <f t="array" ref="S1671">XLOOKUP(E1671,Store_Dim!A:A,Store_Dim!D:D,"Not Found")</f>
        <v>Outlet</v>
      </c>
    </row>
    <row r="1672" ht="14.25" customHeight="1">
      <c r="A1672" s="8" t="s">
        <v>3625</v>
      </c>
      <c r="B1672" s="12">
        <v>47150.0</v>
      </c>
      <c r="C1672" s="8" t="s">
        <v>1488</v>
      </c>
      <c r="D1672" s="8" t="s">
        <v>1700</v>
      </c>
      <c r="E1672" s="8" t="s">
        <v>1929</v>
      </c>
      <c r="F1672" s="8">
        <v>2.0</v>
      </c>
      <c r="G1672" s="8">
        <v>960.81</v>
      </c>
      <c r="H1672" s="8">
        <v>0.28</v>
      </c>
      <c r="I1672" s="8">
        <f t="shared" si="1"/>
        <v>1921.62</v>
      </c>
      <c r="J1672" s="8">
        <f t="shared" si="2"/>
        <v>-537.7736</v>
      </c>
      <c r="K1672" s="8" t="str">
        <f t="shared" si="3"/>
        <v>Feb</v>
      </c>
      <c r="L1672" s="8">
        <f t="shared" si="4"/>
        <v>2029</v>
      </c>
      <c r="N1672" s="8" t="str">
        <f t="array" ref="N1672">XLOOKUP(C1672,Customer_Dim!A:A,Customer_Dim!B:B,"Not Found")</f>
        <v>Earl Smith DDS</v>
      </c>
      <c r="O1672" s="8" t="str">
        <f t="array" ref="O1672">XLOOKUP(C1672,Customer_Dim!A:A,Customer_Dim!E:E,"Not Found")</f>
        <v>West Sarah</v>
      </c>
      <c r="P1672" s="8" t="str">
        <f t="array" ref="P1672">XLOOKUP(D1672,Product_Dim!A:A,Product_Dim!B:B,"Not Found")</f>
        <v>Sports Water Hydration Pack</v>
      </c>
      <c r="Q1672" s="8" t="str">
        <f t="array" ref="Q1672">XLOOKUP(D1672,Product_Dim!A:A,Product_Dim!C:C,"Not Found")</f>
        <v>Sports</v>
      </c>
      <c r="R1672" s="8" t="str">
        <f t="array" ref="R1672">XLOOKUP(E1672,Store_Dim!A:A,Store_Dim!B:B,"Not Found")</f>
        <v>North</v>
      </c>
      <c r="S1672" s="8" t="str">
        <f t="array" ref="S1672">XLOOKUP(E1672,Store_Dim!A:A,Store_Dim!D:D,"Not Found")</f>
        <v>Online</v>
      </c>
    </row>
    <row r="1673" ht="14.25" customHeight="1">
      <c r="A1673" s="8" t="s">
        <v>3626</v>
      </c>
      <c r="B1673" s="12">
        <v>47151.0</v>
      </c>
      <c r="C1673" s="8" t="s">
        <v>702</v>
      </c>
      <c r="D1673" s="8" t="s">
        <v>1739</v>
      </c>
      <c r="E1673" s="8" t="s">
        <v>1912</v>
      </c>
      <c r="F1673" s="8">
        <v>4.0</v>
      </c>
      <c r="G1673" s="8">
        <v>943.36</v>
      </c>
      <c r="H1673" s="8">
        <v>0.18</v>
      </c>
      <c r="I1673" s="8">
        <f t="shared" si="1"/>
        <v>3773.44</v>
      </c>
      <c r="J1673" s="8">
        <f t="shared" si="2"/>
        <v>-679.0392</v>
      </c>
      <c r="K1673" s="8" t="str">
        <f t="shared" si="3"/>
        <v>Feb</v>
      </c>
      <c r="L1673" s="8">
        <f t="shared" si="4"/>
        <v>2029</v>
      </c>
      <c r="N1673" s="8" t="str">
        <f t="array" ref="N1673">XLOOKUP(C1673,Customer_Dim!A:A,Customer_Dim!B:B,"Not Found")</f>
        <v>Blake Harrison</v>
      </c>
      <c r="O1673" s="8" t="str">
        <f t="array" ref="O1673">XLOOKUP(C1673,Customer_Dim!A:A,Customer_Dim!E:E,"Not Found")</f>
        <v>Lyonsfort</v>
      </c>
      <c r="P1673" s="8" t="str">
        <f t="array" ref="P1673">XLOOKUP(D1673,Product_Dim!A:A,Product_Dim!B:B,"Not Found")</f>
        <v>Boxing Hand Wraps</v>
      </c>
      <c r="Q1673" s="8" t="str">
        <f t="array" ref="Q1673">XLOOKUP(D1673,Product_Dim!A:A,Product_Dim!C:C,"Not Found")</f>
        <v>Sports</v>
      </c>
      <c r="R1673" s="8" t="str">
        <f t="array" ref="R1673">XLOOKUP(E1673,Store_Dim!A:A,Store_Dim!B:B,"Not Found")</f>
        <v>South</v>
      </c>
      <c r="S1673" s="8" t="str">
        <f t="array" ref="S1673">XLOOKUP(E1673,Store_Dim!A:A,Store_Dim!D:D,"Not Found")</f>
        <v>Online</v>
      </c>
    </row>
    <row r="1674" ht="14.25" customHeight="1">
      <c r="A1674" s="8" t="s">
        <v>3627</v>
      </c>
      <c r="B1674" s="12">
        <v>47152.0</v>
      </c>
      <c r="C1674" s="8" t="s">
        <v>705</v>
      </c>
      <c r="D1674" s="8" t="s">
        <v>2052</v>
      </c>
      <c r="E1674" s="8" t="s">
        <v>1931</v>
      </c>
      <c r="F1674" s="8">
        <v>1.0</v>
      </c>
      <c r="G1674" s="8">
        <v>830.42</v>
      </c>
      <c r="H1674" s="8">
        <v>0.26</v>
      </c>
      <c r="I1674" s="8">
        <f t="shared" si="1"/>
        <v>830.42</v>
      </c>
      <c r="J1674" s="8">
        <f t="shared" si="2"/>
        <v>-215.6492</v>
      </c>
      <c r="K1674" s="8" t="str">
        <f t="shared" si="3"/>
        <v>Feb</v>
      </c>
      <c r="L1674" s="8">
        <f t="shared" si="4"/>
        <v>2029</v>
      </c>
      <c r="N1674" s="8" t="str">
        <f t="array" ref="N1674">XLOOKUP(C1674,Customer_Dim!A:A,Customer_Dim!B:B,"Not Found")</f>
        <v>Stuart Johnson</v>
      </c>
      <c r="O1674" s="8" t="str">
        <f t="array" ref="O1674">XLOOKUP(C1674,Customer_Dim!A:A,Customer_Dim!E:E,"Not Found")</f>
        <v>West Markport</v>
      </c>
      <c r="P1674" s="8" t="str">
        <f t="array" ref="P1674">XLOOKUP(D1674,Product_Dim!A:A,Product_Dim!B:B,"Not Found")</f>
        <v>Not Found</v>
      </c>
      <c r="Q1674" s="8" t="str">
        <f t="array" ref="Q1674">XLOOKUP(D1674,Product_Dim!A:A,Product_Dim!C:C,"Not Found")</f>
        <v>Not Found</v>
      </c>
      <c r="R1674" s="8" t="str">
        <f t="array" ref="R1674">XLOOKUP(E1674,Store_Dim!A:A,Store_Dim!B:B,"Not Found")</f>
        <v>East</v>
      </c>
      <c r="S1674" s="8" t="str">
        <f t="array" ref="S1674">XLOOKUP(E1674,Store_Dim!A:A,Store_Dim!D:D,"Not Found")</f>
        <v>Flagship</v>
      </c>
    </row>
    <row r="1675" ht="14.25" customHeight="1">
      <c r="A1675" s="8" t="s">
        <v>3628</v>
      </c>
      <c r="B1675" s="12">
        <v>47153.0</v>
      </c>
      <c r="C1675" s="8" t="s">
        <v>1122</v>
      </c>
      <c r="D1675" s="8" t="s">
        <v>1790</v>
      </c>
      <c r="E1675" s="8" t="s">
        <v>1937</v>
      </c>
      <c r="F1675" s="8">
        <v>1.0</v>
      </c>
      <c r="G1675" s="8">
        <v>762.55</v>
      </c>
      <c r="H1675" s="8">
        <v>0.19</v>
      </c>
      <c r="I1675" s="8">
        <f t="shared" si="1"/>
        <v>762.55</v>
      </c>
      <c r="J1675" s="8">
        <f t="shared" si="2"/>
        <v>-144.6945</v>
      </c>
      <c r="K1675" s="8" t="str">
        <f t="shared" si="3"/>
        <v>Feb</v>
      </c>
      <c r="L1675" s="8">
        <f t="shared" si="4"/>
        <v>2029</v>
      </c>
      <c r="N1675" s="8" t="str">
        <f t="array" ref="N1675">XLOOKUP(C1675,Customer_Dim!A:A,Customer_Dim!B:B,"Not Found")</f>
        <v>   laura green</v>
      </c>
      <c r="O1675" s="8" t="str">
        <f t="array" ref="O1675">XLOOKUP(C1675,Customer_Dim!A:A,Customer_Dim!E:E,"Not Found")</f>
        <v>Westbury</v>
      </c>
      <c r="P1675" s="8" t="str">
        <f t="array" ref="P1675">XLOOKUP(D1675,Product_Dim!A:A,Product_Dim!B:B,"Not Found")</f>
        <v>Smart LED Light Strip</v>
      </c>
      <c r="Q1675" s="8" t="str">
        <f t="array" ref="Q1675">XLOOKUP(D1675,Product_Dim!A:A,Product_Dim!C:C,"Not Found")</f>
        <v>Electronics</v>
      </c>
      <c r="R1675" s="8" t="str">
        <f t="array" ref="R1675">XLOOKUP(E1675,Store_Dim!A:A,Store_Dim!B:B,"Not Found")</f>
        <v>North</v>
      </c>
      <c r="S1675" s="8" t="str">
        <f t="array" ref="S1675">XLOOKUP(E1675,Store_Dim!A:A,Store_Dim!D:D,"Not Found")</f>
        <v>Flagship</v>
      </c>
    </row>
    <row r="1676" ht="14.25" customHeight="1">
      <c r="A1676" s="8" t="s">
        <v>3629</v>
      </c>
      <c r="B1676" s="12">
        <v>47154.0</v>
      </c>
      <c r="C1676" s="8" t="s">
        <v>1092</v>
      </c>
      <c r="D1676" s="8" t="s">
        <v>1812</v>
      </c>
      <c r="E1676" s="8" t="s">
        <v>1939</v>
      </c>
      <c r="F1676" s="8">
        <v>2.0</v>
      </c>
      <c r="G1676" s="8">
        <v>464.43</v>
      </c>
      <c r="H1676" s="8">
        <v>0.24</v>
      </c>
      <c r="I1676" s="8">
        <f t="shared" si="1"/>
        <v>928.86</v>
      </c>
      <c r="J1676" s="8">
        <f t="shared" si="2"/>
        <v>-222.6864</v>
      </c>
      <c r="K1676" s="8" t="str">
        <f t="shared" si="3"/>
        <v>Feb</v>
      </c>
      <c r="L1676" s="8">
        <f t="shared" si="4"/>
        <v>2029</v>
      </c>
      <c r="N1676" s="8" t="str">
        <f t="array" ref="N1676">XLOOKUP(C1676,Customer_Dim!A:A,Customer_Dim!B:B,"Not Found")</f>
        <v>Ryan Moore</v>
      </c>
      <c r="O1676" s="8" t="str">
        <f t="array" ref="O1676">XLOOKUP(C1676,Customer_Dim!A:A,Customer_Dim!E:E,"Not Found")</f>
        <v>Cartershire</v>
      </c>
      <c r="P1676" s="8" t="str">
        <f t="array" ref="P1676">XLOOKUP(D1676,Product_Dim!A:A,Product_Dim!B:B,"Not Found")</f>
        <v>Bluetooth Car Audio System</v>
      </c>
      <c r="Q1676" s="8" t="str">
        <f t="array" ref="Q1676">XLOOKUP(D1676,Product_Dim!A:A,Product_Dim!C:C,"Not Found")</f>
        <v>Electronics</v>
      </c>
      <c r="R1676" s="8" t="str">
        <f t="array" ref="R1676">XLOOKUP(E1676,Store_Dim!A:A,Store_Dim!B:B,"Not Found")</f>
        <v>East</v>
      </c>
      <c r="S1676" s="8" t="str">
        <f t="array" ref="S1676">XLOOKUP(E1676,Store_Dim!A:A,Store_Dim!D:D,"Not Found")</f>
        <v>Flagship</v>
      </c>
    </row>
    <row r="1677" ht="14.25" customHeight="1">
      <c r="A1677" s="8" t="s">
        <v>3630</v>
      </c>
      <c r="B1677" s="12">
        <v>47155.0</v>
      </c>
      <c r="C1677" s="8" t="s">
        <v>84</v>
      </c>
      <c r="D1677" s="8" t="s">
        <v>1781</v>
      </c>
      <c r="E1677" s="8" t="s">
        <v>1939</v>
      </c>
      <c r="F1677" s="8">
        <v>1.0</v>
      </c>
      <c r="G1677" s="8">
        <v>711.08</v>
      </c>
      <c r="H1677" s="8">
        <v>0.24</v>
      </c>
      <c r="I1677" s="8">
        <f t="shared" si="1"/>
        <v>711.08</v>
      </c>
      <c r="J1677" s="8">
        <f t="shared" si="2"/>
        <v>-170.4192</v>
      </c>
      <c r="K1677" s="8" t="str">
        <f t="shared" si="3"/>
        <v>Feb</v>
      </c>
      <c r="L1677" s="8">
        <f t="shared" si="4"/>
        <v>2029</v>
      </c>
      <c r="N1677" s="8" t="str">
        <f t="array" ref="N1677">XLOOKUP(C1677,Customer_Dim!A:A,Customer_Dim!B:B,"Not Found")</f>
        <v>John Scott</v>
      </c>
      <c r="O1677" s="8" t="str">
        <f t="array" ref="O1677">XLOOKUP(C1677,Customer_Dim!A:A,Customer_Dim!E:E,"Not Found")</f>
        <v>South Christopher</v>
      </c>
      <c r="P1677" s="8" t="str">
        <f t="array" ref="P1677">XLOOKUP(D1677,Product_Dim!A:A,Product_Dim!B:B,"Not Found")</f>
        <v>Matte Lipstick Set</v>
      </c>
      <c r="Q1677" s="8" t="str">
        <f t="array" ref="Q1677">XLOOKUP(D1677,Product_Dim!A:A,Product_Dim!C:C,"Not Found")</f>
        <v>Beauty</v>
      </c>
      <c r="R1677" s="8" t="str">
        <f t="array" ref="R1677">XLOOKUP(E1677,Store_Dim!A:A,Store_Dim!B:B,"Not Found")</f>
        <v>East</v>
      </c>
      <c r="S1677" s="8" t="str">
        <f t="array" ref="S1677">XLOOKUP(E1677,Store_Dim!A:A,Store_Dim!D:D,"Not Found")</f>
        <v>Flagship</v>
      </c>
    </row>
    <row r="1678" ht="14.25" customHeight="1">
      <c r="A1678" s="8" t="s">
        <v>3631</v>
      </c>
      <c r="B1678" s="12">
        <v>47156.0</v>
      </c>
      <c r="C1678" s="8" t="s">
        <v>818</v>
      </c>
      <c r="D1678" s="8" t="s">
        <v>1722</v>
      </c>
      <c r="E1678" s="8" t="s">
        <v>1932</v>
      </c>
      <c r="F1678" s="8">
        <v>2.0</v>
      </c>
      <c r="G1678" s="8">
        <v>984.96</v>
      </c>
      <c r="H1678" s="8">
        <v>0.16</v>
      </c>
      <c r="I1678" s="8">
        <f t="shared" si="1"/>
        <v>1969.92</v>
      </c>
      <c r="J1678" s="8">
        <f t="shared" si="2"/>
        <v>-315.0272</v>
      </c>
      <c r="K1678" s="8" t="str">
        <f t="shared" si="3"/>
        <v>Feb</v>
      </c>
      <c r="L1678" s="8">
        <f t="shared" si="4"/>
        <v>2029</v>
      </c>
      <c r="N1678" s="8" t="str">
        <f t="array" ref="N1678">XLOOKUP(C1678,Customer_Dim!A:A,Customer_Dim!B:B,"Not Found")</f>
        <v>Tyler Garner</v>
      </c>
      <c r="O1678" s="8" t="str">
        <f t="array" ref="O1678">XLOOKUP(C1678,Customer_Dim!A:A,Customer_Dim!E:E,"Not Found")</f>
        <v>Port Coreyfort</v>
      </c>
      <c r="P1678" s="8" t="str">
        <f t="array" ref="P1678">XLOOKUP(D1678,Product_Dim!A:A,Product_Dim!B:B,"Not Found")</f>
        <v>High-Grip Football</v>
      </c>
      <c r="Q1678" s="8" t="str">
        <f t="array" ref="Q1678">XLOOKUP(D1678,Product_Dim!A:A,Product_Dim!C:C,"Not Found")</f>
        <v>Sports</v>
      </c>
      <c r="R1678" s="8" t="str">
        <f t="array" ref="R1678">XLOOKUP(E1678,Store_Dim!A:A,Store_Dim!B:B,"Not Found")</f>
        <v>South</v>
      </c>
      <c r="S1678" s="8" t="str">
        <f t="array" ref="S1678">XLOOKUP(E1678,Store_Dim!A:A,Store_Dim!D:D,"Not Found")</f>
        <v>Outlet</v>
      </c>
    </row>
    <row r="1679" ht="14.25" customHeight="1">
      <c r="A1679" s="8" t="s">
        <v>3632</v>
      </c>
      <c r="B1679" s="12">
        <v>47157.0</v>
      </c>
      <c r="C1679" s="8" t="s">
        <v>1092</v>
      </c>
      <c r="D1679" s="8" t="s">
        <v>1700</v>
      </c>
      <c r="E1679" s="8" t="s">
        <v>1929</v>
      </c>
      <c r="F1679" s="8">
        <v>1.0</v>
      </c>
      <c r="G1679" s="8">
        <v>21.14</v>
      </c>
      <c r="H1679" s="8">
        <v>0.06</v>
      </c>
      <c r="I1679" s="8">
        <f t="shared" si="1"/>
        <v>21.14</v>
      </c>
      <c r="J1679" s="8">
        <f t="shared" si="2"/>
        <v>-1.2084</v>
      </c>
      <c r="K1679" s="8" t="str">
        <f t="shared" si="3"/>
        <v>Feb</v>
      </c>
      <c r="L1679" s="8">
        <f t="shared" si="4"/>
        <v>2029</v>
      </c>
      <c r="N1679" s="8" t="str">
        <f t="array" ref="N1679">XLOOKUP(C1679,Customer_Dim!A:A,Customer_Dim!B:B,"Not Found")</f>
        <v>Ryan Moore</v>
      </c>
      <c r="O1679" s="8" t="str">
        <f t="array" ref="O1679">XLOOKUP(C1679,Customer_Dim!A:A,Customer_Dim!E:E,"Not Found")</f>
        <v>Cartershire</v>
      </c>
      <c r="P1679" s="8" t="str">
        <f t="array" ref="P1679">XLOOKUP(D1679,Product_Dim!A:A,Product_Dim!B:B,"Not Found")</f>
        <v>Sports Water Hydration Pack</v>
      </c>
      <c r="Q1679" s="8" t="str">
        <f t="array" ref="Q1679">XLOOKUP(D1679,Product_Dim!A:A,Product_Dim!C:C,"Not Found")</f>
        <v>Sports</v>
      </c>
      <c r="R1679" s="8" t="str">
        <f t="array" ref="R1679">XLOOKUP(E1679,Store_Dim!A:A,Store_Dim!B:B,"Not Found")</f>
        <v>North</v>
      </c>
      <c r="S1679" s="8" t="str">
        <f t="array" ref="S1679">XLOOKUP(E1679,Store_Dim!A:A,Store_Dim!D:D,"Not Found")</f>
        <v>Online</v>
      </c>
    </row>
    <row r="1680" ht="14.25" customHeight="1">
      <c r="A1680" s="8" t="s">
        <v>3633</v>
      </c>
      <c r="B1680" s="12">
        <v>47158.0</v>
      </c>
      <c r="C1680" s="8" t="s">
        <v>385</v>
      </c>
      <c r="D1680" s="8" t="s">
        <v>1884</v>
      </c>
      <c r="E1680" s="8" t="s">
        <v>1921</v>
      </c>
      <c r="F1680" s="8">
        <v>1.0</v>
      </c>
      <c r="G1680" s="8">
        <v>343.03</v>
      </c>
      <c r="H1680" s="8">
        <v>0.16</v>
      </c>
      <c r="I1680" s="8">
        <f t="shared" si="1"/>
        <v>343.03</v>
      </c>
      <c r="J1680" s="8">
        <f t="shared" si="2"/>
        <v>-54.7248</v>
      </c>
      <c r="K1680" s="8" t="str">
        <f t="shared" si="3"/>
        <v>Feb</v>
      </c>
      <c r="L1680" s="8">
        <f t="shared" si="4"/>
        <v>2029</v>
      </c>
      <c r="N1680" s="8" t="str">
        <f t="array" ref="N1680">XLOOKUP(C1680,Customer_Dim!A:A,Customer_Dim!B:B,"Not Found")</f>
        <v>Howard Summers</v>
      </c>
      <c r="O1680" s="8" t="str">
        <f t="array" ref="O1680">XLOOKUP(C1680,Customer_Dim!A:A,Customer_Dim!E:E,"Not Found")</f>
        <v>East Linda</v>
      </c>
      <c r="P1680" s="8" t="str">
        <f t="array" ref="P1680">XLOOKUP(D1680,Product_Dim!A:A,Product_Dim!B:B,"Not Found")</f>
        <v>Portable Bluetooth Speaker</v>
      </c>
      <c r="Q1680" s="8" t="str">
        <f t="array" ref="Q1680">XLOOKUP(D1680,Product_Dim!A:A,Product_Dim!C:C,"Not Found")</f>
        <v>Electronics</v>
      </c>
      <c r="R1680" s="8" t="str">
        <f t="array" ref="R1680">XLOOKUP(E1680,Store_Dim!A:A,Store_Dim!B:B,"Not Found")</f>
        <v>West</v>
      </c>
      <c r="S1680" s="8" t="str">
        <f t="array" ref="S1680">XLOOKUP(E1680,Store_Dim!A:A,Store_Dim!D:D,"Not Found")</f>
        <v>Online</v>
      </c>
    </row>
    <row r="1681" ht="14.25" customHeight="1">
      <c r="A1681" s="8" t="s">
        <v>3634</v>
      </c>
      <c r="B1681" s="12">
        <v>47159.0</v>
      </c>
      <c r="C1681" s="8" t="s">
        <v>806</v>
      </c>
      <c r="D1681" s="8" t="s">
        <v>1642</v>
      </c>
      <c r="E1681" s="8" t="s">
        <v>1939</v>
      </c>
      <c r="F1681" s="8">
        <v>3.0</v>
      </c>
      <c r="G1681" s="8">
        <v>94.83</v>
      </c>
      <c r="H1681" s="8">
        <v>0.16</v>
      </c>
      <c r="I1681" s="8">
        <f t="shared" si="1"/>
        <v>284.49</v>
      </c>
      <c r="J1681" s="8">
        <f t="shared" si="2"/>
        <v>-45.3584</v>
      </c>
      <c r="K1681" s="8" t="str">
        <f t="shared" si="3"/>
        <v>Feb</v>
      </c>
      <c r="L1681" s="8">
        <f t="shared" si="4"/>
        <v>2029</v>
      </c>
      <c r="N1681" s="8" t="str">
        <f t="array" ref="N1681">XLOOKUP(C1681,Customer_Dim!A:A,Customer_Dim!B:B,"Not Found")</f>
        <v>Douglas Rhodes</v>
      </c>
      <c r="O1681" s="8" t="str">
        <f t="array" ref="O1681">XLOOKUP(C1681,Customer_Dim!A:A,Customer_Dim!E:E,"Not Found")</f>
        <v>Mikehaven</v>
      </c>
      <c r="P1681" s="8" t="str">
        <f t="array" ref="P1681">XLOOKUP(D1681,Product_Dim!A:A,Product_Dim!B:B,"Not Found")</f>
        <v>Outdoor Sports Water Bottle</v>
      </c>
      <c r="Q1681" s="8" t="str">
        <f t="array" ref="Q1681">XLOOKUP(D1681,Product_Dim!A:A,Product_Dim!C:C,"Not Found")</f>
        <v>Sports</v>
      </c>
      <c r="R1681" s="8" t="str">
        <f t="array" ref="R1681">XLOOKUP(E1681,Store_Dim!A:A,Store_Dim!B:B,"Not Found")</f>
        <v>East</v>
      </c>
      <c r="S1681" s="8" t="str">
        <f t="array" ref="S1681">XLOOKUP(E1681,Store_Dim!A:A,Store_Dim!D:D,"Not Found")</f>
        <v>Flagship</v>
      </c>
    </row>
    <row r="1682" ht="14.25" customHeight="1">
      <c r="A1682" s="8" t="s">
        <v>3635</v>
      </c>
      <c r="B1682" s="12">
        <v>47160.0</v>
      </c>
      <c r="C1682" s="8" t="s">
        <v>91</v>
      </c>
      <c r="D1682" s="8" t="s">
        <v>1797</v>
      </c>
      <c r="E1682" s="8" t="s">
        <v>1941</v>
      </c>
      <c r="F1682" s="8">
        <v>3.0</v>
      </c>
      <c r="G1682" s="8">
        <v>74.66</v>
      </c>
      <c r="H1682" s="8">
        <v>0.03</v>
      </c>
      <c r="I1682" s="8">
        <f t="shared" si="1"/>
        <v>223.98</v>
      </c>
      <c r="J1682" s="8">
        <f t="shared" si="2"/>
        <v>-6.6894</v>
      </c>
      <c r="K1682" s="8" t="str">
        <f t="shared" si="3"/>
        <v>Feb</v>
      </c>
      <c r="L1682" s="8">
        <f t="shared" si="4"/>
        <v>2029</v>
      </c>
      <c r="N1682" s="8" t="str">
        <f t="array" ref="N1682">XLOOKUP(C1682,Customer_Dim!A:A,Customer_Dim!B:B,"Not Found")</f>
        <v>Rhonda Moss</v>
      </c>
      <c r="O1682" s="8" t="str">
        <f t="array" ref="O1682">XLOOKUP(C1682,Customer_Dim!A:A,Customer_Dim!E:E,"Not Found")</f>
        <v>South William</v>
      </c>
      <c r="P1682" s="8" t="str">
        <f t="array" ref="P1682">XLOOKUP(D1682,Product_Dim!A:A,Product_Dim!B:B,"Not Found")</f>
        <v>Men's Sports Shorts</v>
      </c>
      <c r="Q1682" s="8" t="str">
        <f t="array" ref="Q1682">XLOOKUP(D1682,Product_Dim!A:A,Product_Dim!C:C,"Not Found")</f>
        <v>Clothing</v>
      </c>
      <c r="R1682" s="8" t="str">
        <f t="array" ref="R1682">XLOOKUP(E1682,Store_Dim!A:A,Store_Dim!B:B,"Not Found")</f>
        <v>East</v>
      </c>
      <c r="S1682" s="8" t="str">
        <f t="array" ref="S1682">XLOOKUP(E1682,Store_Dim!A:A,Store_Dim!D:D,"Not Found")</f>
        <v>Online</v>
      </c>
    </row>
    <row r="1683" ht="14.25" customHeight="1">
      <c r="A1683" s="8" t="s">
        <v>3636</v>
      </c>
      <c r="B1683" s="12">
        <v>47161.0</v>
      </c>
      <c r="C1683" s="8" t="s">
        <v>476</v>
      </c>
      <c r="D1683" s="8" t="s">
        <v>1696</v>
      </c>
      <c r="E1683" s="8" t="s">
        <v>1933</v>
      </c>
      <c r="F1683" s="8">
        <v>3.0</v>
      </c>
      <c r="G1683" s="8">
        <v>281.96</v>
      </c>
      <c r="H1683" s="8">
        <v>0.01</v>
      </c>
      <c r="I1683" s="8">
        <f t="shared" si="1"/>
        <v>845.88</v>
      </c>
      <c r="J1683" s="8">
        <f t="shared" si="2"/>
        <v>-8.4488</v>
      </c>
      <c r="K1683" s="8" t="str">
        <f t="shared" si="3"/>
        <v>Feb</v>
      </c>
      <c r="L1683" s="8">
        <f t="shared" si="4"/>
        <v>2029</v>
      </c>
      <c r="N1683" s="8" t="str">
        <f t="array" ref="N1683">XLOOKUP(C1683,Customer_Dim!A:A,Customer_Dim!B:B,"Not Found")</f>
        <v>Patrick Coleman</v>
      </c>
      <c r="O1683" s="8" t="str">
        <f t="array" ref="O1683">XLOOKUP(C1683,Customer_Dim!A:A,Customer_Dim!E:E,"Not Found")</f>
        <v>New Jeffrey</v>
      </c>
      <c r="P1683" s="8" t="str">
        <f t="array" ref="P1683">XLOOKUP(D1683,Product_Dim!A:A,Product_Dim!B:B,"Not Found")</f>
        <v>Men's Casual Sneakers</v>
      </c>
      <c r="Q1683" s="8" t="str">
        <f t="array" ref="Q1683">XLOOKUP(D1683,Product_Dim!A:A,Product_Dim!C:C,"Not Found")</f>
        <v>Clothing</v>
      </c>
      <c r="R1683" s="8" t="str">
        <f t="array" ref="R1683">XLOOKUP(E1683,Store_Dim!A:A,Store_Dim!B:B,"Not Found")</f>
        <v>North</v>
      </c>
      <c r="S1683" s="8" t="str">
        <f t="array" ref="S1683">XLOOKUP(E1683,Store_Dim!A:A,Store_Dim!D:D,"Not Found")</f>
        <v>Flagship</v>
      </c>
    </row>
    <row r="1684" ht="14.25" customHeight="1">
      <c r="A1684" s="8" t="s">
        <v>3637</v>
      </c>
      <c r="B1684" s="12">
        <v>47162.0</v>
      </c>
      <c r="C1684" s="8" t="s">
        <v>773</v>
      </c>
      <c r="D1684" s="8" t="s">
        <v>1803</v>
      </c>
      <c r="E1684" s="8" t="s">
        <v>1939</v>
      </c>
      <c r="F1684" s="8">
        <v>4.0</v>
      </c>
      <c r="G1684" s="8">
        <v>622.27</v>
      </c>
      <c r="H1684" s="8">
        <v>0.02</v>
      </c>
      <c r="I1684" s="8">
        <f t="shared" si="1"/>
        <v>2489.08</v>
      </c>
      <c r="J1684" s="8">
        <f t="shared" si="2"/>
        <v>-49.7616</v>
      </c>
      <c r="K1684" s="8" t="str">
        <f t="shared" si="3"/>
        <v>Feb</v>
      </c>
      <c r="L1684" s="8">
        <f t="shared" si="4"/>
        <v>2029</v>
      </c>
      <c r="N1684" s="8" t="str">
        <f t="array" ref="N1684">XLOOKUP(C1684,Customer_Dim!A:A,Customer_Dim!B:B,"Not Found")</f>
        <v>Joshua Wilson</v>
      </c>
      <c r="O1684" s="8" t="str">
        <f t="array" ref="O1684">XLOOKUP(C1684,Customer_Dim!A:A,Customer_Dim!E:E,"Not Found")</f>
        <v>North Larryport</v>
      </c>
      <c r="P1684" s="8" t="str">
        <f t="array" ref="P1684">XLOOKUP(D1684,Product_Dim!A:A,Product_Dim!B:B,"Not Found")</f>
        <v>Hair Repair Oil Treatment</v>
      </c>
      <c r="Q1684" s="8" t="str">
        <f t="array" ref="Q1684">XLOOKUP(D1684,Product_Dim!A:A,Product_Dim!C:C,"Not Found")</f>
        <v>Beauty</v>
      </c>
      <c r="R1684" s="8" t="str">
        <f t="array" ref="R1684">XLOOKUP(E1684,Store_Dim!A:A,Store_Dim!B:B,"Not Found")</f>
        <v>East</v>
      </c>
      <c r="S1684" s="8" t="str">
        <f t="array" ref="S1684">XLOOKUP(E1684,Store_Dim!A:A,Store_Dim!D:D,"Not Found")</f>
        <v>Flagship</v>
      </c>
    </row>
    <row r="1685" ht="14.25" customHeight="1">
      <c r="A1685" s="8" t="s">
        <v>3638</v>
      </c>
      <c r="B1685" s="12">
        <v>47163.0</v>
      </c>
      <c r="C1685" s="8" t="s">
        <v>373</v>
      </c>
      <c r="D1685" s="8" t="s">
        <v>1696</v>
      </c>
      <c r="E1685" s="8" t="s">
        <v>1919</v>
      </c>
      <c r="F1685" s="8">
        <v>2.0</v>
      </c>
      <c r="G1685" s="8">
        <v>78.27</v>
      </c>
      <c r="H1685" s="8">
        <v>0.29</v>
      </c>
      <c r="I1685" s="8">
        <f t="shared" si="1"/>
        <v>156.54</v>
      </c>
      <c r="J1685" s="8">
        <f t="shared" si="2"/>
        <v>-45.1066</v>
      </c>
      <c r="K1685" s="8" t="str">
        <f t="shared" si="3"/>
        <v>Feb</v>
      </c>
      <c r="L1685" s="8">
        <f t="shared" si="4"/>
        <v>2029</v>
      </c>
      <c r="N1685" s="8" t="str">
        <f t="array" ref="N1685">XLOOKUP(C1685,Customer_Dim!A:A,Customer_Dim!B:B,"Not Found")</f>
        <v>Sarah Schneider</v>
      </c>
      <c r="O1685" s="8" t="str">
        <f t="array" ref="O1685">XLOOKUP(C1685,Customer_Dim!A:A,Customer_Dim!E:E,"Not Found")</f>
        <v>Port Joshuachester</v>
      </c>
      <c r="P1685" s="8" t="str">
        <f t="array" ref="P1685">XLOOKUP(D1685,Product_Dim!A:A,Product_Dim!B:B,"Not Found")</f>
        <v>Men's Casual Sneakers</v>
      </c>
      <c r="Q1685" s="8" t="str">
        <f t="array" ref="Q1685">XLOOKUP(D1685,Product_Dim!A:A,Product_Dim!C:C,"Not Found")</f>
        <v>Clothing</v>
      </c>
      <c r="R1685" s="8" t="str">
        <f t="array" ref="R1685">XLOOKUP(E1685,Store_Dim!A:A,Store_Dim!B:B,"Not Found")</f>
        <v>South</v>
      </c>
      <c r="S1685" s="8" t="str">
        <f t="array" ref="S1685">XLOOKUP(E1685,Store_Dim!A:A,Store_Dim!D:D,"Not Found")</f>
        <v>Online</v>
      </c>
    </row>
    <row r="1686" ht="14.25" customHeight="1">
      <c r="A1686" s="8" t="s">
        <v>3639</v>
      </c>
      <c r="B1686" s="12">
        <v>47164.0</v>
      </c>
      <c r="C1686" s="8" t="s">
        <v>68</v>
      </c>
      <c r="D1686" s="8" t="s">
        <v>1775</v>
      </c>
      <c r="E1686" s="8" t="s">
        <v>1931</v>
      </c>
      <c r="F1686" s="8">
        <v>4.0</v>
      </c>
      <c r="G1686" s="8">
        <v>676.58</v>
      </c>
      <c r="H1686" s="8">
        <v>0.23</v>
      </c>
      <c r="I1686" s="8">
        <f t="shared" si="1"/>
        <v>2706.32</v>
      </c>
      <c r="J1686" s="8">
        <f t="shared" si="2"/>
        <v>-622.2236</v>
      </c>
      <c r="K1686" s="8" t="str">
        <f t="shared" si="3"/>
        <v>Feb</v>
      </c>
      <c r="L1686" s="8">
        <f t="shared" si="4"/>
        <v>2029</v>
      </c>
      <c r="N1686" s="8" t="str">
        <f t="array" ref="N1686">XLOOKUP(C1686,Customer_Dim!A:A,Customer_Dim!B:B,"Not Found")</f>
        <v>Kenneth Lambert</v>
      </c>
      <c r="O1686" s="8" t="str">
        <f t="array" ref="O1686">XLOOKUP(C1686,Customer_Dim!A:A,Customer_Dim!E:E,"Not Found")</f>
        <v>North Kathryn</v>
      </c>
      <c r="P1686" s="8" t="str">
        <f t="array" ref="P1686">XLOOKUP(D1686,Product_Dim!A:A,Product_Dim!B:B,"Not Found")</f>
        <v>Laptop Cooling Pad</v>
      </c>
      <c r="Q1686" s="8" t="str">
        <f t="array" ref="Q1686">XLOOKUP(D1686,Product_Dim!A:A,Product_Dim!C:C,"Not Found")</f>
        <v>Electronics</v>
      </c>
      <c r="R1686" s="8" t="str">
        <f t="array" ref="R1686">XLOOKUP(E1686,Store_Dim!A:A,Store_Dim!B:B,"Not Found")</f>
        <v>East</v>
      </c>
      <c r="S1686" s="8" t="str">
        <f t="array" ref="S1686">XLOOKUP(E1686,Store_Dim!A:A,Store_Dim!D:D,"Not Found")</f>
        <v>Flagship</v>
      </c>
    </row>
    <row r="1687" ht="14.25" customHeight="1">
      <c r="A1687" s="8" t="s">
        <v>3640</v>
      </c>
      <c r="B1687" s="12">
        <v>47165.0</v>
      </c>
      <c r="C1687" s="8" t="s">
        <v>1511</v>
      </c>
      <c r="D1687" s="8" t="s">
        <v>1677</v>
      </c>
      <c r="E1687" s="8" t="s">
        <v>1903</v>
      </c>
      <c r="F1687" s="8">
        <v>2.0</v>
      </c>
      <c r="G1687" s="8">
        <v>938.6</v>
      </c>
      <c r="H1687" s="8">
        <v>0.04</v>
      </c>
      <c r="I1687" s="8">
        <f t="shared" si="1"/>
        <v>1877.2</v>
      </c>
      <c r="J1687" s="8">
        <f t="shared" si="2"/>
        <v>-75.048</v>
      </c>
      <c r="K1687" s="8" t="str">
        <f t="shared" si="3"/>
        <v>Feb</v>
      </c>
      <c r="L1687" s="8">
        <f t="shared" si="4"/>
        <v>2029</v>
      </c>
      <c r="N1687" s="8" t="str">
        <f t="array" ref="N1687">XLOOKUP(C1687,Customer_Dim!A:A,Customer_Dim!B:B,"Not Found")</f>
        <v>Eric Lee</v>
      </c>
      <c r="O1687" s="8" t="str">
        <f t="array" ref="O1687">XLOOKUP(C1687,Customer_Dim!A:A,Customer_Dim!E:E,"Not Found")</f>
        <v>Lake April</v>
      </c>
      <c r="P1687" s="8" t="str">
        <f t="array" ref="P1687">XLOOKUP(D1687,Product_Dim!A:A,Product_Dim!B:B,"Not Found")</f>
        <v>Basketball</v>
      </c>
      <c r="Q1687" s="8" t="str">
        <f t="array" ref="Q1687">XLOOKUP(D1687,Product_Dim!A:A,Product_Dim!C:C,"Not Found")</f>
        <v>Sports</v>
      </c>
      <c r="R1687" s="8" t="str">
        <f t="array" ref="R1687">XLOOKUP(E1687,Store_Dim!A:A,Store_Dim!B:B,"Not Found")</f>
        <v>North</v>
      </c>
      <c r="S1687" s="8" t="str">
        <f t="array" ref="S1687">XLOOKUP(E1687,Store_Dim!A:A,Store_Dim!D:D,"Not Found")</f>
        <v>Flagship</v>
      </c>
    </row>
    <row r="1688" ht="14.25" customHeight="1">
      <c r="A1688" s="8" t="s">
        <v>3641</v>
      </c>
      <c r="B1688" s="12">
        <v>47166.0</v>
      </c>
      <c r="C1688" s="8" t="s">
        <v>1128</v>
      </c>
      <c r="D1688" s="8" t="s">
        <v>1617</v>
      </c>
      <c r="E1688" s="8" t="s">
        <v>1932</v>
      </c>
      <c r="F1688" s="8">
        <v>2.0</v>
      </c>
      <c r="G1688" s="8">
        <v>859.47</v>
      </c>
      <c r="H1688" s="8">
        <v>0.01</v>
      </c>
      <c r="I1688" s="8">
        <f t="shared" si="1"/>
        <v>1718.94</v>
      </c>
      <c r="J1688" s="8">
        <f t="shared" si="2"/>
        <v>-17.1794</v>
      </c>
      <c r="K1688" s="8" t="str">
        <f t="shared" si="3"/>
        <v>Feb</v>
      </c>
      <c r="L1688" s="8">
        <f t="shared" si="4"/>
        <v>2029</v>
      </c>
      <c r="N1688" s="8" t="str">
        <f t="array" ref="N1688">XLOOKUP(C1688,Customer_Dim!A:A,Customer_Dim!B:B,"Not Found")</f>
        <v>Carlos Flores</v>
      </c>
      <c r="O1688" s="8" t="str">
        <f t="array" ref="O1688">XLOOKUP(C1688,Customer_Dim!A:A,Customer_Dim!E:E,"Not Found")</f>
        <v>North Johnfurt</v>
      </c>
      <c r="P1688" s="8" t="str">
        <f t="array" ref="P1688">XLOOKUP(D1688,Product_Dim!A:A,Product_Dim!B:B,"Not Found")</f>
        <v>USB-C Fast Charger</v>
      </c>
      <c r="Q1688" s="8" t="str">
        <f t="array" ref="Q1688">XLOOKUP(D1688,Product_Dim!A:A,Product_Dim!C:C,"Not Found")</f>
        <v>Electronics</v>
      </c>
      <c r="R1688" s="8" t="str">
        <f t="array" ref="R1688">XLOOKUP(E1688,Store_Dim!A:A,Store_Dim!B:B,"Not Found")</f>
        <v>South</v>
      </c>
      <c r="S1688" s="8" t="str">
        <f t="array" ref="S1688">XLOOKUP(E1688,Store_Dim!A:A,Store_Dim!D:D,"Not Found")</f>
        <v>Outlet</v>
      </c>
    </row>
    <row r="1689" ht="14.25" customHeight="1">
      <c r="A1689" s="8" t="s">
        <v>3642</v>
      </c>
      <c r="B1689" s="12">
        <v>47167.0</v>
      </c>
      <c r="C1689" s="8" t="s">
        <v>224</v>
      </c>
      <c r="D1689" s="8" t="s">
        <v>1665</v>
      </c>
      <c r="E1689" s="8" t="s">
        <v>1932</v>
      </c>
      <c r="F1689" s="8">
        <v>3.0</v>
      </c>
      <c r="G1689" s="8">
        <v>672.98</v>
      </c>
      <c r="H1689" s="8">
        <v>0.23</v>
      </c>
      <c r="I1689" s="8">
        <f t="shared" si="1"/>
        <v>2018.94</v>
      </c>
      <c r="J1689" s="8">
        <f t="shared" si="2"/>
        <v>-464.1262</v>
      </c>
      <c r="K1689" s="8" t="str">
        <f t="shared" si="3"/>
        <v>Feb</v>
      </c>
      <c r="L1689" s="8">
        <f t="shared" si="4"/>
        <v>2029</v>
      </c>
      <c r="N1689" s="8" t="str">
        <f t="array" ref="N1689">XLOOKUP(C1689,Customer_Dim!A:A,Customer_Dim!B:B,"Not Found")</f>
        <v>Jay Patel</v>
      </c>
      <c r="O1689" s="8" t="str">
        <f t="array" ref="O1689">XLOOKUP(C1689,Customer_Dim!A:A,Customer_Dim!E:E,"Not Found")</f>
        <v>Morrisbury</v>
      </c>
      <c r="P1689" s="8" t="str">
        <f t="array" ref="P1689">XLOOKUP(D1689,Product_Dim!A:A,Product_Dim!B:B,"Not Found")</f>
        <v>Decorative Floor Vase</v>
      </c>
      <c r="Q1689" s="8" t="str">
        <f t="array" ref="Q1689">XLOOKUP(D1689,Product_Dim!A:A,Product_Dim!C:C,"Not Found")</f>
        <v>Home</v>
      </c>
      <c r="R1689" s="8" t="str">
        <f t="array" ref="R1689">XLOOKUP(E1689,Store_Dim!A:A,Store_Dim!B:B,"Not Found")</f>
        <v>South</v>
      </c>
      <c r="S1689" s="8" t="str">
        <f t="array" ref="S1689">XLOOKUP(E1689,Store_Dim!A:A,Store_Dim!D:D,"Not Found")</f>
        <v>Outlet</v>
      </c>
    </row>
    <row r="1690" ht="14.25" customHeight="1">
      <c r="A1690" s="8" t="s">
        <v>3643</v>
      </c>
      <c r="B1690" s="12">
        <v>47168.0</v>
      </c>
      <c r="C1690" s="8" t="s">
        <v>684</v>
      </c>
      <c r="D1690" s="8" t="s">
        <v>1757</v>
      </c>
      <c r="E1690" s="8" t="s">
        <v>1939</v>
      </c>
      <c r="F1690" s="8">
        <v>1.0</v>
      </c>
      <c r="G1690" s="8">
        <v>75.8</v>
      </c>
      <c r="H1690" s="8">
        <v>0.29</v>
      </c>
      <c r="I1690" s="8">
        <f t="shared" si="1"/>
        <v>75.8</v>
      </c>
      <c r="J1690" s="8">
        <f t="shared" si="2"/>
        <v>-21.692</v>
      </c>
      <c r="K1690" s="8" t="str">
        <f t="shared" si="3"/>
        <v>Feb</v>
      </c>
      <c r="L1690" s="8">
        <f t="shared" si="4"/>
        <v>2029</v>
      </c>
      <c r="N1690" s="8" t="str">
        <f t="array" ref="N1690">XLOOKUP(C1690,Customer_Dim!A:A,Customer_Dim!B:B,"Not Found")</f>
        <v>Ronald Jones</v>
      </c>
      <c r="O1690" s="8" t="str">
        <f t="array" ref="O1690">XLOOKUP(C1690,Customer_Dim!A:A,Customer_Dim!E:E,"Not Found")</f>
        <v>Brownshire</v>
      </c>
      <c r="P1690" s="8" t="str">
        <f t="array" ref="P1690">XLOOKUP(D1690,Product_Dim!A:A,Product_Dim!B:B,"Not Found")</f>
        <v>Premium Blanket Throw</v>
      </c>
      <c r="Q1690" s="8" t="str">
        <f t="array" ref="Q1690">XLOOKUP(D1690,Product_Dim!A:A,Product_Dim!C:C,"Not Found")</f>
        <v>Home</v>
      </c>
      <c r="R1690" s="8" t="str">
        <f t="array" ref="R1690">XLOOKUP(E1690,Store_Dim!A:A,Store_Dim!B:B,"Not Found")</f>
        <v>East</v>
      </c>
      <c r="S1690" s="8" t="str">
        <f t="array" ref="S1690">XLOOKUP(E1690,Store_Dim!A:A,Store_Dim!D:D,"Not Found")</f>
        <v>Flagship</v>
      </c>
    </row>
    <row r="1691" ht="14.25" customHeight="1">
      <c r="A1691" s="8" t="s">
        <v>3644</v>
      </c>
      <c r="B1691" s="12">
        <v>47169.0</v>
      </c>
      <c r="C1691" s="8" t="s">
        <v>147</v>
      </c>
      <c r="D1691" s="8" t="s">
        <v>1632</v>
      </c>
      <c r="E1691" s="8" t="s">
        <v>1933</v>
      </c>
      <c r="F1691" s="8">
        <v>4.0</v>
      </c>
      <c r="G1691" s="8">
        <v>742.15</v>
      </c>
      <c r="H1691" s="8">
        <v>0.1</v>
      </c>
      <c r="I1691" s="8">
        <f t="shared" si="1"/>
        <v>2968.6</v>
      </c>
      <c r="J1691" s="8">
        <f t="shared" si="2"/>
        <v>-296.76</v>
      </c>
      <c r="K1691" s="8" t="str">
        <f t="shared" si="3"/>
        <v>Feb</v>
      </c>
      <c r="L1691" s="8">
        <f t="shared" si="4"/>
        <v>2029</v>
      </c>
      <c r="N1691" s="8" t="str">
        <f t="array" ref="N1691">XLOOKUP(C1691,Customer_Dim!A:A,Customer_Dim!B:B,"Not Found")</f>
        <v>Christopher Olson</v>
      </c>
      <c r="O1691" s="8" t="str">
        <f t="array" ref="O1691">XLOOKUP(C1691,Customer_Dim!A:A,Customer_Dim!E:E,"Not Found")</f>
        <v>West Richard</v>
      </c>
      <c r="P1691" s="8" t="str">
        <f t="array" ref="P1691">XLOOKUP(D1691,Product_Dim!A:A,Product_Dim!B:B,"Not Found")</f>
        <v>Soccer Training Cone Set</v>
      </c>
      <c r="Q1691" s="8" t="str">
        <f t="array" ref="Q1691">XLOOKUP(D1691,Product_Dim!A:A,Product_Dim!C:C,"Not Found")</f>
        <v>Sports</v>
      </c>
      <c r="R1691" s="8" t="str">
        <f t="array" ref="R1691">XLOOKUP(E1691,Store_Dim!A:A,Store_Dim!B:B,"Not Found")</f>
        <v>North</v>
      </c>
      <c r="S1691" s="8" t="str">
        <f t="array" ref="S1691">XLOOKUP(E1691,Store_Dim!A:A,Store_Dim!D:D,"Not Found")</f>
        <v>Flagship</v>
      </c>
    </row>
    <row r="1692" ht="14.25" customHeight="1">
      <c r="A1692" s="8" t="s">
        <v>3645</v>
      </c>
      <c r="B1692" s="12">
        <v>47170.0</v>
      </c>
      <c r="C1692" s="8" t="s">
        <v>274</v>
      </c>
      <c r="D1692" s="8" t="s">
        <v>1674</v>
      </c>
      <c r="E1692" s="8" t="s">
        <v>1919</v>
      </c>
      <c r="F1692" s="8">
        <v>1.0</v>
      </c>
      <c r="G1692" s="8">
        <v>637.39</v>
      </c>
      <c r="H1692" s="8">
        <v>0.22</v>
      </c>
      <c r="I1692" s="8">
        <f t="shared" si="1"/>
        <v>637.39</v>
      </c>
      <c r="J1692" s="8">
        <f t="shared" si="2"/>
        <v>-140.0058</v>
      </c>
      <c r="K1692" s="8" t="str">
        <f t="shared" si="3"/>
        <v>Feb</v>
      </c>
      <c r="L1692" s="8">
        <f t="shared" si="4"/>
        <v>2029</v>
      </c>
      <c r="N1692" s="8" t="str">
        <f t="array" ref="N1692">XLOOKUP(C1692,Customer_Dim!A:A,Customer_Dim!B:B,"Not Found")</f>
        <v>Tonya Burch</v>
      </c>
      <c r="O1692" s="8" t="str">
        <f t="array" ref="O1692">XLOOKUP(C1692,Customer_Dim!A:A,Customer_Dim!E:E,"Not Found")</f>
        <v>Olsonhaven</v>
      </c>
      <c r="P1692" s="8" t="str">
        <f t="array" ref="P1692">XLOOKUP(D1692,Product_Dim!A:A,Product_Dim!B:B,"Not Found")</f>
        <v>Stainless Steel Cutlery Set</v>
      </c>
      <c r="Q1692" s="8" t="str">
        <f t="array" ref="Q1692">XLOOKUP(D1692,Product_Dim!A:A,Product_Dim!C:C,"Not Found")</f>
        <v>Home</v>
      </c>
      <c r="R1692" s="8" t="str">
        <f t="array" ref="R1692">XLOOKUP(E1692,Store_Dim!A:A,Store_Dim!B:B,"Not Found")</f>
        <v>South</v>
      </c>
      <c r="S1692" s="8" t="str">
        <f t="array" ref="S1692">XLOOKUP(E1692,Store_Dim!A:A,Store_Dim!D:D,"Not Found")</f>
        <v>Online</v>
      </c>
    </row>
    <row r="1693" ht="14.25" customHeight="1">
      <c r="A1693" s="8" t="s">
        <v>3646</v>
      </c>
      <c r="B1693" s="12">
        <v>47171.0</v>
      </c>
      <c r="C1693" s="8" t="s">
        <v>1236</v>
      </c>
      <c r="D1693" s="8" t="s">
        <v>1587</v>
      </c>
      <c r="E1693" s="8" t="s">
        <v>1937</v>
      </c>
      <c r="F1693" s="8">
        <v>1.0</v>
      </c>
      <c r="G1693" s="8">
        <v>631.0</v>
      </c>
      <c r="H1693" s="8">
        <v>0.04</v>
      </c>
      <c r="I1693" s="8">
        <f t="shared" si="1"/>
        <v>631</v>
      </c>
      <c r="J1693" s="8">
        <f t="shared" si="2"/>
        <v>-25.2</v>
      </c>
      <c r="K1693" s="8" t="str">
        <f t="shared" si="3"/>
        <v>Feb</v>
      </c>
      <c r="L1693" s="8">
        <f t="shared" si="4"/>
        <v>2029</v>
      </c>
      <c r="N1693" s="8" t="str">
        <f t="array" ref="N1693">XLOOKUP(C1693,Customer_Dim!A:A,Customer_Dim!B:B,"Not Found")</f>
        <v>Heidi Tyler</v>
      </c>
      <c r="O1693" s="8" t="str">
        <f t="array" ref="O1693">XLOOKUP(C1693,Customer_Dim!A:A,Customer_Dim!E:E,"Not Found")</f>
        <v>Dawnstad</v>
      </c>
      <c r="P1693" s="8" t="str">
        <f t="array" ref="P1693">XLOOKUP(D1693,Product_Dim!A:A,Product_Dim!B:B,"Not Found")</f>
        <v>Herbal Face Moisturizer</v>
      </c>
      <c r="Q1693" s="8" t="str">
        <f t="array" ref="Q1693">XLOOKUP(D1693,Product_Dim!A:A,Product_Dim!C:C,"Not Found")</f>
        <v>Beauty</v>
      </c>
      <c r="R1693" s="8" t="str">
        <f t="array" ref="R1693">XLOOKUP(E1693,Store_Dim!A:A,Store_Dim!B:B,"Not Found")</f>
        <v>North</v>
      </c>
      <c r="S1693" s="8" t="str">
        <f t="array" ref="S1693">XLOOKUP(E1693,Store_Dim!A:A,Store_Dim!D:D,"Not Found")</f>
        <v>Flagship</v>
      </c>
    </row>
    <row r="1694" ht="14.25" customHeight="1">
      <c r="A1694" s="8" t="s">
        <v>3647</v>
      </c>
      <c r="B1694" s="12">
        <v>47172.0</v>
      </c>
      <c r="C1694" s="8" t="s">
        <v>1242</v>
      </c>
      <c r="D1694" s="8" t="s">
        <v>1830</v>
      </c>
      <c r="E1694" s="8" t="s">
        <v>1910</v>
      </c>
      <c r="F1694" s="8">
        <v>4.0</v>
      </c>
      <c r="G1694" s="8">
        <v>983.98</v>
      </c>
      <c r="H1694" s="8">
        <v>0.11</v>
      </c>
      <c r="I1694" s="8">
        <f t="shared" si="1"/>
        <v>3935.92</v>
      </c>
      <c r="J1694" s="8">
        <f t="shared" si="2"/>
        <v>-432.8412</v>
      </c>
      <c r="K1694" s="8" t="str">
        <f t="shared" si="3"/>
        <v>Feb</v>
      </c>
      <c r="L1694" s="8">
        <f t="shared" si="4"/>
        <v>2029</v>
      </c>
      <c r="N1694" s="8" t="str">
        <f t="array" ref="N1694">XLOOKUP(C1694,Customer_Dim!A:A,Customer_Dim!B:B,"Not Found")</f>
        <v>Michael Mcneil</v>
      </c>
      <c r="O1694" s="8" t="str">
        <f t="array" ref="O1694">XLOOKUP(C1694,Customer_Dim!A:A,Customer_Dim!E:E,"Not Found")</f>
        <v>Stewartchester</v>
      </c>
      <c r="P1694" s="8" t="str">
        <f t="array" ref="P1694">XLOOKUP(D1694,Product_Dim!A:A,Product_Dim!B:B,"Not Found")</f>
        <v>Wall-Mounted Spice Rack</v>
      </c>
      <c r="Q1694" s="8" t="str">
        <f t="array" ref="Q1694">XLOOKUP(D1694,Product_Dim!A:A,Product_Dim!C:C,"Not Found")</f>
        <v>Home</v>
      </c>
      <c r="R1694" s="8" t="str">
        <f t="array" ref="R1694">XLOOKUP(E1694,Store_Dim!A:A,Store_Dim!B:B,"Not Found")</f>
        <v>North</v>
      </c>
      <c r="S1694" s="8" t="str">
        <f t="array" ref="S1694">XLOOKUP(E1694,Store_Dim!A:A,Store_Dim!D:D,"Not Found")</f>
        <v>Outlet</v>
      </c>
    </row>
    <row r="1695" ht="14.25" customHeight="1">
      <c r="A1695" s="8" t="s">
        <v>3648</v>
      </c>
      <c r="B1695" s="12">
        <v>47173.0</v>
      </c>
      <c r="C1695" s="8" t="s">
        <v>215</v>
      </c>
      <c r="D1695" s="8" t="s">
        <v>1754</v>
      </c>
      <c r="E1695" s="8" t="s">
        <v>1928</v>
      </c>
      <c r="F1695" s="8">
        <v>4.0</v>
      </c>
      <c r="G1695" s="8">
        <v>73.69</v>
      </c>
      <c r="H1695" s="8">
        <v>0.08</v>
      </c>
      <c r="I1695" s="8">
        <f t="shared" si="1"/>
        <v>294.76</v>
      </c>
      <c r="J1695" s="8">
        <f t="shared" si="2"/>
        <v>-23.5008</v>
      </c>
      <c r="K1695" s="8" t="str">
        <f t="shared" si="3"/>
        <v>Feb</v>
      </c>
      <c r="L1695" s="8">
        <f t="shared" si="4"/>
        <v>2029</v>
      </c>
      <c r="N1695" s="8" t="str">
        <f t="array" ref="N1695">XLOOKUP(C1695,Customer_Dim!A:A,Customer_Dim!B:B,"Not Found")</f>
        <v>Katherine Dorsey</v>
      </c>
      <c r="O1695" s="8" t="str">
        <f t="array" ref="O1695">XLOOKUP(C1695,Customer_Dim!A:A,Customer_Dim!E:E,"Not Found")</f>
        <v>Christopherland</v>
      </c>
      <c r="P1695" s="8" t="str">
        <f t="array" ref="P1695">XLOOKUP(D1695,Product_Dim!A:A,Product_Dim!B:B,"Not Found")</f>
        <v>Ceramic Plant Pot</v>
      </c>
      <c r="Q1695" s="8" t="str">
        <f t="array" ref="Q1695">XLOOKUP(D1695,Product_Dim!A:A,Product_Dim!C:C,"Not Found")</f>
        <v>Home</v>
      </c>
      <c r="R1695" s="8" t="str">
        <f t="array" ref="R1695">XLOOKUP(E1695,Store_Dim!A:A,Store_Dim!B:B,"Not Found")</f>
        <v>South</v>
      </c>
      <c r="S1695" s="8" t="str">
        <f t="array" ref="S1695">XLOOKUP(E1695,Store_Dim!A:A,Store_Dim!D:D,"Not Found")</f>
        <v>Online</v>
      </c>
    </row>
    <row r="1696" ht="14.25" customHeight="1">
      <c r="A1696" s="8" t="s">
        <v>3649</v>
      </c>
      <c r="B1696" s="12">
        <v>47174.0</v>
      </c>
      <c r="C1696" s="8" t="s">
        <v>1359</v>
      </c>
      <c r="D1696" s="8" t="s">
        <v>1610</v>
      </c>
      <c r="E1696" s="8" t="s">
        <v>1919</v>
      </c>
      <c r="F1696" s="8">
        <v>3.0</v>
      </c>
      <c r="G1696" s="8">
        <v>110.99</v>
      </c>
      <c r="H1696" s="8">
        <v>0.21</v>
      </c>
      <c r="I1696" s="8">
        <f t="shared" si="1"/>
        <v>332.97</v>
      </c>
      <c r="J1696" s="8">
        <f t="shared" si="2"/>
        <v>-69.7137</v>
      </c>
      <c r="K1696" s="8" t="str">
        <f t="shared" si="3"/>
        <v>Feb</v>
      </c>
      <c r="L1696" s="8">
        <f t="shared" si="4"/>
        <v>2029</v>
      </c>
      <c r="N1696" s="8" t="str">
        <f t="array" ref="N1696">XLOOKUP(C1696,Customer_Dim!A:A,Customer_Dim!B:B,"Not Found")</f>
        <v>Thomas Moore</v>
      </c>
      <c r="O1696" s="8" t="str">
        <f t="array" ref="O1696">XLOOKUP(C1696,Customer_Dim!A:A,Customer_Dim!E:E,"Not Found")</f>
        <v>Williamsberg</v>
      </c>
      <c r="P1696" s="8" t="str">
        <f t="array" ref="P1696">XLOOKUP(D1696,Product_Dim!A:A,Product_Dim!B:B,"Not Found")</f>
        <v>HD Smart TV Stick</v>
      </c>
      <c r="Q1696" s="8" t="str">
        <f t="array" ref="Q1696">XLOOKUP(D1696,Product_Dim!A:A,Product_Dim!C:C,"Not Found")</f>
        <v>Electronics</v>
      </c>
      <c r="R1696" s="8" t="str">
        <f t="array" ref="R1696">XLOOKUP(E1696,Store_Dim!A:A,Store_Dim!B:B,"Not Found")</f>
        <v>South</v>
      </c>
      <c r="S1696" s="8" t="str">
        <f t="array" ref="S1696">XLOOKUP(E1696,Store_Dim!A:A,Store_Dim!D:D,"Not Found")</f>
        <v>Online</v>
      </c>
    </row>
    <row r="1697" ht="14.25" customHeight="1">
      <c r="A1697" s="8" t="s">
        <v>3650</v>
      </c>
      <c r="B1697" s="12">
        <v>47175.0</v>
      </c>
      <c r="C1697" s="8" t="s">
        <v>311</v>
      </c>
      <c r="D1697" s="8" t="s">
        <v>1606</v>
      </c>
      <c r="E1697" s="8" t="s">
        <v>1919</v>
      </c>
      <c r="F1697" s="8">
        <v>1.0</v>
      </c>
      <c r="G1697" s="8">
        <v>66.86</v>
      </c>
      <c r="H1697" s="8">
        <v>0.22</v>
      </c>
      <c r="I1697" s="8">
        <f t="shared" si="1"/>
        <v>66.86</v>
      </c>
      <c r="J1697" s="8">
        <f t="shared" si="2"/>
        <v>-14.4892</v>
      </c>
      <c r="K1697" s="8" t="str">
        <f t="shared" si="3"/>
        <v>Feb</v>
      </c>
      <c r="L1697" s="8">
        <f t="shared" si="4"/>
        <v>2029</v>
      </c>
      <c r="N1697" s="8" t="str">
        <f t="array" ref="N1697">XLOOKUP(C1697,Customer_Dim!A:A,Customer_Dim!B:B,"Not Found")</f>
        <v>Thomas Robinson</v>
      </c>
      <c r="O1697" s="8" t="str">
        <f t="array" ref="O1697">XLOOKUP(C1697,Customer_Dim!A:A,Customer_Dim!E:E,"Not Found")</f>
        <v>Nicholastown</v>
      </c>
      <c r="P1697" s="8" t="str">
        <f t="array" ref="P1697">XLOOKUP(D1697,Product_Dim!A:A,Product_Dim!B:B,"Not Found")</f>
        <v>Ceramic Kitchen Bowl Set</v>
      </c>
      <c r="Q1697" s="8" t="str">
        <f t="array" ref="Q1697">XLOOKUP(D1697,Product_Dim!A:A,Product_Dim!C:C,"Not Found")</f>
        <v>Home</v>
      </c>
      <c r="R1697" s="8" t="str">
        <f t="array" ref="R1697">XLOOKUP(E1697,Store_Dim!A:A,Store_Dim!B:B,"Not Found")</f>
        <v>South</v>
      </c>
      <c r="S1697" s="8" t="str">
        <f t="array" ref="S1697">XLOOKUP(E1697,Store_Dim!A:A,Store_Dim!D:D,"Not Found")</f>
        <v>Online</v>
      </c>
    </row>
    <row r="1698" ht="14.25" customHeight="1">
      <c r="A1698" s="8" t="s">
        <v>3651</v>
      </c>
      <c r="B1698" s="12">
        <v>47176.0</v>
      </c>
      <c r="C1698" s="8" t="s">
        <v>1311</v>
      </c>
      <c r="D1698" s="8" t="s">
        <v>1790</v>
      </c>
      <c r="E1698" s="8" t="s">
        <v>1939</v>
      </c>
      <c r="F1698" s="8">
        <v>1.0</v>
      </c>
      <c r="G1698" s="8">
        <v>980.26</v>
      </c>
      <c r="H1698" s="8">
        <v>0.14</v>
      </c>
      <c r="I1698" s="8">
        <f t="shared" si="1"/>
        <v>980.26</v>
      </c>
      <c r="J1698" s="8">
        <f t="shared" si="2"/>
        <v>-137.0964</v>
      </c>
      <c r="K1698" s="8" t="str">
        <f t="shared" si="3"/>
        <v>Feb</v>
      </c>
      <c r="L1698" s="8">
        <f t="shared" si="4"/>
        <v>2029</v>
      </c>
      <c r="N1698" s="8" t="str">
        <f t="array" ref="N1698">XLOOKUP(C1698,Customer_Dim!A:A,Customer_Dim!B:B,"Not Found")</f>
        <v>Karen King</v>
      </c>
      <c r="O1698" s="8" t="str">
        <f t="array" ref="O1698">XLOOKUP(C1698,Customer_Dim!A:A,Customer_Dim!E:E,"Not Found")</f>
        <v>Kimburgh</v>
      </c>
      <c r="P1698" s="8" t="str">
        <f t="array" ref="P1698">XLOOKUP(D1698,Product_Dim!A:A,Product_Dim!B:B,"Not Found")</f>
        <v>Smart LED Light Strip</v>
      </c>
      <c r="Q1698" s="8" t="str">
        <f t="array" ref="Q1698">XLOOKUP(D1698,Product_Dim!A:A,Product_Dim!C:C,"Not Found")</f>
        <v>Electronics</v>
      </c>
      <c r="R1698" s="8" t="str">
        <f t="array" ref="R1698">XLOOKUP(E1698,Store_Dim!A:A,Store_Dim!B:B,"Not Found")</f>
        <v>East</v>
      </c>
      <c r="S1698" s="8" t="str">
        <f t="array" ref="S1698">XLOOKUP(E1698,Store_Dim!A:A,Store_Dim!D:D,"Not Found")</f>
        <v>Flagship</v>
      </c>
    </row>
    <row r="1699" ht="14.25" customHeight="1">
      <c r="A1699" s="8" t="s">
        <v>3652</v>
      </c>
      <c r="B1699" s="12">
        <v>47177.0</v>
      </c>
      <c r="C1699" s="8" t="s">
        <v>157</v>
      </c>
      <c r="D1699" s="8" t="s">
        <v>1635</v>
      </c>
      <c r="E1699" s="8" t="s">
        <v>1939</v>
      </c>
      <c r="F1699" s="8">
        <v>1.0</v>
      </c>
      <c r="G1699" s="8">
        <v>235.28</v>
      </c>
      <c r="H1699" s="8">
        <v>0.05</v>
      </c>
      <c r="I1699" s="8">
        <f t="shared" si="1"/>
        <v>235.28</v>
      </c>
      <c r="J1699" s="8">
        <f t="shared" si="2"/>
        <v>-11.714</v>
      </c>
      <c r="K1699" s="8" t="str">
        <f t="shared" si="3"/>
        <v>Feb</v>
      </c>
      <c r="L1699" s="8">
        <f t="shared" si="4"/>
        <v>2029</v>
      </c>
      <c r="N1699" s="8" t="str">
        <f t="array" ref="N1699">XLOOKUP(C1699,Customer_Dim!A:A,Customer_Dim!B:B,"Not Found")</f>
        <v>Christopher Carter</v>
      </c>
      <c r="O1699" s="8" t="str">
        <f t="array" ref="O1699">XLOOKUP(C1699,Customer_Dim!A:A,Customer_Dim!E:E,"Not Found")</f>
        <v>Brendastad</v>
      </c>
      <c r="P1699" s="8" t="str">
        <f t="array" ref="P1699">XLOOKUP(D1699,Product_Dim!A:A,Product_Dim!B:B,"Not Found")</f>
        <v>Women's Denim Jeans</v>
      </c>
      <c r="Q1699" s="8" t="str">
        <f t="array" ref="Q1699">XLOOKUP(D1699,Product_Dim!A:A,Product_Dim!C:C,"Not Found")</f>
        <v>Clothing</v>
      </c>
      <c r="R1699" s="8" t="str">
        <f t="array" ref="R1699">XLOOKUP(E1699,Store_Dim!A:A,Store_Dim!B:B,"Not Found")</f>
        <v>East</v>
      </c>
      <c r="S1699" s="8" t="str">
        <f t="array" ref="S1699">XLOOKUP(E1699,Store_Dim!A:A,Store_Dim!D:D,"Not Found")</f>
        <v>Flagship</v>
      </c>
    </row>
    <row r="1700" ht="14.25" customHeight="1">
      <c r="A1700" s="8" t="s">
        <v>3653</v>
      </c>
      <c r="B1700" s="12">
        <v>47178.0</v>
      </c>
      <c r="C1700" s="8" t="s">
        <v>1308</v>
      </c>
      <c r="D1700" s="8" t="s">
        <v>1562</v>
      </c>
      <c r="E1700" s="8" t="s">
        <v>1933</v>
      </c>
      <c r="F1700" s="8">
        <v>3.0</v>
      </c>
      <c r="G1700" s="8">
        <v>407.39</v>
      </c>
      <c r="H1700" s="8">
        <v>0.08</v>
      </c>
      <c r="I1700" s="8">
        <f t="shared" si="1"/>
        <v>1222.17</v>
      </c>
      <c r="J1700" s="8">
        <f t="shared" si="2"/>
        <v>-97.6936</v>
      </c>
      <c r="K1700" s="8" t="str">
        <f t="shared" si="3"/>
        <v>Mar</v>
      </c>
      <c r="L1700" s="8">
        <f t="shared" si="4"/>
        <v>2029</v>
      </c>
      <c r="N1700" s="8" t="str">
        <f t="array" ref="N1700">XLOOKUP(C1700,Customer_Dim!A:A,Customer_Dim!B:B,"Not Found")</f>
        <v>Jennifer Myers</v>
      </c>
      <c r="O1700" s="8" t="str">
        <f t="array" ref="O1700">XLOOKUP(C1700,Customer_Dim!A:A,Customer_Dim!E:E,"Not Found")</f>
        <v>Marthaborough</v>
      </c>
      <c r="P1700" s="8" t="str">
        <f t="array" ref="P1700">XLOOKUP(D1700,Product_Dim!A:A,Product_Dim!B:B,"Not Found")</f>
        <v>Brother Laser Printer</v>
      </c>
      <c r="Q1700" s="8" t="str">
        <f t="array" ref="Q1700">XLOOKUP(D1700,Product_Dim!A:A,Product_Dim!C:C,"Not Found")</f>
        <v>Electronics</v>
      </c>
      <c r="R1700" s="8" t="str">
        <f t="array" ref="R1700">XLOOKUP(E1700,Store_Dim!A:A,Store_Dim!B:B,"Not Found")</f>
        <v>North</v>
      </c>
      <c r="S1700" s="8" t="str">
        <f t="array" ref="S1700">XLOOKUP(E1700,Store_Dim!A:A,Store_Dim!D:D,"Not Found")</f>
        <v>Flagship</v>
      </c>
    </row>
    <row r="1701" ht="14.25" customHeight="1">
      <c r="A1701" s="8" t="s">
        <v>3654</v>
      </c>
      <c r="B1701" s="12">
        <v>47179.0</v>
      </c>
      <c r="C1701" s="8" t="s">
        <v>261</v>
      </c>
      <c r="D1701" s="8" t="s">
        <v>1665</v>
      </c>
      <c r="E1701" s="8" t="s">
        <v>1932</v>
      </c>
      <c r="F1701" s="8">
        <v>4.0</v>
      </c>
      <c r="G1701" s="8">
        <v>459.83</v>
      </c>
      <c r="H1701" s="8">
        <v>0.12</v>
      </c>
      <c r="I1701" s="8">
        <f t="shared" si="1"/>
        <v>1839.32</v>
      </c>
      <c r="J1701" s="8">
        <f t="shared" si="2"/>
        <v>-220.5984</v>
      </c>
      <c r="K1701" s="8" t="str">
        <f t="shared" si="3"/>
        <v>Mar</v>
      </c>
      <c r="L1701" s="8">
        <f t="shared" si="4"/>
        <v>2029</v>
      </c>
      <c r="N1701" s="8" t="str">
        <f t="array" ref="N1701">XLOOKUP(C1701,Customer_Dim!A:A,Customer_Dim!B:B,"Not Found")</f>
        <v>Mr. Mark Beasley</v>
      </c>
      <c r="O1701" s="8" t="str">
        <f t="array" ref="O1701">XLOOKUP(C1701,Customer_Dim!A:A,Customer_Dim!E:E,"Not Found")</f>
        <v>West Johnchester</v>
      </c>
      <c r="P1701" s="8" t="str">
        <f t="array" ref="P1701">XLOOKUP(D1701,Product_Dim!A:A,Product_Dim!B:B,"Not Found")</f>
        <v>Decorative Floor Vase</v>
      </c>
      <c r="Q1701" s="8" t="str">
        <f t="array" ref="Q1701">XLOOKUP(D1701,Product_Dim!A:A,Product_Dim!C:C,"Not Found")</f>
        <v>Home</v>
      </c>
      <c r="R1701" s="8" t="str">
        <f t="array" ref="R1701">XLOOKUP(E1701,Store_Dim!A:A,Store_Dim!B:B,"Not Found")</f>
        <v>South</v>
      </c>
      <c r="S1701" s="8" t="str">
        <f t="array" ref="S1701">XLOOKUP(E1701,Store_Dim!A:A,Store_Dim!D:D,"Not Found")</f>
        <v>Outlet</v>
      </c>
    </row>
    <row r="1702" ht="14.25" customHeight="1">
      <c r="A1702" s="8" t="s">
        <v>3655</v>
      </c>
      <c r="B1702" s="12">
        <v>47180.0</v>
      </c>
      <c r="C1702" s="8" t="s">
        <v>508</v>
      </c>
      <c r="D1702" s="8" t="s">
        <v>1869</v>
      </c>
      <c r="E1702" s="8" t="s">
        <v>1912</v>
      </c>
      <c r="F1702" s="8">
        <v>3.0</v>
      </c>
      <c r="G1702" s="8">
        <v>706.6</v>
      </c>
      <c r="H1702" s="8">
        <v>0.17</v>
      </c>
      <c r="I1702" s="8">
        <f t="shared" si="1"/>
        <v>2119.8</v>
      </c>
      <c r="J1702" s="8">
        <f t="shared" si="2"/>
        <v>-360.196</v>
      </c>
      <c r="K1702" s="8" t="str">
        <f t="shared" si="3"/>
        <v>Mar</v>
      </c>
      <c r="L1702" s="8">
        <f t="shared" si="4"/>
        <v>2029</v>
      </c>
      <c r="N1702" s="8" t="str">
        <f t="array" ref="N1702">XLOOKUP(C1702,Customer_Dim!A:A,Customer_Dim!B:B,"Not Found")</f>
        <v>Rhonda Young</v>
      </c>
      <c r="O1702" s="8" t="str">
        <f t="array" ref="O1702">XLOOKUP(C1702,Customer_Dim!A:A,Customer_Dim!E:E,"Not Found")</f>
        <v>Lake Nathanfort</v>
      </c>
      <c r="P1702" s="8" t="str">
        <f t="array" ref="P1702">XLOOKUP(D1702,Product_Dim!A:A,Product_Dim!B:B,"Not Found")</f>
        <v>USB-C Laptop Charger</v>
      </c>
      <c r="Q1702" s="8" t="str">
        <f t="array" ref="Q1702">XLOOKUP(D1702,Product_Dim!A:A,Product_Dim!C:C,"Not Found")</f>
        <v>Electronics</v>
      </c>
      <c r="R1702" s="8" t="str">
        <f t="array" ref="R1702">XLOOKUP(E1702,Store_Dim!A:A,Store_Dim!B:B,"Not Found")</f>
        <v>South</v>
      </c>
      <c r="S1702" s="8" t="str">
        <f t="array" ref="S1702">XLOOKUP(E1702,Store_Dim!A:A,Store_Dim!D:D,"Not Found")</f>
        <v>Online</v>
      </c>
    </row>
    <row r="1703" ht="14.25" customHeight="1">
      <c r="A1703" s="8" t="s">
        <v>3656</v>
      </c>
      <c r="B1703" s="12">
        <v>47181.0</v>
      </c>
      <c r="C1703" s="8" t="s">
        <v>1441</v>
      </c>
      <c r="D1703" s="8" t="s">
        <v>1863</v>
      </c>
      <c r="E1703" s="8" t="s">
        <v>1941</v>
      </c>
      <c r="F1703" s="8">
        <v>3.0</v>
      </c>
      <c r="G1703" s="8">
        <v>811.16</v>
      </c>
      <c r="H1703" s="8">
        <v>0.1</v>
      </c>
      <c r="I1703" s="8">
        <f t="shared" si="1"/>
        <v>2433.48</v>
      </c>
      <c r="J1703" s="8">
        <f t="shared" si="2"/>
        <v>-243.248</v>
      </c>
      <c r="K1703" s="8" t="str">
        <f t="shared" si="3"/>
        <v>Mar</v>
      </c>
      <c r="L1703" s="8">
        <f t="shared" si="4"/>
        <v>2029</v>
      </c>
      <c r="N1703" s="8" t="str">
        <f t="array" ref="N1703">XLOOKUP(C1703,Customer_Dim!A:A,Customer_Dim!B:B,"Not Found")</f>
        <v>Beth Martin</v>
      </c>
      <c r="O1703" s="8" t="str">
        <f t="array" ref="O1703">XLOOKUP(C1703,Customer_Dim!A:A,Customer_Dim!E:E,"Not Found")</f>
        <v>Burkefurt</v>
      </c>
      <c r="P1703" s="8" t="str">
        <f t="array" ref="P1703">XLOOKUP(D1703,Product_Dim!A:A,Product_Dim!B:B,"Not Found")</f>
        <v>Women's High Heels</v>
      </c>
      <c r="Q1703" s="8" t="str">
        <f t="array" ref="Q1703">XLOOKUP(D1703,Product_Dim!A:A,Product_Dim!C:C,"Not Found")</f>
        <v>Clothing</v>
      </c>
      <c r="R1703" s="8" t="str">
        <f t="array" ref="R1703">XLOOKUP(E1703,Store_Dim!A:A,Store_Dim!B:B,"Not Found")</f>
        <v>East</v>
      </c>
      <c r="S1703" s="8" t="str">
        <f t="array" ref="S1703">XLOOKUP(E1703,Store_Dim!A:A,Store_Dim!D:D,"Not Found")</f>
        <v>Online</v>
      </c>
    </row>
    <row r="1704" ht="14.25" customHeight="1">
      <c r="A1704" s="8" t="s">
        <v>3657</v>
      </c>
      <c r="B1704" s="12">
        <v>47182.0</v>
      </c>
      <c r="C1704" s="8" t="s">
        <v>717</v>
      </c>
      <c r="D1704" s="8" t="s">
        <v>1696</v>
      </c>
      <c r="E1704" s="8" t="s">
        <v>1919</v>
      </c>
      <c r="F1704" s="8">
        <v>2.0</v>
      </c>
      <c r="G1704" s="8">
        <v>985.79</v>
      </c>
      <c r="H1704" s="8">
        <v>0.04</v>
      </c>
      <c r="I1704" s="8">
        <f t="shared" si="1"/>
        <v>1971.58</v>
      </c>
      <c r="J1704" s="8">
        <f t="shared" si="2"/>
        <v>-78.8232</v>
      </c>
      <c r="K1704" s="8" t="str">
        <f t="shared" si="3"/>
        <v>Mar</v>
      </c>
      <c r="L1704" s="8">
        <f t="shared" si="4"/>
        <v>2029</v>
      </c>
      <c r="N1704" s="8" t="str">
        <f t="array" ref="N1704">XLOOKUP(C1704,Customer_Dim!A:A,Customer_Dim!B:B,"Not Found")</f>
        <v>Kathy Copeland</v>
      </c>
      <c r="O1704" s="8" t="str">
        <f t="array" ref="O1704">XLOOKUP(C1704,Customer_Dim!A:A,Customer_Dim!E:E,"Not Found")</f>
        <v>North Christinemouth</v>
      </c>
      <c r="P1704" s="8" t="str">
        <f t="array" ref="P1704">XLOOKUP(D1704,Product_Dim!A:A,Product_Dim!B:B,"Not Found")</f>
        <v>Men's Casual Sneakers</v>
      </c>
      <c r="Q1704" s="8" t="str">
        <f t="array" ref="Q1704">XLOOKUP(D1704,Product_Dim!A:A,Product_Dim!C:C,"Not Found")</f>
        <v>Clothing</v>
      </c>
      <c r="R1704" s="8" t="str">
        <f t="array" ref="R1704">XLOOKUP(E1704,Store_Dim!A:A,Store_Dim!B:B,"Not Found")</f>
        <v>South</v>
      </c>
      <c r="S1704" s="8" t="str">
        <f t="array" ref="S1704">XLOOKUP(E1704,Store_Dim!A:A,Store_Dim!D:D,"Not Found")</f>
        <v>Online</v>
      </c>
    </row>
    <row r="1705" ht="14.25" customHeight="1">
      <c r="A1705" s="8" t="s">
        <v>3658</v>
      </c>
      <c r="B1705" s="12">
        <v>47183.0</v>
      </c>
      <c r="C1705" s="8" t="s">
        <v>628</v>
      </c>
      <c r="D1705" s="8" t="s">
        <v>1684</v>
      </c>
      <c r="E1705" s="8" t="s">
        <v>1932</v>
      </c>
      <c r="F1705" s="8">
        <v>1.0</v>
      </c>
      <c r="G1705" s="8">
        <v>255.02</v>
      </c>
      <c r="H1705" s="8">
        <v>0.3</v>
      </c>
      <c r="I1705" s="8">
        <f t="shared" si="1"/>
        <v>255.02</v>
      </c>
      <c r="J1705" s="8">
        <f t="shared" si="2"/>
        <v>-76.206</v>
      </c>
      <c r="K1705" s="8" t="str">
        <f t="shared" si="3"/>
        <v>Mar</v>
      </c>
      <c r="L1705" s="8">
        <f t="shared" si="4"/>
        <v>2029</v>
      </c>
      <c r="N1705" s="8" t="str">
        <f t="array" ref="N1705">XLOOKUP(C1705,Customer_Dim!A:A,Customer_Dim!B:B,"Not Found")</f>
        <v>Dr. Suzanne Bullock</v>
      </c>
      <c r="O1705" s="8" t="str">
        <f t="array" ref="O1705">XLOOKUP(C1705,Customer_Dim!A:A,Customer_Dim!E:E,"Not Found")</f>
        <v>Lake Blaketon</v>
      </c>
      <c r="P1705" s="8" t="str">
        <f t="array" ref="P1705">XLOOKUP(D1705,Product_Dim!A:A,Product_Dim!B:B,"Not Found")</f>
        <v>Modern Wall Clock</v>
      </c>
      <c r="Q1705" s="8" t="str">
        <f t="array" ref="Q1705">XLOOKUP(D1705,Product_Dim!A:A,Product_Dim!C:C,"Not Found")</f>
        <v>Home</v>
      </c>
      <c r="R1705" s="8" t="str">
        <f t="array" ref="R1705">XLOOKUP(E1705,Store_Dim!A:A,Store_Dim!B:B,"Not Found")</f>
        <v>South</v>
      </c>
      <c r="S1705" s="8" t="str">
        <f t="array" ref="S1705">XLOOKUP(E1705,Store_Dim!A:A,Store_Dim!D:D,"Not Found")</f>
        <v>Outlet</v>
      </c>
    </row>
    <row r="1706" ht="14.25" customHeight="1">
      <c r="A1706" s="8" t="s">
        <v>3659</v>
      </c>
      <c r="B1706" s="12">
        <v>47184.0</v>
      </c>
      <c r="C1706" s="8" t="s">
        <v>351</v>
      </c>
      <c r="D1706" s="8" t="s">
        <v>1638</v>
      </c>
      <c r="E1706" s="8" t="s">
        <v>1921</v>
      </c>
      <c r="F1706" s="8">
        <v>1.0</v>
      </c>
      <c r="G1706" s="8">
        <v>153.57</v>
      </c>
      <c r="H1706" s="8">
        <v>0.01</v>
      </c>
      <c r="I1706" s="8">
        <f t="shared" si="1"/>
        <v>153.57</v>
      </c>
      <c r="J1706" s="8">
        <f t="shared" si="2"/>
        <v>-1.5257</v>
      </c>
      <c r="K1706" s="8" t="str">
        <f t="shared" si="3"/>
        <v>Mar</v>
      </c>
      <c r="L1706" s="8">
        <f t="shared" si="4"/>
        <v>2029</v>
      </c>
      <c r="N1706" s="8" t="str">
        <f t="array" ref="N1706">XLOOKUP(C1706,Customer_Dim!A:A,Customer_Dim!B:B,"Not Found")</f>
        <v>Amy Fowler</v>
      </c>
      <c r="O1706" s="8" t="str">
        <f t="array" ref="O1706">XLOOKUP(C1706,Customer_Dim!A:A,Customer_Dim!E:E,"Not Found")</f>
        <v>West Bobbyshire</v>
      </c>
      <c r="P1706" s="8" t="str">
        <f t="array" ref="P1706">XLOOKUP(D1706,Product_Dim!A:A,Product_Dim!B:B,"Not Found")</f>
        <v>Knee Support Brace</v>
      </c>
      <c r="Q1706" s="8" t="str">
        <f t="array" ref="Q1706">XLOOKUP(D1706,Product_Dim!A:A,Product_Dim!C:C,"Not Found")</f>
        <v>Sports</v>
      </c>
      <c r="R1706" s="8" t="str">
        <f t="array" ref="R1706">XLOOKUP(E1706,Store_Dim!A:A,Store_Dim!B:B,"Not Found")</f>
        <v>West</v>
      </c>
      <c r="S1706" s="8" t="str">
        <f t="array" ref="S1706">XLOOKUP(E1706,Store_Dim!A:A,Store_Dim!D:D,"Not Found")</f>
        <v>Online</v>
      </c>
    </row>
    <row r="1707" ht="14.25" customHeight="1">
      <c r="A1707" s="8" t="s">
        <v>3660</v>
      </c>
      <c r="B1707" s="12">
        <v>47185.0</v>
      </c>
      <c r="C1707" s="8" t="s">
        <v>824</v>
      </c>
      <c r="D1707" s="8" t="s">
        <v>1716</v>
      </c>
      <c r="E1707" s="8" t="s">
        <v>1939</v>
      </c>
      <c r="F1707" s="8">
        <v>3.0</v>
      </c>
      <c r="G1707" s="8">
        <v>962.98</v>
      </c>
      <c r="H1707" s="8">
        <v>0.21</v>
      </c>
      <c r="I1707" s="8">
        <f t="shared" si="1"/>
        <v>2888.94</v>
      </c>
      <c r="J1707" s="8">
        <f t="shared" si="2"/>
        <v>-606.4674</v>
      </c>
      <c r="K1707" s="8" t="str">
        <f t="shared" si="3"/>
        <v>Mar</v>
      </c>
      <c r="L1707" s="8">
        <f t="shared" si="4"/>
        <v>2029</v>
      </c>
      <c r="N1707" s="8" t="str">
        <f t="array" ref="N1707">XLOOKUP(C1707,Customer_Dim!A:A,Customer_Dim!B:B,"Not Found")</f>
        <v>Dr. Ashley Yates MD</v>
      </c>
      <c r="O1707" s="8" t="str">
        <f t="array" ref="O1707">XLOOKUP(C1707,Customer_Dim!A:A,Customer_Dim!E:E,"Not Found")</f>
        <v>New Maria</v>
      </c>
      <c r="P1707" s="8" t="str">
        <f t="array" ref="P1707">XLOOKUP(D1707,Product_Dim!A:A,Product_Dim!B:B,"Not Found")</f>
        <v>USB External Hard Drive</v>
      </c>
      <c r="Q1707" s="8" t="str">
        <f t="array" ref="Q1707">XLOOKUP(D1707,Product_Dim!A:A,Product_Dim!C:C,"Not Found")</f>
        <v>Electronics</v>
      </c>
      <c r="R1707" s="8" t="str">
        <f t="array" ref="R1707">XLOOKUP(E1707,Store_Dim!A:A,Store_Dim!B:B,"Not Found")</f>
        <v>East</v>
      </c>
      <c r="S1707" s="8" t="str">
        <f t="array" ref="S1707">XLOOKUP(E1707,Store_Dim!A:A,Store_Dim!D:D,"Not Found")</f>
        <v>Flagship</v>
      </c>
    </row>
    <row r="1708" ht="14.25" customHeight="1">
      <c r="A1708" s="8" t="s">
        <v>3661</v>
      </c>
      <c r="B1708" s="12">
        <v>47186.0</v>
      </c>
      <c r="C1708" s="8" t="s">
        <v>224</v>
      </c>
      <c r="D1708" s="8" t="s">
        <v>1719</v>
      </c>
      <c r="E1708" s="8" t="s">
        <v>1921</v>
      </c>
      <c r="F1708" s="8">
        <v>3.0</v>
      </c>
      <c r="G1708" s="8">
        <v>884.46</v>
      </c>
      <c r="H1708" s="8">
        <v>0.25</v>
      </c>
      <c r="I1708" s="8">
        <f t="shared" si="1"/>
        <v>2653.38</v>
      </c>
      <c r="J1708" s="8">
        <f t="shared" si="2"/>
        <v>-663.095</v>
      </c>
      <c r="K1708" s="8" t="str">
        <f t="shared" si="3"/>
        <v>Mar</v>
      </c>
      <c r="L1708" s="8">
        <f t="shared" si="4"/>
        <v>2029</v>
      </c>
      <c r="N1708" s="8" t="str">
        <f t="array" ref="N1708">XLOOKUP(C1708,Customer_Dim!A:A,Customer_Dim!B:B,"Not Found")</f>
        <v>Jay Patel</v>
      </c>
      <c r="O1708" s="8" t="str">
        <f t="array" ref="O1708">XLOOKUP(C1708,Customer_Dim!A:A,Customer_Dim!E:E,"Not Found")</f>
        <v>Morrisbury</v>
      </c>
      <c r="P1708" s="8" t="str">
        <f t="array" ref="P1708">XLOOKUP(D1708,Product_Dim!A:A,Product_Dim!B:B,"Not Found")</f>
        <v>Adjustable Jump Rope</v>
      </c>
      <c r="Q1708" s="8" t="str">
        <f t="array" ref="Q1708">XLOOKUP(D1708,Product_Dim!A:A,Product_Dim!C:C,"Not Found")</f>
        <v>Sports</v>
      </c>
      <c r="R1708" s="8" t="str">
        <f t="array" ref="R1708">XLOOKUP(E1708,Store_Dim!A:A,Store_Dim!B:B,"Not Found")</f>
        <v>West</v>
      </c>
      <c r="S1708" s="8" t="str">
        <f t="array" ref="S1708">XLOOKUP(E1708,Store_Dim!A:A,Store_Dim!D:D,"Not Found")</f>
        <v>Online</v>
      </c>
    </row>
    <row r="1709" ht="14.25" customHeight="1">
      <c r="A1709" s="8" t="s">
        <v>3662</v>
      </c>
      <c r="B1709" s="12">
        <v>47187.0</v>
      </c>
      <c r="C1709" s="8" t="s">
        <v>1371</v>
      </c>
      <c r="D1709" s="8" t="s">
        <v>1790</v>
      </c>
      <c r="E1709" s="8" t="s">
        <v>1926</v>
      </c>
      <c r="F1709" s="8">
        <v>4.0</v>
      </c>
      <c r="G1709" s="8">
        <v>359.71</v>
      </c>
      <c r="H1709" s="8">
        <v>0.05</v>
      </c>
      <c r="I1709" s="8">
        <f t="shared" si="1"/>
        <v>1438.84</v>
      </c>
      <c r="J1709" s="8">
        <f t="shared" si="2"/>
        <v>-71.892</v>
      </c>
      <c r="K1709" s="8" t="str">
        <f t="shared" si="3"/>
        <v>Mar</v>
      </c>
      <c r="L1709" s="8">
        <f t="shared" si="4"/>
        <v>2029</v>
      </c>
      <c r="N1709" s="8" t="str">
        <f t="array" ref="N1709">XLOOKUP(C1709,Customer_Dim!A:A,Customer_Dim!B:B,"Not Found")</f>
        <v>Melinda Rivera</v>
      </c>
      <c r="O1709" s="8" t="str">
        <f t="array" ref="O1709">XLOOKUP(C1709,Customer_Dim!A:A,Customer_Dim!E:E,"Not Found")</f>
        <v>East Davidmouth</v>
      </c>
      <c r="P1709" s="8" t="str">
        <f t="array" ref="P1709">XLOOKUP(D1709,Product_Dim!A:A,Product_Dim!B:B,"Not Found")</f>
        <v>Smart LED Light Strip</v>
      </c>
      <c r="Q1709" s="8" t="str">
        <f t="array" ref="Q1709">XLOOKUP(D1709,Product_Dim!A:A,Product_Dim!C:C,"Not Found")</f>
        <v>Electronics</v>
      </c>
      <c r="R1709" s="8" t="str">
        <f t="array" ref="R1709">XLOOKUP(E1709,Store_Dim!A:A,Store_Dim!B:B,"Not Found")</f>
        <v>East</v>
      </c>
      <c r="S1709" s="8" t="str">
        <f t="array" ref="S1709">XLOOKUP(E1709,Store_Dim!A:A,Store_Dim!D:D,"Not Found")</f>
        <v>Online</v>
      </c>
    </row>
    <row r="1710" ht="14.25" customHeight="1">
      <c r="A1710" s="8" t="s">
        <v>3663</v>
      </c>
      <c r="B1710" s="12">
        <v>47188.0</v>
      </c>
      <c r="C1710" s="8" t="s">
        <v>205</v>
      </c>
      <c r="D1710" s="8" t="s">
        <v>1739</v>
      </c>
      <c r="E1710" s="8" t="s">
        <v>1912</v>
      </c>
      <c r="F1710" s="8">
        <v>3.0</v>
      </c>
      <c r="G1710" s="8">
        <v>766.47</v>
      </c>
      <c r="H1710" s="8">
        <v>0.18</v>
      </c>
      <c r="I1710" s="8">
        <f t="shared" si="1"/>
        <v>2299.41</v>
      </c>
      <c r="J1710" s="8">
        <f t="shared" si="2"/>
        <v>-413.7138</v>
      </c>
      <c r="K1710" s="8" t="str">
        <f t="shared" si="3"/>
        <v>Mar</v>
      </c>
      <c r="L1710" s="8">
        <f t="shared" si="4"/>
        <v>2029</v>
      </c>
      <c r="N1710" s="8" t="str">
        <f t="array" ref="N1710">XLOOKUP(C1710,Customer_Dim!A:A,Customer_Dim!B:B,"Not Found")</f>
        <v>Sarah Rodgers</v>
      </c>
      <c r="O1710" s="8" t="str">
        <f t="array" ref="O1710">XLOOKUP(C1710,Customer_Dim!A:A,Customer_Dim!E:E,"Not Found")</f>
        <v>New Julia</v>
      </c>
      <c r="P1710" s="8" t="str">
        <f t="array" ref="P1710">XLOOKUP(D1710,Product_Dim!A:A,Product_Dim!B:B,"Not Found")</f>
        <v>Boxing Hand Wraps</v>
      </c>
      <c r="Q1710" s="8" t="str">
        <f t="array" ref="Q1710">XLOOKUP(D1710,Product_Dim!A:A,Product_Dim!C:C,"Not Found")</f>
        <v>Sports</v>
      </c>
      <c r="R1710" s="8" t="str">
        <f t="array" ref="R1710">XLOOKUP(E1710,Store_Dim!A:A,Store_Dim!B:B,"Not Found")</f>
        <v>South</v>
      </c>
      <c r="S1710" s="8" t="str">
        <f t="array" ref="S1710">XLOOKUP(E1710,Store_Dim!A:A,Store_Dim!D:D,"Not Found")</f>
        <v>Online</v>
      </c>
    </row>
    <row r="1711" ht="14.25" customHeight="1">
      <c r="A1711" s="8" t="s">
        <v>3664</v>
      </c>
      <c r="B1711" s="12">
        <v>47189.0</v>
      </c>
      <c r="C1711" s="8" t="s">
        <v>736</v>
      </c>
      <c r="D1711" s="8" t="s">
        <v>1757</v>
      </c>
      <c r="E1711" s="8" t="s">
        <v>1939</v>
      </c>
      <c r="F1711" s="8">
        <v>1.0</v>
      </c>
      <c r="G1711" s="8">
        <v>772.07</v>
      </c>
      <c r="H1711" s="8">
        <v>0.26</v>
      </c>
      <c r="I1711" s="8">
        <f t="shared" si="1"/>
        <v>772.07</v>
      </c>
      <c r="J1711" s="8">
        <f t="shared" si="2"/>
        <v>-200.4782</v>
      </c>
      <c r="K1711" s="8" t="str">
        <f t="shared" si="3"/>
        <v>Mar</v>
      </c>
      <c r="L1711" s="8">
        <f t="shared" si="4"/>
        <v>2029</v>
      </c>
      <c r="N1711" s="8" t="str">
        <f t="array" ref="N1711">XLOOKUP(C1711,Customer_Dim!A:A,Customer_Dim!B:B,"Not Found")</f>
        <v>Robert Harris</v>
      </c>
      <c r="O1711" s="8" t="str">
        <f t="array" ref="O1711">XLOOKUP(C1711,Customer_Dim!A:A,Customer_Dim!E:E,"Not Found")</f>
        <v>East jeremy</v>
      </c>
      <c r="P1711" s="8" t="str">
        <f t="array" ref="P1711">XLOOKUP(D1711,Product_Dim!A:A,Product_Dim!B:B,"Not Found")</f>
        <v>Premium Blanket Throw</v>
      </c>
      <c r="Q1711" s="8" t="str">
        <f t="array" ref="Q1711">XLOOKUP(D1711,Product_Dim!A:A,Product_Dim!C:C,"Not Found")</f>
        <v>Home</v>
      </c>
      <c r="R1711" s="8" t="str">
        <f t="array" ref="R1711">XLOOKUP(E1711,Store_Dim!A:A,Store_Dim!B:B,"Not Found")</f>
        <v>East</v>
      </c>
      <c r="S1711" s="8" t="str">
        <f t="array" ref="S1711">XLOOKUP(E1711,Store_Dim!A:A,Store_Dim!D:D,"Not Found")</f>
        <v>Flagship</v>
      </c>
    </row>
    <row r="1712" ht="14.25" customHeight="1">
      <c r="A1712" s="8" t="s">
        <v>3665</v>
      </c>
      <c r="B1712" s="12">
        <v>47190.0</v>
      </c>
      <c r="C1712" s="8" t="s">
        <v>896</v>
      </c>
      <c r="D1712" s="8" t="s">
        <v>1638</v>
      </c>
      <c r="E1712" s="8" t="s">
        <v>1915</v>
      </c>
      <c r="F1712" s="8">
        <v>3.0</v>
      </c>
      <c r="G1712" s="8">
        <v>108.31</v>
      </c>
      <c r="H1712" s="8">
        <v>0.26</v>
      </c>
      <c r="I1712" s="8">
        <f t="shared" si="1"/>
        <v>324.93</v>
      </c>
      <c r="J1712" s="8">
        <f t="shared" si="2"/>
        <v>-84.2218</v>
      </c>
      <c r="K1712" s="8" t="str">
        <f t="shared" si="3"/>
        <v>Mar</v>
      </c>
      <c r="L1712" s="8">
        <f t="shared" si="4"/>
        <v>2029</v>
      </c>
      <c r="N1712" s="8" t="str">
        <f t="array" ref="N1712">XLOOKUP(C1712,Customer_Dim!A:A,Customer_Dim!B:B,"Not Found")</f>
        <v>Jeffrey Gomez</v>
      </c>
      <c r="O1712" s="8" t="str">
        <f t="array" ref="O1712">XLOOKUP(C1712,Customer_Dim!A:A,Customer_Dim!E:E,"Not Found")</f>
        <v>Lake Nicole</v>
      </c>
      <c r="P1712" s="8" t="str">
        <f t="array" ref="P1712">XLOOKUP(D1712,Product_Dim!A:A,Product_Dim!B:B,"Not Found")</f>
        <v>Knee Support Brace</v>
      </c>
      <c r="Q1712" s="8" t="str">
        <f t="array" ref="Q1712">XLOOKUP(D1712,Product_Dim!A:A,Product_Dim!C:C,"Not Found")</f>
        <v>Sports</v>
      </c>
      <c r="R1712" s="8" t="str">
        <f t="array" ref="R1712">XLOOKUP(E1712,Store_Dim!A:A,Store_Dim!B:B,"Not Found")</f>
        <v>North</v>
      </c>
      <c r="S1712" s="8" t="str">
        <f t="array" ref="S1712">XLOOKUP(E1712,Store_Dim!A:A,Store_Dim!D:D,"Not Found")</f>
        <v>Outlet</v>
      </c>
    </row>
    <row r="1713" ht="14.25" customHeight="1">
      <c r="A1713" s="8" t="s">
        <v>3666</v>
      </c>
      <c r="B1713" s="12">
        <v>47191.0</v>
      </c>
      <c r="C1713" s="8" t="s">
        <v>720</v>
      </c>
      <c r="D1713" s="8" t="s">
        <v>1827</v>
      </c>
      <c r="E1713" s="8" t="s">
        <v>1917</v>
      </c>
      <c r="F1713" s="8">
        <v>1.0</v>
      </c>
      <c r="G1713" s="8">
        <v>502.53</v>
      </c>
      <c r="H1713" s="8">
        <v>0.0</v>
      </c>
      <c r="I1713" s="8">
        <f t="shared" si="1"/>
        <v>502.53</v>
      </c>
      <c r="J1713" s="8">
        <f t="shared" si="2"/>
        <v>0</v>
      </c>
      <c r="K1713" s="8" t="str">
        <f t="shared" si="3"/>
        <v>Mar</v>
      </c>
      <c r="L1713" s="8">
        <f t="shared" si="4"/>
        <v>2029</v>
      </c>
      <c r="N1713" s="8" t="str">
        <f t="array" ref="N1713">XLOOKUP(C1713,Customer_Dim!A:A,Customer_Dim!B:B,"Not Found")</f>
        <v>Julia Jackson</v>
      </c>
      <c r="O1713" s="8" t="str">
        <f t="array" ref="O1713">XLOOKUP(C1713,Customer_Dim!A:A,Customer_Dim!E:E,"Not Found")</f>
        <v>Edwardland</v>
      </c>
      <c r="P1713" s="8" t="str">
        <f t="array" ref="P1713">XLOOKUP(D1713,Product_Dim!A:A,Product_Dim!B:B,"Not Found")</f>
        <v>Decorative Lamp Shade</v>
      </c>
      <c r="Q1713" s="8" t="str">
        <f t="array" ref="Q1713">XLOOKUP(D1713,Product_Dim!A:A,Product_Dim!C:C,"Not Found")</f>
        <v>Home</v>
      </c>
      <c r="R1713" s="8" t="str">
        <f t="array" ref="R1713">XLOOKUP(E1713,Store_Dim!A:A,Store_Dim!B:B,"Not Found")</f>
        <v>East</v>
      </c>
      <c r="S1713" s="8" t="str">
        <f t="array" ref="S1713">XLOOKUP(E1713,Store_Dim!A:A,Store_Dim!D:D,"Not Found")</f>
        <v>Online</v>
      </c>
    </row>
    <row r="1714" ht="14.25" customHeight="1">
      <c r="A1714" s="8" t="s">
        <v>3667</v>
      </c>
      <c r="B1714" s="12">
        <v>47192.0</v>
      </c>
      <c r="C1714" s="8" t="s">
        <v>288</v>
      </c>
      <c r="D1714" s="8" t="s">
        <v>1567</v>
      </c>
      <c r="E1714" s="8" t="s">
        <v>1935</v>
      </c>
      <c r="F1714" s="8">
        <v>2.0</v>
      </c>
      <c r="G1714" s="8">
        <v>508.52</v>
      </c>
      <c r="H1714" s="8">
        <v>0.11</v>
      </c>
      <c r="I1714" s="8">
        <f t="shared" si="1"/>
        <v>1017.04</v>
      </c>
      <c r="J1714" s="8">
        <f t="shared" si="2"/>
        <v>-111.7644</v>
      </c>
      <c r="K1714" s="8" t="str">
        <f t="shared" si="3"/>
        <v>Mar</v>
      </c>
      <c r="L1714" s="8">
        <f t="shared" si="4"/>
        <v>2029</v>
      </c>
      <c r="N1714" s="8" t="str">
        <f t="array" ref="N1714">XLOOKUP(C1714,Customer_Dim!A:A,Customer_Dim!B:B,"Not Found")</f>
        <v>Nathan Campbell</v>
      </c>
      <c r="O1714" s="8" t="str">
        <f t="array" ref="O1714">XLOOKUP(C1714,Customer_Dim!A:A,Customer_Dim!E:E,"Not Found")</f>
        <v>Rodrigueztown</v>
      </c>
      <c r="P1714" s="8" t="str">
        <f t="array" ref="P1714">XLOOKUP(D1714,Product_Dim!A:A,Product_Dim!B:B,"Not Found")</f>
        <v>Men's Graphic T-Shirt</v>
      </c>
      <c r="Q1714" s="8" t="str">
        <f t="array" ref="Q1714">XLOOKUP(D1714,Product_Dim!A:A,Product_Dim!C:C,"Not Found")</f>
        <v>Clothing</v>
      </c>
      <c r="R1714" s="8" t="str">
        <f t="array" ref="R1714">XLOOKUP(E1714,Store_Dim!A:A,Store_Dim!B:B,"Not Found")</f>
        <v>West</v>
      </c>
      <c r="S1714" s="8" t="str">
        <f t="array" ref="S1714">XLOOKUP(E1714,Store_Dim!A:A,Store_Dim!D:D,"Not Found")</f>
        <v>Flagship</v>
      </c>
    </row>
    <row r="1715" ht="14.25" customHeight="1">
      <c r="A1715" s="8" t="s">
        <v>3668</v>
      </c>
      <c r="B1715" s="12">
        <v>47193.0</v>
      </c>
      <c r="C1715" s="8" t="s">
        <v>1459</v>
      </c>
      <c r="D1715" s="8" t="s">
        <v>1812</v>
      </c>
      <c r="E1715" s="8" t="s">
        <v>1910</v>
      </c>
      <c r="F1715" s="8">
        <v>1.0</v>
      </c>
      <c r="G1715" s="8">
        <v>492.0</v>
      </c>
      <c r="H1715" s="8">
        <v>0.26</v>
      </c>
      <c r="I1715" s="8">
        <f t="shared" si="1"/>
        <v>492</v>
      </c>
      <c r="J1715" s="8">
        <f t="shared" si="2"/>
        <v>-127.66</v>
      </c>
      <c r="K1715" s="8" t="str">
        <f t="shared" si="3"/>
        <v>Mar</v>
      </c>
      <c r="L1715" s="8">
        <f t="shared" si="4"/>
        <v>2029</v>
      </c>
      <c r="N1715" s="8" t="str">
        <f t="array" ref="N1715">XLOOKUP(C1715,Customer_Dim!A:A,Customer_Dim!B:B,"Not Found")</f>
        <v>Gregory Curtis</v>
      </c>
      <c r="O1715" s="8" t="str">
        <f t="array" ref="O1715">XLOOKUP(C1715,Customer_Dim!A:A,Customer_Dim!E:E,"Not Found")</f>
        <v>Bergermouth</v>
      </c>
      <c r="P1715" s="8" t="str">
        <f t="array" ref="P1715">XLOOKUP(D1715,Product_Dim!A:A,Product_Dim!B:B,"Not Found")</f>
        <v>Bluetooth Car Audio System</v>
      </c>
      <c r="Q1715" s="8" t="str">
        <f t="array" ref="Q1715">XLOOKUP(D1715,Product_Dim!A:A,Product_Dim!C:C,"Not Found")</f>
        <v>Electronics</v>
      </c>
      <c r="R1715" s="8" t="str">
        <f t="array" ref="R1715">XLOOKUP(E1715,Store_Dim!A:A,Store_Dim!B:B,"Not Found")</f>
        <v>North</v>
      </c>
      <c r="S1715" s="8" t="str">
        <f t="array" ref="S1715">XLOOKUP(E1715,Store_Dim!A:A,Store_Dim!D:D,"Not Found")</f>
        <v>Outlet</v>
      </c>
    </row>
    <row r="1716" ht="14.25" customHeight="1">
      <c r="A1716" s="8" t="s">
        <v>3669</v>
      </c>
      <c r="B1716" s="12">
        <v>47194.0</v>
      </c>
      <c r="C1716" s="8" t="s">
        <v>1508</v>
      </c>
      <c r="D1716" s="8" t="s">
        <v>1696</v>
      </c>
      <c r="E1716" s="8" t="s">
        <v>1932</v>
      </c>
      <c r="F1716" s="8">
        <v>4.0</v>
      </c>
      <c r="G1716" s="8">
        <v>746.36</v>
      </c>
      <c r="H1716" s="8">
        <v>0.02</v>
      </c>
      <c r="I1716" s="8">
        <f t="shared" si="1"/>
        <v>2985.44</v>
      </c>
      <c r="J1716" s="8">
        <f t="shared" si="2"/>
        <v>-59.6888</v>
      </c>
      <c r="K1716" s="8" t="str">
        <f t="shared" si="3"/>
        <v>Mar</v>
      </c>
      <c r="L1716" s="8">
        <f t="shared" si="4"/>
        <v>2029</v>
      </c>
      <c r="N1716" s="8" t="str">
        <f t="array" ref="N1716">XLOOKUP(C1716,Customer_Dim!A:A,Customer_Dim!B:B,"Not Found")</f>
        <v>Sara Ingram</v>
      </c>
      <c r="O1716" s="8" t="str">
        <f t="array" ref="O1716">XLOOKUP(C1716,Customer_Dim!A:A,Customer_Dim!E:E,"Not Found")</f>
        <v>East Dillonview</v>
      </c>
      <c r="P1716" s="8" t="str">
        <f t="array" ref="P1716">XLOOKUP(D1716,Product_Dim!A:A,Product_Dim!B:B,"Not Found")</f>
        <v>Men's Casual Sneakers</v>
      </c>
      <c r="Q1716" s="8" t="str">
        <f t="array" ref="Q1716">XLOOKUP(D1716,Product_Dim!A:A,Product_Dim!C:C,"Not Found")</f>
        <v>Clothing</v>
      </c>
      <c r="R1716" s="8" t="str">
        <f t="array" ref="R1716">XLOOKUP(E1716,Store_Dim!A:A,Store_Dim!B:B,"Not Found")</f>
        <v>South</v>
      </c>
      <c r="S1716" s="8" t="str">
        <f t="array" ref="S1716">XLOOKUP(E1716,Store_Dim!A:A,Store_Dim!D:D,"Not Found")</f>
        <v>Outlet</v>
      </c>
    </row>
    <row r="1717" ht="14.25" customHeight="1">
      <c r="A1717" s="8" t="s">
        <v>3670</v>
      </c>
      <c r="B1717" s="12">
        <v>47195.0</v>
      </c>
      <c r="C1717" s="8" t="s">
        <v>1359</v>
      </c>
      <c r="D1717" s="8" t="s">
        <v>1613</v>
      </c>
      <c r="E1717" s="8" t="s">
        <v>1903</v>
      </c>
      <c r="F1717" s="8">
        <v>1.0</v>
      </c>
      <c r="G1717" s="8">
        <v>120.83</v>
      </c>
      <c r="H1717" s="8">
        <v>0.08</v>
      </c>
      <c r="I1717" s="8">
        <f t="shared" si="1"/>
        <v>120.83</v>
      </c>
      <c r="J1717" s="8">
        <f t="shared" si="2"/>
        <v>-9.5864</v>
      </c>
      <c r="K1717" s="8" t="str">
        <f t="shared" si="3"/>
        <v>Mar</v>
      </c>
      <c r="L1717" s="8">
        <f t="shared" si="4"/>
        <v>2029</v>
      </c>
      <c r="N1717" s="8" t="str">
        <f t="array" ref="N1717">XLOOKUP(C1717,Customer_Dim!A:A,Customer_Dim!B:B,"Not Found")</f>
        <v>Thomas Moore</v>
      </c>
      <c r="O1717" s="8" t="str">
        <f t="array" ref="O1717">XLOOKUP(C1717,Customer_Dim!A:A,Customer_Dim!E:E,"Not Found")</f>
        <v>Williamsberg</v>
      </c>
      <c r="P1717" s="8" t="str">
        <f t="array" ref="P1717">XLOOKUP(D1717,Product_Dim!A:A,Product_Dim!B:B,"Not Found")</f>
        <v>Hair Strengthening Shampoo</v>
      </c>
      <c r="Q1717" s="8" t="str">
        <f t="array" ref="Q1717">XLOOKUP(D1717,Product_Dim!A:A,Product_Dim!C:C,"Not Found")</f>
        <v>Beauty</v>
      </c>
      <c r="R1717" s="8" t="str">
        <f t="array" ref="R1717">XLOOKUP(E1717,Store_Dim!A:A,Store_Dim!B:B,"Not Found")</f>
        <v>North</v>
      </c>
      <c r="S1717" s="8" t="str">
        <f t="array" ref="S1717">XLOOKUP(E1717,Store_Dim!A:A,Store_Dim!D:D,"Not Found")</f>
        <v>Flagship</v>
      </c>
    </row>
    <row r="1718" ht="14.25" customHeight="1">
      <c r="A1718" s="8" t="s">
        <v>3671</v>
      </c>
      <c r="B1718" s="12">
        <v>47196.0</v>
      </c>
      <c r="C1718" s="8" t="s">
        <v>1259</v>
      </c>
      <c r="D1718" s="8" t="s">
        <v>1821</v>
      </c>
      <c r="E1718" s="8" t="s">
        <v>1939</v>
      </c>
      <c r="F1718" s="8">
        <v>2.0</v>
      </c>
      <c r="G1718" s="8">
        <v>68.31</v>
      </c>
      <c r="H1718" s="8">
        <v>0.29</v>
      </c>
      <c r="I1718" s="8">
        <f t="shared" si="1"/>
        <v>136.62</v>
      </c>
      <c r="J1718" s="8">
        <f t="shared" si="2"/>
        <v>-39.3298</v>
      </c>
      <c r="K1718" s="8" t="str">
        <f t="shared" si="3"/>
        <v>Mar</v>
      </c>
      <c r="L1718" s="8">
        <f t="shared" si="4"/>
        <v>2029</v>
      </c>
      <c r="N1718" s="8" t="str">
        <f t="array" ref="N1718">XLOOKUP(C1718,Customer_Dim!A:A,Customer_Dim!B:B,"Not Found")</f>
        <v>John Donaldson</v>
      </c>
      <c r="O1718" s="8" t="str">
        <f t="array" ref="O1718">XLOOKUP(C1718,Customer_Dim!A:A,Customer_Dim!E:E,"Not Found")</f>
        <v>New Edward</v>
      </c>
      <c r="P1718" s="8" t="str">
        <f t="array" ref="P1718">XLOOKUP(D1718,Product_Dim!A:A,Product_Dim!B:B,"Not Found")</f>
        <v>WiFi Mesh Router</v>
      </c>
      <c r="Q1718" s="8" t="str">
        <f t="array" ref="Q1718">XLOOKUP(D1718,Product_Dim!A:A,Product_Dim!C:C,"Not Found")</f>
        <v>Electronics</v>
      </c>
      <c r="R1718" s="8" t="str">
        <f t="array" ref="R1718">XLOOKUP(E1718,Store_Dim!A:A,Store_Dim!B:B,"Not Found")</f>
        <v>East</v>
      </c>
      <c r="S1718" s="8" t="str">
        <f t="array" ref="S1718">XLOOKUP(E1718,Store_Dim!A:A,Store_Dim!D:D,"Not Found")</f>
        <v>Flagship</v>
      </c>
    </row>
    <row r="1719" ht="14.25" customHeight="1">
      <c r="A1719" s="8" t="s">
        <v>3672</v>
      </c>
      <c r="B1719" s="12">
        <v>47197.0</v>
      </c>
      <c r="C1719" s="8" t="s">
        <v>240</v>
      </c>
      <c r="D1719" s="8" t="s">
        <v>1649</v>
      </c>
      <c r="E1719" s="8" t="s">
        <v>1939</v>
      </c>
      <c r="F1719" s="8">
        <v>2.0</v>
      </c>
      <c r="G1719" s="8">
        <v>761.71</v>
      </c>
      <c r="H1719" s="8">
        <v>0.02</v>
      </c>
      <c r="I1719" s="8">
        <f t="shared" si="1"/>
        <v>1523.42</v>
      </c>
      <c r="J1719" s="8">
        <f t="shared" si="2"/>
        <v>-30.4484</v>
      </c>
      <c r="K1719" s="8" t="str">
        <f t="shared" si="3"/>
        <v>Mar</v>
      </c>
      <c r="L1719" s="8">
        <f t="shared" si="4"/>
        <v>2029</v>
      </c>
      <c r="N1719" s="8" t="str">
        <f t="array" ref="N1719">XLOOKUP(C1719,Customer_Dim!A:A,Customer_Dim!B:B,"Not Found")</f>
        <v>James Bean</v>
      </c>
      <c r="O1719" s="8" t="str">
        <f t="array" ref="O1719">XLOOKUP(C1719,Customer_Dim!A:A,Customer_Dim!E:E,"Not Found")</f>
        <v>Stevensonton</v>
      </c>
      <c r="P1719" s="8" t="str">
        <f t="array" ref="P1719">XLOOKUP(D1719,Product_Dim!A:A,Product_Dim!B:B,"Not Found")</f>
        <v>Carbon Fiber Tennis Racket</v>
      </c>
      <c r="Q1719" s="8" t="str">
        <f t="array" ref="Q1719">XLOOKUP(D1719,Product_Dim!A:A,Product_Dim!C:C,"Not Found")</f>
        <v>Sports</v>
      </c>
      <c r="R1719" s="8" t="str">
        <f t="array" ref="R1719">XLOOKUP(E1719,Store_Dim!A:A,Store_Dim!B:B,"Not Found")</f>
        <v>East</v>
      </c>
      <c r="S1719" s="8" t="str">
        <f t="array" ref="S1719">XLOOKUP(E1719,Store_Dim!A:A,Store_Dim!D:D,"Not Found")</f>
        <v>Flagship</v>
      </c>
    </row>
    <row r="1720" ht="14.25" customHeight="1">
      <c r="A1720" s="8" t="s">
        <v>3673</v>
      </c>
      <c r="B1720" s="12">
        <v>47198.0</v>
      </c>
      <c r="C1720" s="8" t="s">
        <v>254</v>
      </c>
      <c r="D1720" s="8" t="s">
        <v>1824</v>
      </c>
      <c r="E1720" s="8" t="s">
        <v>1910</v>
      </c>
      <c r="F1720" s="8">
        <v>4.0</v>
      </c>
      <c r="G1720" s="8">
        <v>346.37</v>
      </c>
      <c r="H1720" s="8">
        <v>0.18</v>
      </c>
      <c r="I1720" s="8">
        <f t="shared" si="1"/>
        <v>1385.48</v>
      </c>
      <c r="J1720" s="8">
        <f t="shared" si="2"/>
        <v>-249.2064</v>
      </c>
      <c r="K1720" s="8" t="str">
        <f t="shared" si="3"/>
        <v>Mar</v>
      </c>
      <c r="L1720" s="8">
        <f t="shared" si="4"/>
        <v>2029</v>
      </c>
      <c r="N1720" s="8" t="str">
        <f t="array" ref="N1720">XLOOKUP(C1720,Customer_Dim!A:A,Customer_Dim!B:B,"Not Found")</f>
        <v>Cody Diaz</v>
      </c>
      <c r="O1720" s="8" t="str">
        <f t="array" ref="O1720">XLOOKUP(C1720,Customer_Dim!A:A,Customer_Dim!E:E,"Not Found")</f>
        <v>South Aaronside</v>
      </c>
      <c r="P1720" s="8" t="str">
        <f t="array" ref="P1720">XLOOKUP(D1720,Product_Dim!A:A,Product_Dim!B:B,"Not Found")</f>
        <v>Essential Oil Diffuser</v>
      </c>
      <c r="Q1720" s="8" t="str">
        <f t="array" ref="Q1720">XLOOKUP(D1720,Product_Dim!A:A,Product_Dim!C:C,"Not Found")</f>
        <v>Home</v>
      </c>
      <c r="R1720" s="8" t="str">
        <f t="array" ref="R1720">XLOOKUP(E1720,Store_Dim!A:A,Store_Dim!B:B,"Not Found")</f>
        <v>North</v>
      </c>
      <c r="S1720" s="8" t="str">
        <f t="array" ref="S1720">XLOOKUP(E1720,Store_Dim!A:A,Store_Dim!D:D,"Not Found")</f>
        <v>Outlet</v>
      </c>
    </row>
    <row r="1721" ht="14.25" customHeight="1">
      <c r="A1721" s="8" t="s">
        <v>3674</v>
      </c>
      <c r="B1721" s="12">
        <v>47199.0</v>
      </c>
      <c r="C1721" s="8" t="s">
        <v>48</v>
      </c>
      <c r="D1721" s="8" t="s">
        <v>1754</v>
      </c>
      <c r="E1721" s="8" t="s">
        <v>1929</v>
      </c>
      <c r="F1721" s="8">
        <v>1.0</v>
      </c>
      <c r="G1721" s="8">
        <v>846.3</v>
      </c>
      <c r="H1721" s="8">
        <v>0.14</v>
      </c>
      <c r="I1721" s="8">
        <f t="shared" si="1"/>
        <v>846.3</v>
      </c>
      <c r="J1721" s="8">
        <f t="shared" si="2"/>
        <v>-118.342</v>
      </c>
      <c r="K1721" s="8" t="str">
        <f t="shared" si="3"/>
        <v>Mar</v>
      </c>
      <c r="L1721" s="8">
        <f t="shared" si="4"/>
        <v>2029</v>
      </c>
      <c r="N1721" s="8" t="str">
        <f t="array" ref="N1721">XLOOKUP(C1721,Customer_Dim!A:A,Customer_Dim!B:B,"Not Found")</f>
        <v>Daniel Boyd</v>
      </c>
      <c r="O1721" s="8" t="str">
        <f t="array" ref="O1721">XLOOKUP(C1721,Customer_Dim!A:A,Customer_Dim!E:E,"Not Found")</f>
        <v>West Pamelafurt</v>
      </c>
      <c r="P1721" s="8" t="str">
        <f t="array" ref="P1721">XLOOKUP(D1721,Product_Dim!A:A,Product_Dim!B:B,"Not Found")</f>
        <v>Ceramic Plant Pot</v>
      </c>
      <c r="Q1721" s="8" t="str">
        <f t="array" ref="Q1721">XLOOKUP(D1721,Product_Dim!A:A,Product_Dim!C:C,"Not Found")</f>
        <v>Home</v>
      </c>
      <c r="R1721" s="8" t="str">
        <f t="array" ref="R1721">XLOOKUP(E1721,Store_Dim!A:A,Store_Dim!B:B,"Not Found")</f>
        <v>North</v>
      </c>
      <c r="S1721" s="8" t="str">
        <f t="array" ref="S1721">XLOOKUP(E1721,Store_Dim!A:A,Store_Dim!D:D,"Not Found")</f>
        <v>Online</v>
      </c>
    </row>
    <row r="1722" ht="14.25" customHeight="1">
      <c r="A1722" s="8" t="s">
        <v>3675</v>
      </c>
      <c r="B1722" s="12">
        <v>47200.0</v>
      </c>
      <c r="C1722" s="8" t="s">
        <v>1356</v>
      </c>
      <c r="D1722" s="8" t="s">
        <v>1562</v>
      </c>
      <c r="E1722" s="8" t="s">
        <v>1941</v>
      </c>
      <c r="F1722" s="8">
        <v>1.0</v>
      </c>
      <c r="G1722" s="8">
        <v>458.97</v>
      </c>
      <c r="H1722" s="8">
        <v>0.1</v>
      </c>
      <c r="I1722" s="8">
        <f t="shared" si="1"/>
        <v>458.97</v>
      </c>
      <c r="J1722" s="8">
        <f t="shared" si="2"/>
        <v>-45.797</v>
      </c>
      <c r="K1722" s="8" t="str">
        <f t="shared" si="3"/>
        <v>Mar</v>
      </c>
      <c r="L1722" s="8">
        <f t="shared" si="4"/>
        <v>2029</v>
      </c>
      <c r="N1722" s="8" t="str">
        <f t="array" ref="N1722">XLOOKUP(C1722,Customer_Dim!A:A,Customer_Dim!B:B,"Not Found")</f>
        <v>Summer Weiss</v>
      </c>
      <c r="O1722" s="8" t="str">
        <f t="array" ref="O1722">XLOOKUP(C1722,Customer_Dim!A:A,Customer_Dim!E:E,"Not Found")</f>
        <v>Phyllisport</v>
      </c>
      <c r="P1722" s="8" t="str">
        <f t="array" ref="P1722">XLOOKUP(D1722,Product_Dim!A:A,Product_Dim!B:B,"Not Found")</f>
        <v>Brother Laser Printer</v>
      </c>
      <c r="Q1722" s="8" t="str">
        <f t="array" ref="Q1722">XLOOKUP(D1722,Product_Dim!A:A,Product_Dim!C:C,"Not Found")</f>
        <v>Electronics</v>
      </c>
      <c r="R1722" s="8" t="str">
        <f t="array" ref="R1722">XLOOKUP(E1722,Store_Dim!A:A,Store_Dim!B:B,"Not Found")</f>
        <v>East</v>
      </c>
      <c r="S1722" s="8" t="str">
        <f t="array" ref="S1722">XLOOKUP(E1722,Store_Dim!A:A,Store_Dim!D:D,"Not Found")</f>
        <v>Online</v>
      </c>
    </row>
    <row r="1723" ht="14.25" customHeight="1">
      <c r="A1723" s="8" t="s">
        <v>3676</v>
      </c>
      <c r="B1723" s="12">
        <v>47201.0</v>
      </c>
      <c r="C1723" s="8" t="s">
        <v>932</v>
      </c>
      <c r="D1723" s="8" t="s">
        <v>1716</v>
      </c>
      <c r="E1723" s="8" t="s">
        <v>1919</v>
      </c>
      <c r="F1723" s="8">
        <v>2.0</v>
      </c>
      <c r="G1723" s="8">
        <v>536.61</v>
      </c>
      <c r="H1723" s="8">
        <v>0.14</v>
      </c>
      <c r="I1723" s="8">
        <f t="shared" si="1"/>
        <v>1073.22</v>
      </c>
      <c r="J1723" s="8">
        <f t="shared" si="2"/>
        <v>-150.1108</v>
      </c>
      <c r="K1723" s="8" t="str">
        <f t="shared" si="3"/>
        <v>Mar</v>
      </c>
      <c r="L1723" s="8">
        <f t="shared" si="4"/>
        <v>2029</v>
      </c>
      <c r="N1723" s="8" t="str">
        <f t="array" ref="N1723">XLOOKUP(C1723,Customer_Dim!A:A,Customer_Dim!B:B,"Not Found")</f>
        <v>Jennifer Figueroa</v>
      </c>
      <c r="O1723" s="8" t="str">
        <f t="array" ref="O1723">XLOOKUP(C1723,Customer_Dim!A:A,Customer_Dim!E:E,"Not Found")</f>
        <v>North Brookestad</v>
      </c>
      <c r="P1723" s="8" t="str">
        <f t="array" ref="P1723">XLOOKUP(D1723,Product_Dim!A:A,Product_Dim!B:B,"Not Found")</f>
        <v>USB External Hard Drive</v>
      </c>
      <c r="Q1723" s="8" t="str">
        <f t="array" ref="Q1723">XLOOKUP(D1723,Product_Dim!A:A,Product_Dim!C:C,"Not Found")</f>
        <v>Electronics</v>
      </c>
      <c r="R1723" s="8" t="str">
        <f t="array" ref="R1723">XLOOKUP(E1723,Store_Dim!A:A,Store_Dim!B:B,"Not Found")</f>
        <v>South</v>
      </c>
      <c r="S1723" s="8" t="str">
        <f t="array" ref="S1723">XLOOKUP(E1723,Store_Dim!A:A,Store_Dim!D:D,"Not Found")</f>
        <v>Online</v>
      </c>
    </row>
    <row r="1724" ht="14.25" customHeight="1">
      <c r="A1724" s="8" t="s">
        <v>3677</v>
      </c>
      <c r="B1724" s="12">
        <v>47202.0</v>
      </c>
      <c r="C1724" s="8" t="s">
        <v>1320</v>
      </c>
      <c r="D1724" s="8" t="s">
        <v>1763</v>
      </c>
      <c r="E1724" s="8" t="s">
        <v>1899</v>
      </c>
      <c r="F1724" s="8">
        <v>3.0</v>
      </c>
      <c r="G1724" s="8">
        <v>130.41</v>
      </c>
      <c r="H1724" s="8">
        <v>0.14</v>
      </c>
      <c r="I1724" s="8">
        <f t="shared" si="1"/>
        <v>391.23</v>
      </c>
      <c r="J1724" s="8">
        <f t="shared" si="2"/>
        <v>-54.6322</v>
      </c>
      <c r="K1724" s="8" t="str">
        <f t="shared" si="3"/>
        <v>Mar</v>
      </c>
      <c r="L1724" s="8">
        <f t="shared" si="4"/>
        <v>2029</v>
      </c>
      <c r="N1724" s="8" t="str">
        <f t="array" ref="N1724">XLOOKUP(C1724,Customer_Dim!A:A,Customer_Dim!B:B,"Not Found")</f>
        <v>Dr. Tamara White MD</v>
      </c>
      <c r="O1724" s="8" t="str">
        <f t="array" ref="O1724">XLOOKUP(C1724,Customer_Dim!A:A,Customer_Dim!E:E,"Not Found")</f>
        <v>New Benjamin</v>
      </c>
      <c r="P1724" s="8" t="str">
        <f t="array" ref="P1724">XLOOKUP(D1724,Product_Dim!A:A,Product_Dim!B:B,"Not Found")</f>
        <v>Womens Cotton Scarf</v>
      </c>
      <c r="Q1724" s="8" t="str">
        <f t="array" ref="Q1724">XLOOKUP(D1724,Product_Dim!A:A,Product_Dim!C:C,"Not Found")</f>
        <v>Clothing</v>
      </c>
      <c r="R1724" s="8" t="str">
        <f t="array" ref="R1724">XLOOKUP(E1724,Store_Dim!A:A,Store_Dim!B:B,"Not Found")</f>
        <v>East</v>
      </c>
      <c r="S1724" s="8" t="str">
        <f t="array" ref="S1724">XLOOKUP(E1724,Store_Dim!A:A,Store_Dim!D:D,"Not Found")</f>
        <v>Flagship</v>
      </c>
    </row>
    <row r="1725" ht="14.25" customHeight="1">
      <c r="A1725" s="8" t="s">
        <v>3678</v>
      </c>
      <c r="B1725" s="12">
        <v>47203.0</v>
      </c>
      <c r="C1725" s="8" t="s">
        <v>1540</v>
      </c>
      <c r="D1725" s="8" t="s">
        <v>1857</v>
      </c>
      <c r="E1725" s="8" t="s">
        <v>1929</v>
      </c>
      <c r="F1725" s="8">
        <v>4.0</v>
      </c>
      <c r="G1725" s="8">
        <v>706.67</v>
      </c>
      <c r="H1725" s="8">
        <v>0.01</v>
      </c>
      <c r="I1725" s="8">
        <f t="shared" si="1"/>
        <v>2826.68</v>
      </c>
      <c r="J1725" s="8">
        <f t="shared" si="2"/>
        <v>-28.2568</v>
      </c>
      <c r="K1725" s="8" t="str">
        <f t="shared" si="3"/>
        <v>Mar</v>
      </c>
      <c r="L1725" s="8">
        <f t="shared" si="4"/>
        <v>2029</v>
      </c>
      <c r="N1725" s="8" t="str">
        <f t="array" ref="N1725">XLOOKUP(C1725,Customer_Dim!A:A,Customer_Dim!B:B,"Not Found")</f>
        <v>Christopher Ford</v>
      </c>
      <c r="O1725" s="8" t="str">
        <f t="array" ref="O1725">XLOOKUP(C1725,Customer_Dim!A:A,Customer_Dim!E:E,"Not Found")</f>
        <v>North Seanfurt</v>
      </c>
      <c r="P1725" s="8" t="str">
        <f t="array" ref="P1725">XLOOKUP(D1725,Product_Dim!A:A,Product_Dim!B:B,"Not Found")</f>
        <v>Face Foundation Kit</v>
      </c>
      <c r="Q1725" s="8" t="str">
        <f t="array" ref="Q1725">XLOOKUP(D1725,Product_Dim!A:A,Product_Dim!C:C,"Not Found")</f>
        <v>Beauty</v>
      </c>
      <c r="R1725" s="8" t="str">
        <f t="array" ref="R1725">XLOOKUP(E1725,Store_Dim!A:A,Store_Dim!B:B,"Not Found")</f>
        <v>North</v>
      </c>
      <c r="S1725" s="8" t="str">
        <f t="array" ref="S1725">XLOOKUP(E1725,Store_Dim!A:A,Store_Dim!D:D,"Not Found")</f>
        <v>Online</v>
      </c>
    </row>
    <row r="1726" ht="14.25" customHeight="1">
      <c r="A1726" s="8" t="s">
        <v>3679</v>
      </c>
      <c r="B1726" s="12">
        <v>47204.0</v>
      </c>
      <c r="C1726" s="8" t="s">
        <v>1239</v>
      </c>
      <c r="D1726" s="8" t="s">
        <v>1665</v>
      </c>
      <c r="E1726" s="8" t="s">
        <v>1910</v>
      </c>
      <c r="F1726" s="8">
        <v>3.0</v>
      </c>
      <c r="G1726" s="8">
        <v>523.45</v>
      </c>
      <c r="H1726" s="8">
        <v>0.17</v>
      </c>
      <c r="I1726" s="8">
        <f t="shared" si="1"/>
        <v>1570.35</v>
      </c>
      <c r="J1726" s="8">
        <f t="shared" si="2"/>
        <v>-266.7895</v>
      </c>
      <c r="K1726" s="8" t="str">
        <f t="shared" si="3"/>
        <v>Mar</v>
      </c>
      <c r="L1726" s="8">
        <f t="shared" si="4"/>
        <v>2029</v>
      </c>
      <c r="N1726" s="8" t="str">
        <f t="array" ref="N1726">XLOOKUP(C1726,Customer_Dim!A:A,Customer_Dim!B:B,"Not Found")</f>
        <v>Jacqueline Payne</v>
      </c>
      <c r="O1726" s="8" t="str">
        <f t="array" ref="O1726">XLOOKUP(C1726,Customer_Dim!A:A,Customer_Dim!E:E,"Not Found")</f>
        <v>Gutierrezstad</v>
      </c>
      <c r="P1726" s="8" t="str">
        <f t="array" ref="P1726">XLOOKUP(D1726,Product_Dim!A:A,Product_Dim!B:B,"Not Found")</f>
        <v>Decorative Floor Vase</v>
      </c>
      <c r="Q1726" s="8" t="str">
        <f t="array" ref="Q1726">XLOOKUP(D1726,Product_Dim!A:A,Product_Dim!C:C,"Not Found")</f>
        <v>Home</v>
      </c>
      <c r="R1726" s="8" t="str">
        <f t="array" ref="R1726">XLOOKUP(E1726,Store_Dim!A:A,Store_Dim!B:B,"Not Found")</f>
        <v>North</v>
      </c>
      <c r="S1726" s="8" t="str">
        <f t="array" ref="S1726">XLOOKUP(E1726,Store_Dim!A:A,Store_Dim!D:D,"Not Found")</f>
        <v>Outlet</v>
      </c>
    </row>
    <row r="1727" ht="14.25" customHeight="1">
      <c r="A1727" s="8" t="s">
        <v>3680</v>
      </c>
      <c r="B1727" s="12">
        <v>47205.0</v>
      </c>
      <c r="C1727" s="8" t="s">
        <v>57</v>
      </c>
      <c r="D1727" s="8" t="s">
        <v>1863</v>
      </c>
      <c r="E1727" s="8" t="s">
        <v>1939</v>
      </c>
      <c r="F1727" s="8">
        <v>3.0</v>
      </c>
      <c r="G1727" s="8">
        <v>482.2</v>
      </c>
      <c r="H1727" s="8">
        <v>0.23</v>
      </c>
      <c r="I1727" s="8">
        <f t="shared" si="1"/>
        <v>1446.6</v>
      </c>
      <c r="J1727" s="8">
        <f t="shared" si="2"/>
        <v>-332.488</v>
      </c>
      <c r="K1727" s="8" t="str">
        <f t="shared" si="3"/>
        <v>Mar</v>
      </c>
      <c r="L1727" s="8">
        <f t="shared" si="4"/>
        <v>2029</v>
      </c>
      <c r="N1727" s="8" t="str">
        <f t="array" ref="N1727">XLOOKUP(C1727,Customer_Dim!A:A,Customer_Dim!B:B,"Not Found")</f>
        <v>Ms. Maria Leach</v>
      </c>
      <c r="O1727" s="8" t="str">
        <f t="array" ref="O1727">XLOOKUP(C1727,Customer_Dim!A:A,Customer_Dim!E:E,"Not Found")</f>
        <v>Melissashire</v>
      </c>
      <c r="P1727" s="8" t="str">
        <f t="array" ref="P1727">XLOOKUP(D1727,Product_Dim!A:A,Product_Dim!B:B,"Not Found")</f>
        <v>Women's High Heels</v>
      </c>
      <c r="Q1727" s="8" t="str">
        <f t="array" ref="Q1727">XLOOKUP(D1727,Product_Dim!A:A,Product_Dim!C:C,"Not Found")</f>
        <v>Clothing</v>
      </c>
      <c r="R1727" s="8" t="str">
        <f t="array" ref="R1727">XLOOKUP(E1727,Store_Dim!A:A,Store_Dim!B:B,"Not Found")</f>
        <v>East</v>
      </c>
      <c r="S1727" s="8" t="str">
        <f t="array" ref="S1727">XLOOKUP(E1727,Store_Dim!A:A,Store_Dim!D:D,"Not Found")</f>
        <v>Flagship</v>
      </c>
    </row>
    <row r="1728" ht="14.25" customHeight="1">
      <c r="A1728" s="8" t="s">
        <v>3681</v>
      </c>
      <c r="B1728" s="12">
        <v>47206.0</v>
      </c>
      <c r="C1728" s="8" t="s">
        <v>439</v>
      </c>
      <c r="D1728" s="8" t="s">
        <v>1778</v>
      </c>
      <c r="E1728" s="8" t="s">
        <v>1915</v>
      </c>
      <c r="F1728" s="8">
        <v>4.0</v>
      </c>
      <c r="G1728" s="8">
        <v>688.86</v>
      </c>
      <c r="H1728" s="8">
        <v>0.02</v>
      </c>
      <c r="I1728" s="8">
        <f t="shared" si="1"/>
        <v>2755.44</v>
      </c>
      <c r="J1728" s="8">
        <f t="shared" si="2"/>
        <v>-55.0888</v>
      </c>
      <c r="K1728" s="8" t="str">
        <f t="shared" si="3"/>
        <v>Mar</v>
      </c>
      <c r="L1728" s="8">
        <f t="shared" si="4"/>
        <v>2029</v>
      </c>
      <c r="N1728" s="8" t="str">
        <f t="array" ref="N1728">XLOOKUP(C1728,Customer_Dim!A:A,Customer_Dim!B:B,"Not Found")</f>
        <v>Donald Lee</v>
      </c>
      <c r="O1728" s="8" t="str">
        <f t="array" ref="O1728">XLOOKUP(C1728,Customer_Dim!A:A,Customer_Dim!E:E,"Not Found")</f>
        <v>Wongberg</v>
      </c>
      <c r="P1728" s="8" t="str">
        <f t="array" ref="P1728">XLOOKUP(D1728,Product_Dim!A:A,Product_Dim!B:B,"Not Found")</f>
        <v>Organic Sunscreen Lotion</v>
      </c>
      <c r="Q1728" s="8" t="str">
        <f t="array" ref="Q1728">XLOOKUP(D1728,Product_Dim!A:A,Product_Dim!C:C,"Not Found")</f>
        <v>Beauty</v>
      </c>
      <c r="R1728" s="8" t="str">
        <f t="array" ref="R1728">XLOOKUP(E1728,Store_Dim!A:A,Store_Dim!B:B,"Not Found")</f>
        <v>North</v>
      </c>
      <c r="S1728" s="8" t="str">
        <f t="array" ref="S1728">XLOOKUP(E1728,Store_Dim!A:A,Store_Dim!D:D,"Not Found")</f>
        <v>Outlet</v>
      </c>
    </row>
    <row r="1729" ht="14.25" customHeight="1">
      <c r="A1729" s="8" t="s">
        <v>3682</v>
      </c>
      <c r="B1729" s="12">
        <v>47207.0</v>
      </c>
      <c r="C1729" s="8" t="s">
        <v>110</v>
      </c>
      <c r="D1729" s="8" t="s">
        <v>1613</v>
      </c>
      <c r="E1729" s="8" t="s">
        <v>1899</v>
      </c>
      <c r="F1729" s="8">
        <v>1.0</v>
      </c>
      <c r="G1729" s="8">
        <v>145.48</v>
      </c>
      <c r="H1729" s="8">
        <v>0.1</v>
      </c>
      <c r="I1729" s="8">
        <f t="shared" si="1"/>
        <v>145.48</v>
      </c>
      <c r="J1729" s="8">
        <f t="shared" si="2"/>
        <v>-14.448</v>
      </c>
      <c r="K1729" s="8" t="str">
        <f t="shared" si="3"/>
        <v>Mar</v>
      </c>
      <c r="L1729" s="8">
        <f t="shared" si="4"/>
        <v>2029</v>
      </c>
      <c r="N1729" s="8" t="str">
        <f t="array" ref="N1729">XLOOKUP(C1729,Customer_Dim!A:A,Customer_Dim!B:B,"Not Found")</f>
        <v>Jonathan Steele</v>
      </c>
      <c r="O1729" s="8" t="str">
        <f t="array" ref="O1729">XLOOKUP(C1729,Customer_Dim!A:A,Customer_Dim!E:E,"Not Found")</f>
        <v>Molinabury</v>
      </c>
      <c r="P1729" s="8" t="str">
        <f t="array" ref="P1729">XLOOKUP(D1729,Product_Dim!A:A,Product_Dim!B:B,"Not Found")</f>
        <v>Hair Strengthening Shampoo</v>
      </c>
      <c r="Q1729" s="8" t="str">
        <f t="array" ref="Q1729">XLOOKUP(D1729,Product_Dim!A:A,Product_Dim!C:C,"Not Found")</f>
        <v>Beauty</v>
      </c>
      <c r="R1729" s="8" t="str">
        <f t="array" ref="R1729">XLOOKUP(E1729,Store_Dim!A:A,Store_Dim!B:B,"Not Found")</f>
        <v>East</v>
      </c>
      <c r="S1729" s="8" t="str">
        <f t="array" ref="S1729">XLOOKUP(E1729,Store_Dim!A:A,Store_Dim!D:D,"Not Found")</f>
        <v>Flagship</v>
      </c>
    </row>
    <row r="1730" ht="14.25" customHeight="1">
      <c r="A1730" s="8" t="s">
        <v>3683</v>
      </c>
      <c r="B1730" s="12">
        <v>47208.0</v>
      </c>
      <c r="C1730" s="8" t="s">
        <v>208</v>
      </c>
      <c r="D1730" s="8" t="s">
        <v>1677</v>
      </c>
      <c r="E1730" s="8" t="s">
        <v>1928</v>
      </c>
      <c r="F1730" s="8">
        <v>4.0</v>
      </c>
      <c r="G1730" s="8">
        <v>862.25</v>
      </c>
      <c r="H1730" s="8">
        <v>0.28</v>
      </c>
      <c r="I1730" s="8">
        <f t="shared" si="1"/>
        <v>3449</v>
      </c>
      <c r="J1730" s="8">
        <f t="shared" si="2"/>
        <v>-965.44</v>
      </c>
      <c r="K1730" s="8" t="str">
        <f t="shared" si="3"/>
        <v>Mar</v>
      </c>
      <c r="L1730" s="8">
        <f t="shared" si="4"/>
        <v>2029</v>
      </c>
      <c r="N1730" s="8" t="str">
        <f t="array" ref="N1730">XLOOKUP(C1730,Customer_Dim!A:A,Customer_Dim!B:B,"Not Found")</f>
        <v>Debra Liu</v>
      </c>
      <c r="O1730" s="8" t="str">
        <f t="array" ref="O1730">XLOOKUP(C1730,Customer_Dim!A:A,Customer_Dim!E:E,"Not Found")</f>
        <v>South Timtown</v>
      </c>
      <c r="P1730" s="8" t="str">
        <f t="array" ref="P1730">XLOOKUP(D1730,Product_Dim!A:A,Product_Dim!B:B,"Not Found")</f>
        <v>Basketball</v>
      </c>
      <c r="Q1730" s="8" t="str">
        <f t="array" ref="Q1730">XLOOKUP(D1730,Product_Dim!A:A,Product_Dim!C:C,"Not Found")</f>
        <v>Sports</v>
      </c>
      <c r="R1730" s="8" t="str">
        <f t="array" ref="R1730">XLOOKUP(E1730,Store_Dim!A:A,Store_Dim!B:B,"Not Found")</f>
        <v>South</v>
      </c>
      <c r="S1730" s="8" t="str">
        <f t="array" ref="S1730">XLOOKUP(E1730,Store_Dim!A:A,Store_Dim!D:D,"Not Found")</f>
        <v>Online</v>
      </c>
    </row>
    <row r="1731" ht="14.25" customHeight="1">
      <c r="A1731" s="8" t="s">
        <v>3684</v>
      </c>
      <c r="B1731" s="12">
        <v>47209.0</v>
      </c>
      <c r="C1731" s="8" t="s">
        <v>941</v>
      </c>
      <c r="D1731" s="8" t="s">
        <v>1567</v>
      </c>
      <c r="E1731" s="8" t="s">
        <v>1932</v>
      </c>
      <c r="F1731" s="8">
        <v>4.0</v>
      </c>
      <c r="G1731" s="8">
        <v>146.12</v>
      </c>
      <c r="H1731" s="8">
        <v>0.12</v>
      </c>
      <c r="I1731" s="8">
        <f t="shared" si="1"/>
        <v>584.48</v>
      </c>
      <c r="J1731" s="8">
        <f t="shared" si="2"/>
        <v>-70.0176</v>
      </c>
      <c r="K1731" s="8" t="str">
        <f t="shared" si="3"/>
        <v>Apr</v>
      </c>
      <c r="L1731" s="8">
        <f t="shared" si="4"/>
        <v>2029</v>
      </c>
      <c r="N1731" s="8" t="str">
        <f t="array" ref="N1731">XLOOKUP(C1731,Customer_Dim!A:A,Customer_Dim!B:B,"Not Found")</f>
        <v>Ricardo Jones</v>
      </c>
      <c r="O1731" s="8" t="str">
        <f t="array" ref="O1731">XLOOKUP(C1731,Customer_Dim!A:A,Customer_Dim!E:E,"Not Found")</f>
        <v>Danielland</v>
      </c>
      <c r="P1731" s="8" t="str">
        <f t="array" ref="P1731">XLOOKUP(D1731,Product_Dim!A:A,Product_Dim!B:B,"Not Found")</f>
        <v>Men's Graphic T-Shirt</v>
      </c>
      <c r="Q1731" s="8" t="str">
        <f t="array" ref="Q1731">XLOOKUP(D1731,Product_Dim!A:A,Product_Dim!C:C,"Not Found")</f>
        <v>Clothing</v>
      </c>
      <c r="R1731" s="8" t="str">
        <f t="array" ref="R1731">XLOOKUP(E1731,Store_Dim!A:A,Store_Dim!B:B,"Not Found")</f>
        <v>South</v>
      </c>
      <c r="S1731" s="8" t="str">
        <f t="array" ref="S1731">XLOOKUP(E1731,Store_Dim!A:A,Store_Dim!D:D,"Not Found")</f>
        <v>Outlet</v>
      </c>
    </row>
    <row r="1732" ht="14.25" customHeight="1">
      <c r="A1732" s="8" t="s">
        <v>3685</v>
      </c>
      <c r="B1732" s="12">
        <v>47210.0</v>
      </c>
      <c r="C1732" s="8" t="s">
        <v>1488</v>
      </c>
      <c r="D1732" s="8" t="s">
        <v>1677</v>
      </c>
      <c r="E1732" s="8" t="s">
        <v>1939</v>
      </c>
      <c r="F1732" s="8">
        <v>2.0</v>
      </c>
      <c r="G1732" s="8">
        <v>695.02</v>
      </c>
      <c r="H1732" s="8">
        <v>0.3</v>
      </c>
      <c r="I1732" s="8">
        <f t="shared" si="1"/>
        <v>1390.04</v>
      </c>
      <c r="J1732" s="8">
        <f t="shared" si="2"/>
        <v>-416.712</v>
      </c>
      <c r="K1732" s="8" t="str">
        <f t="shared" si="3"/>
        <v>Apr</v>
      </c>
      <c r="L1732" s="8">
        <f t="shared" si="4"/>
        <v>2029</v>
      </c>
      <c r="N1732" s="8" t="str">
        <f t="array" ref="N1732">XLOOKUP(C1732,Customer_Dim!A:A,Customer_Dim!B:B,"Not Found")</f>
        <v>Earl Smith DDS</v>
      </c>
      <c r="O1732" s="8" t="str">
        <f t="array" ref="O1732">XLOOKUP(C1732,Customer_Dim!A:A,Customer_Dim!E:E,"Not Found")</f>
        <v>West Sarah</v>
      </c>
      <c r="P1732" s="8" t="str">
        <f t="array" ref="P1732">XLOOKUP(D1732,Product_Dim!A:A,Product_Dim!B:B,"Not Found")</f>
        <v>Basketball</v>
      </c>
      <c r="Q1732" s="8" t="str">
        <f t="array" ref="Q1732">XLOOKUP(D1732,Product_Dim!A:A,Product_Dim!C:C,"Not Found")</f>
        <v>Sports</v>
      </c>
      <c r="R1732" s="8" t="str">
        <f t="array" ref="R1732">XLOOKUP(E1732,Store_Dim!A:A,Store_Dim!B:B,"Not Found")</f>
        <v>East</v>
      </c>
      <c r="S1732" s="8" t="str">
        <f t="array" ref="S1732">XLOOKUP(E1732,Store_Dim!A:A,Store_Dim!D:D,"Not Found")</f>
        <v>Flagship</v>
      </c>
    </row>
    <row r="1733" ht="14.25" customHeight="1">
      <c r="A1733" s="8" t="s">
        <v>3686</v>
      </c>
      <c r="B1733" s="12">
        <v>47211.0</v>
      </c>
      <c r="C1733" s="8" t="s">
        <v>723</v>
      </c>
      <c r="D1733" s="8" t="s">
        <v>1872</v>
      </c>
      <c r="E1733" s="8" t="s">
        <v>1926</v>
      </c>
      <c r="F1733" s="8">
        <v>2.0</v>
      </c>
      <c r="G1733" s="8">
        <v>886.67</v>
      </c>
      <c r="H1733" s="8">
        <v>0.24</v>
      </c>
      <c r="I1733" s="8">
        <f t="shared" si="1"/>
        <v>1773.34</v>
      </c>
      <c r="J1733" s="8">
        <f t="shared" si="2"/>
        <v>-425.3616</v>
      </c>
      <c r="K1733" s="8" t="str">
        <f t="shared" si="3"/>
        <v>Apr</v>
      </c>
      <c r="L1733" s="8">
        <f t="shared" si="4"/>
        <v>2029</v>
      </c>
      <c r="N1733" s="8" t="str">
        <f t="array" ref="N1733">XLOOKUP(C1733,Customer_Dim!A:A,Customer_Dim!B:B,"Not Found")</f>
        <v>Jordan Wells</v>
      </c>
      <c r="O1733" s="8" t="str">
        <f t="array" ref="O1733">XLOOKUP(C1733,Customer_Dim!A:A,Customer_Dim!E:E,"Not Found")</f>
        <v>Phillipschester   </v>
      </c>
      <c r="P1733" s="8" t="str">
        <f t="array" ref="P1733">XLOOKUP(D1733,Product_Dim!A:A,Product_Dim!B:B,"Not Found")</f>
        <v>Vitamin E Body Lotion</v>
      </c>
      <c r="Q1733" s="8" t="str">
        <f t="array" ref="Q1733">XLOOKUP(D1733,Product_Dim!A:A,Product_Dim!C:C,"Not Found")</f>
        <v>Beauty</v>
      </c>
      <c r="R1733" s="8" t="str">
        <f t="array" ref="R1733">XLOOKUP(E1733,Store_Dim!A:A,Store_Dim!B:B,"Not Found")</f>
        <v>East</v>
      </c>
      <c r="S1733" s="8" t="str">
        <f t="array" ref="S1733">XLOOKUP(E1733,Store_Dim!A:A,Store_Dim!D:D,"Not Found")</f>
        <v>Online</v>
      </c>
    </row>
    <row r="1734" ht="14.25" customHeight="1">
      <c r="A1734" s="8" t="s">
        <v>3687</v>
      </c>
      <c r="B1734" s="12">
        <v>47212.0</v>
      </c>
      <c r="C1734" s="8" t="s">
        <v>215</v>
      </c>
      <c r="D1734" s="8" t="s">
        <v>1787</v>
      </c>
      <c r="E1734" s="8" t="s">
        <v>1939</v>
      </c>
      <c r="F1734" s="8">
        <v>2.0</v>
      </c>
      <c r="G1734" s="8">
        <v>864.09</v>
      </c>
      <c r="H1734" s="8">
        <v>0.06</v>
      </c>
      <c r="I1734" s="8">
        <f t="shared" si="1"/>
        <v>1728.18</v>
      </c>
      <c r="J1734" s="8">
        <f t="shared" si="2"/>
        <v>-103.6308</v>
      </c>
      <c r="K1734" s="8" t="str">
        <f t="shared" si="3"/>
        <v>Apr</v>
      </c>
      <c r="L1734" s="8">
        <f t="shared" si="4"/>
        <v>2029</v>
      </c>
      <c r="N1734" s="8" t="str">
        <f t="array" ref="N1734">XLOOKUP(C1734,Customer_Dim!A:A,Customer_Dim!B:B,"Not Found")</f>
        <v>Katherine Dorsey</v>
      </c>
      <c r="O1734" s="8" t="str">
        <f t="array" ref="O1734">XLOOKUP(C1734,Customer_Dim!A:A,Customer_Dim!E:E,"Not Found")</f>
        <v>Christopherland</v>
      </c>
      <c r="P1734" s="8" t="str">
        <f t="array" ref="P1734">XLOOKUP(D1734,Product_Dim!A:A,Product_Dim!B:B,"Not Found")</f>
        <v>Women's Hair Dryer Brush</v>
      </c>
      <c r="Q1734" s="8" t="str">
        <f t="array" ref="Q1734">XLOOKUP(D1734,Product_Dim!A:A,Product_Dim!C:C,"Not Found")</f>
        <v>Beauty</v>
      </c>
      <c r="R1734" s="8" t="str">
        <f t="array" ref="R1734">XLOOKUP(E1734,Store_Dim!A:A,Store_Dim!B:B,"Not Found")</f>
        <v>East</v>
      </c>
      <c r="S1734" s="8" t="str">
        <f t="array" ref="S1734">XLOOKUP(E1734,Store_Dim!A:A,Store_Dim!D:D,"Not Found")</f>
        <v>Flagship</v>
      </c>
    </row>
    <row r="1735" ht="14.25" customHeight="1">
      <c r="A1735" s="8" t="s">
        <v>3688</v>
      </c>
      <c r="B1735" s="12">
        <v>47213.0</v>
      </c>
      <c r="C1735" s="8" t="s">
        <v>30</v>
      </c>
      <c r="D1735" s="8" t="s">
        <v>1613</v>
      </c>
      <c r="E1735" s="8" t="s">
        <v>1924</v>
      </c>
      <c r="F1735" s="8">
        <v>1.0</v>
      </c>
      <c r="G1735" s="8">
        <v>437.65</v>
      </c>
      <c r="H1735" s="8">
        <v>0.02</v>
      </c>
      <c r="I1735" s="8">
        <f t="shared" si="1"/>
        <v>437.65</v>
      </c>
      <c r="J1735" s="8">
        <f t="shared" si="2"/>
        <v>-8.733</v>
      </c>
      <c r="K1735" s="8" t="str">
        <f t="shared" si="3"/>
        <v>Apr</v>
      </c>
      <c r="L1735" s="8">
        <f t="shared" si="4"/>
        <v>2029</v>
      </c>
      <c r="N1735" s="8" t="str">
        <f t="array" ref="N1735">XLOOKUP(C1735,Customer_Dim!A:A,Customer_Dim!B:B,"Not Found")</f>
        <v>jeremy harris</v>
      </c>
      <c r="O1735" s="8" t="str">
        <f t="array" ref="O1735">XLOOKUP(C1735,Customer_Dim!A:A,Customer_Dim!E:E,"Not Found")</f>
        <v>Thomastown</v>
      </c>
      <c r="P1735" s="8" t="str">
        <f t="array" ref="P1735">XLOOKUP(D1735,Product_Dim!A:A,Product_Dim!B:B,"Not Found")</f>
        <v>Hair Strengthening Shampoo</v>
      </c>
      <c r="Q1735" s="8" t="str">
        <f t="array" ref="Q1735">XLOOKUP(D1735,Product_Dim!A:A,Product_Dim!C:C,"Not Found")</f>
        <v>Beauty</v>
      </c>
      <c r="R1735" s="8" t="str">
        <f t="array" ref="R1735">XLOOKUP(E1735,Store_Dim!A:A,Store_Dim!B:B,"Not Found")</f>
        <v>South</v>
      </c>
      <c r="S1735" s="8" t="str">
        <f t="array" ref="S1735">XLOOKUP(E1735,Store_Dim!A:A,Store_Dim!D:D,"Not Found")</f>
        <v>Flagship</v>
      </c>
    </row>
    <row r="1736" ht="14.25" customHeight="1">
      <c r="A1736" s="8" t="s">
        <v>3689</v>
      </c>
      <c r="B1736" s="12">
        <v>47214.0</v>
      </c>
      <c r="C1736" s="8" t="s">
        <v>672</v>
      </c>
      <c r="D1736" s="8" t="s">
        <v>1693</v>
      </c>
      <c r="E1736" s="8" t="s">
        <v>1931</v>
      </c>
      <c r="F1736" s="8">
        <v>2.0</v>
      </c>
      <c r="G1736" s="8">
        <v>208.09</v>
      </c>
      <c r="H1736" s="8">
        <v>0.27</v>
      </c>
      <c r="I1736" s="8">
        <f t="shared" si="1"/>
        <v>416.18</v>
      </c>
      <c r="J1736" s="8">
        <f t="shared" si="2"/>
        <v>-112.0986</v>
      </c>
      <c r="K1736" s="8" t="str">
        <f t="shared" si="3"/>
        <v>Apr</v>
      </c>
      <c r="L1736" s="8">
        <f t="shared" si="4"/>
        <v>2029</v>
      </c>
      <c r="N1736" s="8" t="str">
        <f t="array" ref="N1736">XLOOKUP(C1736,Customer_Dim!A:A,Customer_Dim!B:B,"Not Found")</f>
        <v>Christina Garcia</v>
      </c>
      <c r="O1736" s="8" t="str">
        <f t="array" ref="O1736">XLOOKUP(C1736,Customer_Dim!A:A,Customer_Dim!E:E,"Not Found")</f>
        <v>Clarkeside</v>
      </c>
      <c r="P1736" s="8" t="str">
        <f t="array" ref="P1736">XLOOKUP(D1736,Product_Dim!A:A,Product_Dim!B:B,"Not Found")</f>
        <v>Women's Summer Dress</v>
      </c>
      <c r="Q1736" s="8" t="str">
        <f t="array" ref="Q1736">XLOOKUP(D1736,Product_Dim!A:A,Product_Dim!C:C,"Not Found")</f>
        <v>Clothing</v>
      </c>
      <c r="R1736" s="8" t="str">
        <f t="array" ref="R1736">XLOOKUP(E1736,Store_Dim!A:A,Store_Dim!B:B,"Not Found")</f>
        <v>East</v>
      </c>
      <c r="S1736" s="8" t="str">
        <f t="array" ref="S1736">XLOOKUP(E1736,Store_Dim!A:A,Store_Dim!D:D,"Not Found")</f>
        <v>Flagship</v>
      </c>
    </row>
    <row r="1737" ht="14.25" customHeight="1">
      <c r="A1737" s="8" t="s">
        <v>3690</v>
      </c>
      <c r="B1737" s="12">
        <v>47215.0</v>
      </c>
      <c r="C1737" s="8" t="s">
        <v>215</v>
      </c>
      <c r="D1737" s="8" t="s">
        <v>1869</v>
      </c>
      <c r="E1737" s="8" t="s">
        <v>1937</v>
      </c>
      <c r="F1737" s="8">
        <v>4.0</v>
      </c>
      <c r="G1737" s="8">
        <v>825.78</v>
      </c>
      <c r="H1737" s="8">
        <v>0.02</v>
      </c>
      <c r="I1737" s="8">
        <f t="shared" si="1"/>
        <v>3303.12</v>
      </c>
      <c r="J1737" s="8">
        <f t="shared" si="2"/>
        <v>-66.0424</v>
      </c>
      <c r="K1737" s="8" t="str">
        <f t="shared" si="3"/>
        <v>Apr</v>
      </c>
      <c r="L1737" s="8">
        <f t="shared" si="4"/>
        <v>2029</v>
      </c>
      <c r="N1737" s="8" t="str">
        <f t="array" ref="N1737">XLOOKUP(C1737,Customer_Dim!A:A,Customer_Dim!B:B,"Not Found")</f>
        <v>Katherine Dorsey</v>
      </c>
      <c r="O1737" s="8" t="str">
        <f t="array" ref="O1737">XLOOKUP(C1737,Customer_Dim!A:A,Customer_Dim!E:E,"Not Found")</f>
        <v>Christopherland</v>
      </c>
      <c r="P1737" s="8" t="str">
        <f t="array" ref="P1737">XLOOKUP(D1737,Product_Dim!A:A,Product_Dim!B:B,"Not Found")</f>
        <v>USB-C Laptop Charger</v>
      </c>
      <c r="Q1737" s="8" t="str">
        <f t="array" ref="Q1737">XLOOKUP(D1737,Product_Dim!A:A,Product_Dim!C:C,"Not Found")</f>
        <v>Electronics</v>
      </c>
      <c r="R1737" s="8" t="str">
        <f t="array" ref="R1737">XLOOKUP(E1737,Store_Dim!A:A,Store_Dim!B:B,"Not Found")</f>
        <v>North</v>
      </c>
      <c r="S1737" s="8" t="str">
        <f t="array" ref="S1737">XLOOKUP(E1737,Store_Dim!A:A,Store_Dim!D:D,"Not Found")</f>
        <v>Flagship</v>
      </c>
    </row>
    <row r="1738" ht="14.25" customHeight="1">
      <c r="A1738" s="8" t="s">
        <v>3691</v>
      </c>
      <c r="B1738" s="12">
        <v>47216.0</v>
      </c>
      <c r="C1738" s="8" t="s">
        <v>415</v>
      </c>
      <c r="D1738" s="8" t="s">
        <v>1659</v>
      </c>
      <c r="E1738" s="8" t="s">
        <v>1937</v>
      </c>
      <c r="F1738" s="8">
        <v>3.0</v>
      </c>
      <c r="G1738" s="8">
        <v>849.77</v>
      </c>
      <c r="H1738" s="8">
        <v>0.12</v>
      </c>
      <c r="I1738" s="8">
        <f t="shared" si="1"/>
        <v>2549.31</v>
      </c>
      <c r="J1738" s="8">
        <f t="shared" si="2"/>
        <v>-305.7972</v>
      </c>
      <c r="K1738" s="8" t="str">
        <f t="shared" si="3"/>
        <v>Apr</v>
      </c>
      <c r="L1738" s="8">
        <f t="shared" si="4"/>
        <v>2029</v>
      </c>
      <c r="N1738" s="8" t="str">
        <f t="array" ref="N1738">XLOOKUP(C1738,Customer_Dim!A:A,Customer_Dim!B:B,"Not Found")</f>
        <v>Anthony Phillips</v>
      </c>
      <c r="O1738" s="8" t="str">
        <f t="array" ref="O1738">XLOOKUP(C1738,Customer_Dim!A:A,Customer_Dim!E:E,"Not Found")</f>
        <v>North Davidport</v>
      </c>
      <c r="P1738" s="8" t="str">
        <f t="array" ref="P1738">XLOOKUP(D1738,Product_Dim!A:A,Product_Dim!B:B,"Not Found")</f>
        <v>Women's Scarf Set</v>
      </c>
      <c r="Q1738" s="8" t="str">
        <f t="array" ref="Q1738">XLOOKUP(D1738,Product_Dim!A:A,Product_Dim!C:C,"Not Found")</f>
        <v>Clothing</v>
      </c>
      <c r="R1738" s="8" t="str">
        <f t="array" ref="R1738">XLOOKUP(E1738,Store_Dim!A:A,Store_Dim!B:B,"Not Found")</f>
        <v>North</v>
      </c>
      <c r="S1738" s="8" t="str">
        <f t="array" ref="S1738">XLOOKUP(E1738,Store_Dim!A:A,Store_Dim!D:D,"Not Found")</f>
        <v>Flagship</v>
      </c>
    </row>
    <row r="1739" ht="14.25" customHeight="1">
      <c r="A1739" s="8" t="s">
        <v>3692</v>
      </c>
      <c r="B1739" s="12">
        <v>47217.0</v>
      </c>
      <c r="C1739" s="8" t="s">
        <v>1095</v>
      </c>
      <c r="D1739" s="8" t="s">
        <v>1769</v>
      </c>
      <c r="E1739" s="8" t="s">
        <v>1912</v>
      </c>
      <c r="F1739" s="8">
        <v>1.0</v>
      </c>
      <c r="G1739" s="8">
        <v>88.78</v>
      </c>
      <c r="H1739" s="8">
        <v>0.18</v>
      </c>
      <c r="I1739" s="8">
        <f t="shared" si="1"/>
        <v>88.78</v>
      </c>
      <c r="J1739" s="8">
        <f t="shared" si="2"/>
        <v>-15.8004</v>
      </c>
      <c r="K1739" s="8" t="str">
        <f t="shared" si="3"/>
        <v>Apr</v>
      </c>
      <c r="L1739" s="8">
        <f t="shared" si="4"/>
        <v>2029</v>
      </c>
      <c r="N1739" s="8" t="str">
        <f t="array" ref="N1739">XLOOKUP(C1739,Customer_Dim!A:A,Customer_Dim!B:B,"Not Found")</f>
        <v>Evelyn Brown</v>
      </c>
      <c r="O1739" s="8" t="str">
        <f t="array" ref="O1739">XLOOKUP(C1739,Customer_Dim!A:A,Customer_Dim!E:E,"Not Found")</f>
        <v>West Victoriaborough</v>
      </c>
      <c r="P1739" s="8" t="str">
        <f t="array" ref="P1739">XLOOKUP(D1739,Product_Dim!A:A,Product_Dim!B:B,"Not Found")</f>
        <v>Luxury Perfume Spray</v>
      </c>
      <c r="Q1739" s="8" t="str">
        <f t="array" ref="Q1739">XLOOKUP(D1739,Product_Dim!A:A,Product_Dim!C:C,"Not Found")</f>
        <v>Beauty</v>
      </c>
      <c r="R1739" s="8" t="str">
        <f t="array" ref="R1739">XLOOKUP(E1739,Store_Dim!A:A,Store_Dim!B:B,"Not Found")</f>
        <v>South</v>
      </c>
      <c r="S1739" s="8" t="str">
        <f t="array" ref="S1739">XLOOKUP(E1739,Store_Dim!A:A,Store_Dim!D:D,"Not Found")</f>
        <v>Online</v>
      </c>
    </row>
    <row r="1740" ht="14.25" customHeight="1">
      <c r="A1740" s="8" t="s">
        <v>3693</v>
      </c>
      <c r="B1740" s="12">
        <v>47218.0</v>
      </c>
      <c r="C1740" s="8" t="s">
        <v>640</v>
      </c>
      <c r="D1740" s="8" t="s">
        <v>1824</v>
      </c>
      <c r="E1740" s="8" t="s">
        <v>1912</v>
      </c>
      <c r="F1740" s="8">
        <v>4.0</v>
      </c>
      <c r="G1740" s="8">
        <v>507.22</v>
      </c>
      <c r="H1740" s="8">
        <v>0.14</v>
      </c>
      <c r="I1740" s="8">
        <f t="shared" si="1"/>
        <v>2028.88</v>
      </c>
      <c r="J1740" s="8">
        <f t="shared" si="2"/>
        <v>-283.9032</v>
      </c>
      <c r="K1740" s="8" t="str">
        <f t="shared" si="3"/>
        <v>Apr</v>
      </c>
      <c r="L1740" s="8">
        <f t="shared" si="4"/>
        <v>2029</v>
      </c>
      <c r="N1740" s="8" t="str">
        <f t="array" ref="N1740">XLOOKUP(C1740,Customer_Dim!A:A,Customer_Dim!B:B,"Not Found")</f>
        <v>Todd Poole</v>
      </c>
      <c r="O1740" s="8" t="str">
        <f t="array" ref="O1740">XLOOKUP(C1740,Customer_Dim!A:A,Customer_Dim!E:E,"Not Found")</f>
        <v>Johnsonshire</v>
      </c>
      <c r="P1740" s="8" t="str">
        <f t="array" ref="P1740">XLOOKUP(D1740,Product_Dim!A:A,Product_Dim!B:B,"Not Found")</f>
        <v>Essential Oil Diffuser</v>
      </c>
      <c r="Q1740" s="8" t="str">
        <f t="array" ref="Q1740">XLOOKUP(D1740,Product_Dim!A:A,Product_Dim!C:C,"Not Found")</f>
        <v>Home</v>
      </c>
      <c r="R1740" s="8" t="str">
        <f t="array" ref="R1740">XLOOKUP(E1740,Store_Dim!A:A,Store_Dim!B:B,"Not Found")</f>
        <v>South</v>
      </c>
      <c r="S1740" s="8" t="str">
        <f t="array" ref="S1740">XLOOKUP(E1740,Store_Dim!A:A,Store_Dim!D:D,"Not Found")</f>
        <v>Online</v>
      </c>
    </row>
    <row r="1741" ht="14.25" customHeight="1">
      <c r="A1741" s="8" t="s">
        <v>3694</v>
      </c>
      <c r="B1741" s="12">
        <v>47219.0</v>
      </c>
      <c r="C1741" s="8" t="s">
        <v>1011</v>
      </c>
      <c r="D1741" s="8" t="s">
        <v>1878</v>
      </c>
      <c r="E1741" s="8" t="s">
        <v>1899</v>
      </c>
      <c r="F1741" s="8">
        <v>3.0</v>
      </c>
      <c r="G1741" s="8">
        <v>330.98</v>
      </c>
      <c r="H1741" s="8">
        <v>0.11</v>
      </c>
      <c r="I1741" s="8">
        <f t="shared" si="1"/>
        <v>992.94</v>
      </c>
      <c r="J1741" s="8">
        <f t="shared" si="2"/>
        <v>-109.1134</v>
      </c>
      <c r="K1741" s="8" t="str">
        <f t="shared" si="3"/>
        <v>Apr</v>
      </c>
      <c r="L1741" s="8">
        <f t="shared" si="4"/>
        <v>2029</v>
      </c>
      <c r="N1741" s="8" t="str">
        <f t="array" ref="N1741">XLOOKUP(C1741,Customer_Dim!A:A,Customer_Dim!B:B,"Not Found")</f>
        <v>Robert House</v>
      </c>
      <c r="O1741" s="8" t="str">
        <f t="array" ref="O1741">XLOOKUP(C1741,Customer_Dim!A:A,Customer_Dim!E:E,"Not Found")</f>
        <v>Lake James</v>
      </c>
      <c r="P1741" s="8" t="str">
        <f t="array" ref="P1741">XLOOKUP(D1741,Product_Dim!A:A,Product_Dim!B:B,"Not Found")</f>
        <v>Women's Formal Blazer</v>
      </c>
      <c r="Q1741" s="8" t="str">
        <f t="array" ref="Q1741">XLOOKUP(D1741,Product_Dim!A:A,Product_Dim!C:C,"Not Found")</f>
        <v>Clothing</v>
      </c>
      <c r="R1741" s="8" t="str">
        <f t="array" ref="R1741">XLOOKUP(E1741,Store_Dim!A:A,Store_Dim!B:B,"Not Found")</f>
        <v>East</v>
      </c>
      <c r="S1741" s="8" t="str">
        <f t="array" ref="S1741">XLOOKUP(E1741,Store_Dim!A:A,Store_Dim!D:D,"Not Found")</f>
        <v>Flagship</v>
      </c>
    </row>
    <row r="1742" ht="14.25" customHeight="1">
      <c r="A1742" s="8" t="s">
        <v>3695</v>
      </c>
      <c r="B1742" s="12">
        <v>47220.0</v>
      </c>
      <c r="C1742" s="8" t="s">
        <v>205</v>
      </c>
      <c r="D1742" s="8" t="s">
        <v>1696</v>
      </c>
      <c r="E1742" s="8" t="s">
        <v>1941</v>
      </c>
      <c r="F1742" s="8">
        <v>4.0</v>
      </c>
      <c r="G1742" s="8">
        <v>442.87</v>
      </c>
      <c r="H1742" s="8">
        <v>0.08</v>
      </c>
      <c r="I1742" s="8">
        <f t="shared" si="1"/>
        <v>1771.48</v>
      </c>
      <c r="J1742" s="8">
        <f t="shared" si="2"/>
        <v>-141.6384</v>
      </c>
      <c r="K1742" s="8" t="str">
        <f t="shared" si="3"/>
        <v>Apr</v>
      </c>
      <c r="L1742" s="8">
        <f t="shared" si="4"/>
        <v>2029</v>
      </c>
      <c r="N1742" s="8" t="str">
        <f t="array" ref="N1742">XLOOKUP(C1742,Customer_Dim!A:A,Customer_Dim!B:B,"Not Found")</f>
        <v>Sarah Rodgers</v>
      </c>
      <c r="O1742" s="8" t="str">
        <f t="array" ref="O1742">XLOOKUP(C1742,Customer_Dim!A:A,Customer_Dim!E:E,"Not Found")</f>
        <v>New Julia</v>
      </c>
      <c r="P1742" s="8" t="str">
        <f t="array" ref="P1742">XLOOKUP(D1742,Product_Dim!A:A,Product_Dim!B:B,"Not Found")</f>
        <v>Men's Casual Sneakers</v>
      </c>
      <c r="Q1742" s="8" t="str">
        <f t="array" ref="Q1742">XLOOKUP(D1742,Product_Dim!A:A,Product_Dim!C:C,"Not Found")</f>
        <v>Clothing</v>
      </c>
      <c r="R1742" s="8" t="str">
        <f t="array" ref="R1742">XLOOKUP(E1742,Store_Dim!A:A,Store_Dim!B:B,"Not Found")</f>
        <v>East</v>
      </c>
      <c r="S1742" s="8" t="str">
        <f t="array" ref="S1742">XLOOKUP(E1742,Store_Dim!A:A,Store_Dim!D:D,"Not Found")</f>
        <v>Online</v>
      </c>
    </row>
    <row r="1743" ht="14.25" customHeight="1">
      <c r="A1743" s="8" t="s">
        <v>3696</v>
      </c>
      <c r="B1743" s="12">
        <v>47221.0</v>
      </c>
      <c r="C1743" s="8" t="s">
        <v>57</v>
      </c>
      <c r="D1743" s="8" t="s">
        <v>1878</v>
      </c>
      <c r="E1743" s="8" t="s">
        <v>1906</v>
      </c>
      <c r="F1743" s="8">
        <v>2.0</v>
      </c>
      <c r="G1743" s="8">
        <v>939.66</v>
      </c>
      <c r="H1743" s="8">
        <v>0.14</v>
      </c>
      <c r="I1743" s="8">
        <f t="shared" si="1"/>
        <v>1879.32</v>
      </c>
      <c r="J1743" s="8">
        <f t="shared" si="2"/>
        <v>-262.9648</v>
      </c>
      <c r="K1743" s="8" t="str">
        <f t="shared" si="3"/>
        <v>Apr</v>
      </c>
      <c r="L1743" s="8">
        <f t="shared" si="4"/>
        <v>2029</v>
      </c>
      <c r="N1743" s="8" t="str">
        <f t="array" ref="N1743">XLOOKUP(C1743,Customer_Dim!A:A,Customer_Dim!B:B,"Not Found")</f>
        <v>Ms. Maria Leach</v>
      </c>
      <c r="O1743" s="8" t="str">
        <f t="array" ref="O1743">XLOOKUP(C1743,Customer_Dim!A:A,Customer_Dim!E:E,"Not Found")</f>
        <v>Melissashire</v>
      </c>
      <c r="P1743" s="8" t="str">
        <f t="array" ref="P1743">XLOOKUP(D1743,Product_Dim!A:A,Product_Dim!B:B,"Not Found")</f>
        <v>Women's Formal Blazer</v>
      </c>
      <c r="Q1743" s="8" t="str">
        <f t="array" ref="Q1743">XLOOKUP(D1743,Product_Dim!A:A,Product_Dim!C:C,"Not Found")</f>
        <v>Clothing</v>
      </c>
      <c r="R1743" s="8" t="str">
        <f t="array" ref="R1743">XLOOKUP(E1743,Store_Dim!A:A,Store_Dim!B:B,"Not Found")</f>
        <v>South</v>
      </c>
      <c r="S1743" s="8" t="str">
        <f t="array" ref="S1743">XLOOKUP(E1743,Store_Dim!A:A,Store_Dim!D:D,"Not Found")</f>
        <v>Outlet</v>
      </c>
    </row>
    <row r="1744" ht="14.25" customHeight="1">
      <c r="A1744" s="8" t="s">
        <v>3697</v>
      </c>
      <c r="B1744" s="12">
        <v>47222.0</v>
      </c>
      <c r="C1744" s="8" t="s">
        <v>944</v>
      </c>
      <c r="D1744" s="8" t="s">
        <v>1809</v>
      </c>
      <c r="E1744" s="8" t="s">
        <v>1910</v>
      </c>
      <c r="F1744" s="8">
        <v>1.0</v>
      </c>
      <c r="G1744" s="8">
        <v>24.13</v>
      </c>
      <c r="H1744" s="8">
        <v>0.0</v>
      </c>
      <c r="I1744" s="8">
        <f t="shared" si="1"/>
        <v>24.13</v>
      </c>
      <c r="J1744" s="8">
        <f t="shared" si="2"/>
        <v>0</v>
      </c>
      <c r="K1744" s="8" t="str">
        <f t="shared" si="3"/>
        <v>Apr</v>
      </c>
      <c r="L1744" s="8">
        <f t="shared" si="4"/>
        <v>2029</v>
      </c>
      <c r="N1744" s="8" t="str">
        <f t="array" ref="N1744">XLOOKUP(C1744,Customer_Dim!A:A,Customer_Dim!B:B,"Not Found")</f>
        <v>Gloria Taylor</v>
      </c>
      <c r="O1744" s="8" t="str">
        <f t="array" ref="O1744">XLOOKUP(C1744,Customer_Dim!A:A,Customer_Dim!E:E,"Not Found")</f>
        <v>North Daniel</v>
      </c>
      <c r="P1744" s="8" t="str">
        <f t="array" ref="P1744">XLOOKUP(D1744,Product_Dim!A:A,Product_Dim!B:B,"Not Found")</f>
        <v>Shin Guards – Adult</v>
      </c>
      <c r="Q1744" s="8" t="str">
        <f t="array" ref="Q1744">XLOOKUP(D1744,Product_Dim!A:A,Product_Dim!C:C,"Not Found")</f>
        <v>Sports</v>
      </c>
      <c r="R1744" s="8" t="str">
        <f t="array" ref="R1744">XLOOKUP(E1744,Store_Dim!A:A,Store_Dim!B:B,"Not Found")</f>
        <v>North</v>
      </c>
      <c r="S1744" s="8" t="str">
        <f t="array" ref="S1744">XLOOKUP(E1744,Store_Dim!A:A,Store_Dim!D:D,"Not Found")</f>
        <v>Outlet</v>
      </c>
    </row>
    <row r="1745" ht="14.25" customHeight="1">
      <c r="A1745" s="8" t="s">
        <v>3698</v>
      </c>
      <c r="B1745" s="12">
        <v>47223.0</v>
      </c>
      <c r="C1745" s="8" t="s">
        <v>1155</v>
      </c>
      <c r="D1745" s="8" t="s">
        <v>1710</v>
      </c>
      <c r="E1745" s="8" t="s">
        <v>1910</v>
      </c>
      <c r="F1745" s="8">
        <v>3.0</v>
      </c>
      <c r="G1745" s="8">
        <v>239.54</v>
      </c>
      <c r="H1745" s="8">
        <v>0.29</v>
      </c>
      <c r="I1745" s="8">
        <f t="shared" si="1"/>
        <v>718.62</v>
      </c>
      <c r="J1745" s="8">
        <f t="shared" si="2"/>
        <v>-208.1098</v>
      </c>
      <c r="K1745" s="8" t="str">
        <f t="shared" si="3"/>
        <v>Apr</v>
      </c>
      <c r="L1745" s="8">
        <f t="shared" si="4"/>
        <v>2029</v>
      </c>
      <c r="N1745" s="8" t="str">
        <f t="array" ref="N1745">XLOOKUP(C1745,Customer_Dim!A:A,Customer_Dim!B:B,"Not Found")</f>
        <v>Chloe Aguilar</v>
      </c>
      <c r="O1745" s="8" t="str">
        <f t="array" ref="O1745">XLOOKUP(C1745,Customer_Dim!A:A,Customer_Dim!E:E,"Not Found")</f>
        <v>Lake Johnside</v>
      </c>
      <c r="P1745" s="8" t="str">
        <f t="array" ref="P1745">XLOOKUP(D1745,Product_Dim!A:A,Product_Dim!B:B,"Not Found")</f>
        <v>Yoga Exercise Mat</v>
      </c>
      <c r="Q1745" s="8" t="str">
        <f t="array" ref="Q1745">XLOOKUP(D1745,Product_Dim!A:A,Product_Dim!C:C,"Not Found")</f>
        <v>Sports</v>
      </c>
      <c r="R1745" s="8" t="str">
        <f t="array" ref="R1745">XLOOKUP(E1745,Store_Dim!A:A,Store_Dim!B:B,"Not Found")</f>
        <v>North</v>
      </c>
      <c r="S1745" s="8" t="str">
        <f t="array" ref="S1745">XLOOKUP(E1745,Store_Dim!A:A,Store_Dim!D:D,"Not Found")</f>
        <v>Outlet</v>
      </c>
    </row>
    <row r="1746" ht="14.25" customHeight="1">
      <c r="A1746" s="8" t="s">
        <v>3699</v>
      </c>
      <c r="B1746" s="12">
        <v>47224.0</v>
      </c>
      <c r="C1746" s="8" t="s">
        <v>1500</v>
      </c>
      <c r="D1746" s="8" t="s">
        <v>1725</v>
      </c>
      <c r="E1746" s="8" t="s">
        <v>1932</v>
      </c>
      <c r="F1746" s="8">
        <v>1.0</v>
      </c>
      <c r="G1746" s="8">
        <v>588.53</v>
      </c>
      <c r="H1746" s="8">
        <v>0.1</v>
      </c>
      <c r="I1746" s="8">
        <f t="shared" si="1"/>
        <v>588.53</v>
      </c>
      <c r="J1746" s="8">
        <f t="shared" si="2"/>
        <v>-58.753</v>
      </c>
      <c r="K1746" s="8" t="str">
        <f t="shared" si="3"/>
        <v>Apr</v>
      </c>
      <c r="L1746" s="8">
        <f t="shared" si="4"/>
        <v>2029</v>
      </c>
      <c r="N1746" s="8" t="str">
        <f t="array" ref="N1746">XLOOKUP(C1746,Customer_Dim!A:A,Customer_Dim!B:B,"Not Found")</f>
        <v>Sheri Joyce</v>
      </c>
      <c r="O1746" s="8" t="str">
        <f t="array" ref="O1746">XLOOKUP(C1746,Customer_Dim!A:A,Customer_Dim!E:E,"Not Found")</f>
        <v>West Tylerfort</v>
      </c>
      <c r="P1746" s="8" t="str">
        <f t="array" ref="P1746">XLOOKUP(D1746,Product_Dim!A:A,Product_Dim!B:B,"Not Found")</f>
        <v>Men's Winter Jacket</v>
      </c>
      <c r="Q1746" s="8" t="str">
        <f t="array" ref="Q1746">XLOOKUP(D1746,Product_Dim!A:A,Product_Dim!C:C,"Not Found")</f>
        <v>Clothing</v>
      </c>
      <c r="R1746" s="8" t="str">
        <f t="array" ref="R1746">XLOOKUP(E1746,Store_Dim!A:A,Store_Dim!B:B,"Not Found")</f>
        <v>South</v>
      </c>
      <c r="S1746" s="8" t="str">
        <f t="array" ref="S1746">XLOOKUP(E1746,Store_Dim!A:A,Store_Dim!D:D,"Not Found")</f>
        <v>Outlet</v>
      </c>
    </row>
    <row r="1747" ht="14.25" customHeight="1">
      <c r="A1747" s="8" t="s">
        <v>3700</v>
      </c>
      <c r="B1747" s="12">
        <v>47225.0</v>
      </c>
      <c r="C1747" s="8" t="s">
        <v>929</v>
      </c>
      <c r="D1747" s="8" t="s">
        <v>1769</v>
      </c>
      <c r="E1747" s="8" t="s">
        <v>1933</v>
      </c>
      <c r="F1747" s="8">
        <v>1.0</v>
      </c>
      <c r="G1747" s="8">
        <v>145.96</v>
      </c>
      <c r="H1747" s="8">
        <v>0.3</v>
      </c>
      <c r="I1747" s="8">
        <f t="shared" si="1"/>
        <v>145.96</v>
      </c>
      <c r="J1747" s="8">
        <f t="shared" si="2"/>
        <v>-43.488</v>
      </c>
      <c r="K1747" s="8" t="str">
        <f t="shared" si="3"/>
        <v>Apr</v>
      </c>
      <c r="L1747" s="8">
        <f t="shared" si="4"/>
        <v>2029</v>
      </c>
      <c r="N1747" s="8" t="str">
        <f t="array" ref="N1747">XLOOKUP(C1747,Customer_Dim!A:A,Customer_Dim!B:B,"Not Found")</f>
        <v>Misty Ferguson</v>
      </c>
      <c r="O1747" s="8" t="str">
        <f t="array" ref="O1747">XLOOKUP(C1747,Customer_Dim!A:A,Customer_Dim!E:E,"Not Found")</f>
        <v>North Joseside</v>
      </c>
      <c r="P1747" s="8" t="str">
        <f t="array" ref="P1747">XLOOKUP(D1747,Product_Dim!A:A,Product_Dim!B:B,"Not Found")</f>
        <v>Luxury Perfume Spray</v>
      </c>
      <c r="Q1747" s="8" t="str">
        <f t="array" ref="Q1747">XLOOKUP(D1747,Product_Dim!A:A,Product_Dim!C:C,"Not Found")</f>
        <v>Beauty</v>
      </c>
      <c r="R1747" s="8" t="str">
        <f t="array" ref="R1747">XLOOKUP(E1747,Store_Dim!A:A,Store_Dim!B:B,"Not Found")</f>
        <v>North</v>
      </c>
      <c r="S1747" s="8" t="str">
        <f t="array" ref="S1747">XLOOKUP(E1747,Store_Dim!A:A,Store_Dim!D:D,"Not Found")</f>
        <v>Flagship</v>
      </c>
    </row>
    <row r="1748" ht="14.25" customHeight="1">
      <c r="A1748" s="8" t="s">
        <v>3701</v>
      </c>
      <c r="B1748" s="12">
        <v>47226.0</v>
      </c>
      <c r="C1748" s="8" t="s">
        <v>370</v>
      </c>
      <c r="D1748" s="8" t="s">
        <v>1800</v>
      </c>
      <c r="E1748" s="8" t="s">
        <v>1912</v>
      </c>
      <c r="F1748" s="8">
        <v>4.0</v>
      </c>
      <c r="G1748" s="8">
        <v>640.91</v>
      </c>
      <c r="H1748" s="8">
        <v>0.06</v>
      </c>
      <c r="I1748" s="8">
        <f t="shared" si="1"/>
        <v>2563.64</v>
      </c>
      <c r="J1748" s="8">
        <f t="shared" si="2"/>
        <v>-153.7584</v>
      </c>
      <c r="K1748" s="8" t="str">
        <f t="shared" si="3"/>
        <v>Apr</v>
      </c>
      <c r="L1748" s="8">
        <f t="shared" si="4"/>
        <v>2029</v>
      </c>
      <c r="N1748" s="8" t="str">
        <f t="array" ref="N1748">XLOOKUP(C1748,Customer_Dim!A:A,Customer_Dim!B:B,"Not Found")</f>
        <v>Colleen Maynard</v>
      </c>
      <c r="O1748" s="8" t="str">
        <f t="array" ref="O1748">XLOOKUP(C1748,Customer_Dim!A:A,Customer_Dim!E:E,"Not Found")</f>
        <v>Singletonmouth</v>
      </c>
      <c r="P1748" s="8" t="str">
        <f t="array" ref="P1748">XLOOKUP(D1748,Product_Dim!A:A,Product_Dim!B:B,"Not Found")</f>
        <v>Kitchen Storage Rack</v>
      </c>
      <c r="Q1748" s="8" t="str">
        <f t="array" ref="Q1748">XLOOKUP(D1748,Product_Dim!A:A,Product_Dim!C:C,"Not Found")</f>
        <v>Home</v>
      </c>
      <c r="R1748" s="8" t="str">
        <f t="array" ref="R1748">XLOOKUP(E1748,Store_Dim!A:A,Store_Dim!B:B,"Not Found")</f>
        <v>South</v>
      </c>
      <c r="S1748" s="8" t="str">
        <f t="array" ref="S1748">XLOOKUP(E1748,Store_Dim!A:A,Store_Dim!D:D,"Not Found")</f>
        <v>Online</v>
      </c>
    </row>
    <row r="1749" ht="14.25" customHeight="1">
      <c r="A1749" s="8" t="s">
        <v>3702</v>
      </c>
      <c r="B1749" s="12">
        <v>47227.0</v>
      </c>
      <c r="C1749" s="8" t="s">
        <v>174</v>
      </c>
      <c r="D1749" s="8" t="s">
        <v>1781</v>
      </c>
      <c r="E1749" s="8" t="s">
        <v>1928</v>
      </c>
      <c r="F1749" s="8">
        <v>3.0</v>
      </c>
      <c r="G1749" s="8">
        <v>773.86</v>
      </c>
      <c r="H1749" s="8">
        <v>0.22</v>
      </c>
      <c r="I1749" s="8">
        <f t="shared" si="1"/>
        <v>2321.58</v>
      </c>
      <c r="J1749" s="8">
        <f t="shared" si="2"/>
        <v>-510.5276</v>
      </c>
      <c r="K1749" s="8" t="str">
        <f t="shared" si="3"/>
        <v>Apr</v>
      </c>
      <c r="L1749" s="8">
        <f t="shared" si="4"/>
        <v>2029</v>
      </c>
      <c r="N1749" s="8" t="str">
        <f t="array" ref="N1749">XLOOKUP(C1749,Customer_Dim!A:A,Customer_Dim!B:B,"Not Found")</f>
        <v>William Martin</v>
      </c>
      <c r="O1749" s="8" t="str">
        <f t="array" ref="O1749">XLOOKUP(C1749,Customer_Dim!A:A,Customer_Dim!E:E,"Not Found")</f>
        <v>Ryanburgh</v>
      </c>
      <c r="P1749" s="8" t="str">
        <f t="array" ref="P1749">XLOOKUP(D1749,Product_Dim!A:A,Product_Dim!B:B,"Not Found")</f>
        <v>Matte Lipstick Set</v>
      </c>
      <c r="Q1749" s="8" t="str">
        <f t="array" ref="Q1749">XLOOKUP(D1749,Product_Dim!A:A,Product_Dim!C:C,"Not Found")</f>
        <v>Beauty</v>
      </c>
      <c r="R1749" s="8" t="str">
        <f t="array" ref="R1749">XLOOKUP(E1749,Store_Dim!A:A,Store_Dim!B:B,"Not Found")</f>
        <v>South</v>
      </c>
      <c r="S1749" s="8" t="str">
        <f t="array" ref="S1749">XLOOKUP(E1749,Store_Dim!A:A,Store_Dim!D:D,"Not Found")</f>
        <v>Online</v>
      </c>
    </row>
    <row r="1750" ht="14.25" customHeight="1">
      <c r="A1750" s="8" t="s">
        <v>3703</v>
      </c>
      <c r="B1750" s="12">
        <v>47228.0</v>
      </c>
      <c r="C1750" s="8" t="s">
        <v>1444</v>
      </c>
      <c r="D1750" s="8" t="s">
        <v>1677</v>
      </c>
      <c r="E1750" s="8" t="s">
        <v>1933</v>
      </c>
      <c r="F1750" s="8">
        <v>2.0</v>
      </c>
      <c r="G1750" s="8">
        <v>31.28</v>
      </c>
      <c r="H1750" s="8">
        <v>0.2</v>
      </c>
      <c r="I1750" s="8">
        <f t="shared" si="1"/>
        <v>62.56</v>
      </c>
      <c r="J1750" s="8">
        <f t="shared" si="2"/>
        <v>-12.312</v>
      </c>
      <c r="K1750" s="8" t="str">
        <f t="shared" si="3"/>
        <v>Apr</v>
      </c>
      <c r="L1750" s="8">
        <f t="shared" si="4"/>
        <v>2029</v>
      </c>
      <c r="N1750" s="8" t="str">
        <f t="array" ref="N1750">XLOOKUP(C1750,Customer_Dim!A:A,Customer_Dim!B:B,"Not Found")</f>
        <v>Samantha Lee</v>
      </c>
      <c r="O1750" s="8" t="str">
        <f t="array" ref="O1750">XLOOKUP(C1750,Customer_Dim!A:A,Customer_Dim!E:E,"Not Found")</f>
        <v>Port Anthony</v>
      </c>
      <c r="P1750" s="8" t="str">
        <f t="array" ref="P1750">XLOOKUP(D1750,Product_Dim!A:A,Product_Dim!B:B,"Not Found")</f>
        <v>Basketball</v>
      </c>
      <c r="Q1750" s="8" t="str">
        <f t="array" ref="Q1750">XLOOKUP(D1750,Product_Dim!A:A,Product_Dim!C:C,"Not Found")</f>
        <v>Sports</v>
      </c>
      <c r="R1750" s="8" t="str">
        <f t="array" ref="R1750">XLOOKUP(E1750,Store_Dim!A:A,Store_Dim!B:B,"Not Found")</f>
        <v>North</v>
      </c>
      <c r="S1750" s="8" t="str">
        <f t="array" ref="S1750">XLOOKUP(E1750,Store_Dim!A:A,Store_Dim!D:D,"Not Found")</f>
        <v>Flagship</v>
      </c>
    </row>
    <row r="1751" ht="14.25" customHeight="1">
      <c r="A1751" s="8" t="s">
        <v>3704</v>
      </c>
      <c r="B1751" s="12">
        <v>47229.0</v>
      </c>
      <c r="C1751" s="8" t="s">
        <v>1182</v>
      </c>
      <c r="D1751" s="8" t="s">
        <v>1836</v>
      </c>
      <c r="E1751" s="8" t="s">
        <v>1917</v>
      </c>
      <c r="F1751" s="8">
        <v>4.0</v>
      </c>
      <c r="G1751" s="8">
        <v>389.22</v>
      </c>
      <c r="H1751" s="8">
        <v>0.18</v>
      </c>
      <c r="I1751" s="8">
        <f t="shared" si="1"/>
        <v>1556.88</v>
      </c>
      <c r="J1751" s="8">
        <f t="shared" si="2"/>
        <v>-280.0584</v>
      </c>
      <c r="K1751" s="8" t="str">
        <f t="shared" si="3"/>
        <v>Apr</v>
      </c>
      <c r="L1751" s="8">
        <f t="shared" si="4"/>
        <v>2029</v>
      </c>
      <c r="N1751" s="8" t="str">
        <f t="array" ref="N1751">XLOOKUP(C1751,Customer_Dim!A:A,Customer_Dim!B:B,"Not Found")</f>
        <v>James Orozco</v>
      </c>
      <c r="O1751" s="8" t="str">
        <f t="array" ref="O1751">XLOOKUP(C1751,Customer_Dim!A:A,Customer_Dim!E:E,"Not Found")</f>
        <v>Simpsonfort</v>
      </c>
      <c r="P1751" s="8" t="str">
        <f t="array" ref="P1751">XLOOKUP(D1751,Product_Dim!A:A,Product_Dim!B:B,"Not Found")</f>
        <v>Fitness Resistance Bands</v>
      </c>
      <c r="Q1751" s="8" t="str">
        <f t="array" ref="Q1751">XLOOKUP(D1751,Product_Dim!A:A,Product_Dim!C:C,"Not Found")</f>
        <v>Sports</v>
      </c>
      <c r="R1751" s="8" t="str">
        <f t="array" ref="R1751">XLOOKUP(E1751,Store_Dim!A:A,Store_Dim!B:B,"Not Found")</f>
        <v>East</v>
      </c>
      <c r="S1751" s="8" t="str">
        <f t="array" ref="S1751">XLOOKUP(E1751,Store_Dim!A:A,Store_Dim!D:D,"Not Found")</f>
        <v>Online</v>
      </c>
    </row>
    <row r="1752" ht="14.25" customHeight="1">
      <c r="A1752" s="8" t="s">
        <v>3705</v>
      </c>
      <c r="B1752" s="12">
        <v>47230.0</v>
      </c>
      <c r="C1752" s="8" t="s">
        <v>80</v>
      </c>
      <c r="D1752" s="8" t="s">
        <v>1781</v>
      </c>
      <c r="E1752" s="8" t="s">
        <v>1933</v>
      </c>
      <c r="F1752" s="8">
        <v>3.0</v>
      </c>
      <c r="G1752" s="8">
        <v>543.44</v>
      </c>
      <c r="H1752" s="8">
        <v>0.13</v>
      </c>
      <c r="I1752" s="8">
        <f t="shared" si="1"/>
        <v>1630.32</v>
      </c>
      <c r="J1752" s="8">
        <f t="shared" si="2"/>
        <v>-211.8116</v>
      </c>
      <c r="K1752" s="8" t="str">
        <f t="shared" si="3"/>
        <v>Apr</v>
      </c>
      <c r="L1752" s="8">
        <f t="shared" si="4"/>
        <v>2029</v>
      </c>
      <c r="N1752" s="8" t="str">
        <f t="array" ref="N1752">XLOOKUP(C1752,Customer_Dim!A:A,Customer_Dim!B:B,"Not Found")</f>
        <v>Laura Alvarez</v>
      </c>
      <c r="O1752" s="8" t="str">
        <f t="array" ref="O1752">XLOOKUP(C1752,Customer_Dim!A:A,Customer_Dim!E:E,"Not Found")</f>
        <v>Lawsonhaven</v>
      </c>
      <c r="P1752" s="8" t="str">
        <f t="array" ref="P1752">XLOOKUP(D1752,Product_Dim!A:A,Product_Dim!B:B,"Not Found")</f>
        <v>Matte Lipstick Set</v>
      </c>
      <c r="Q1752" s="8" t="str">
        <f t="array" ref="Q1752">XLOOKUP(D1752,Product_Dim!A:A,Product_Dim!C:C,"Not Found")</f>
        <v>Beauty</v>
      </c>
      <c r="R1752" s="8" t="str">
        <f t="array" ref="R1752">XLOOKUP(E1752,Store_Dim!A:A,Store_Dim!B:B,"Not Found")</f>
        <v>North</v>
      </c>
      <c r="S1752" s="8" t="str">
        <f t="array" ref="S1752">XLOOKUP(E1752,Store_Dim!A:A,Store_Dim!D:D,"Not Found")</f>
        <v>Flagship</v>
      </c>
    </row>
    <row r="1753" ht="14.25" customHeight="1">
      <c r="A1753" s="8" t="s">
        <v>3706</v>
      </c>
      <c r="B1753" s="12">
        <v>47231.0</v>
      </c>
      <c r="C1753" s="8" t="s">
        <v>836</v>
      </c>
      <c r="D1753" s="8" t="s">
        <v>1881</v>
      </c>
      <c r="E1753" s="8" t="s">
        <v>1941</v>
      </c>
      <c r="F1753" s="8">
        <v>4.0</v>
      </c>
      <c r="G1753" s="8">
        <v>715.42</v>
      </c>
      <c r="H1753" s="8">
        <v>0.29</v>
      </c>
      <c r="I1753" s="8">
        <f t="shared" si="1"/>
        <v>2861.68</v>
      </c>
      <c r="J1753" s="8">
        <f t="shared" si="2"/>
        <v>-829.5972</v>
      </c>
      <c r="K1753" s="8" t="str">
        <f t="shared" si="3"/>
        <v>Apr</v>
      </c>
      <c r="L1753" s="8">
        <f t="shared" si="4"/>
        <v>2029</v>
      </c>
      <c r="N1753" s="8" t="str">
        <f t="array" ref="N1753">XLOOKUP(C1753,Customer_Dim!A:A,Customer_Dim!B:B,"Not Found")</f>
        <v>Christopher David</v>
      </c>
      <c r="O1753" s="8" t="str">
        <f t="array" ref="O1753">XLOOKUP(C1753,Customer_Dim!A:A,Customer_Dim!E:E,"Not Found")</f>
        <v>Karenmouth</v>
      </c>
      <c r="P1753" s="8" t="str">
        <f t="array" ref="P1753">XLOOKUP(D1753,Product_Dim!A:A,Product_Dim!B:B,"Not Found")</f>
        <v>Cricket Bat</v>
      </c>
      <c r="Q1753" s="8" t="str">
        <f t="array" ref="Q1753">XLOOKUP(D1753,Product_Dim!A:A,Product_Dim!C:C,"Not Found")</f>
        <v>Sports</v>
      </c>
      <c r="R1753" s="8" t="str">
        <f t="array" ref="R1753">XLOOKUP(E1753,Store_Dim!A:A,Store_Dim!B:B,"Not Found")</f>
        <v>East</v>
      </c>
      <c r="S1753" s="8" t="str">
        <f t="array" ref="S1753">XLOOKUP(E1753,Store_Dim!A:A,Store_Dim!D:D,"Not Found")</f>
        <v>Online</v>
      </c>
    </row>
    <row r="1754" ht="14.25" customHeight="1">
      <c r="A1754" s="8" t="s">
        <v>3707</v>
      </c>
      <c r="B1754" s="12">
        <v>47232.0</v>
      </c>
      <c r="C1754" s="8" t="s">
        <v>205</v>
      </c>
      <c r="D1754" s="8" t="s">
        <v>1613</v>
      </c>
      <c r="E1754" s="8" t="s">
        <v>1912</v>
      </c>
      <c r="F1754" s="8">
        <v>4.0</v>
      </c>
      <c r="G1754" s="8">
        <v>676.14</v>
      </c>
      <c r="H1754" s="8">
        <v>0.11</v>
      </c>
      <c r="I1754" s="8">
        <f t="shared" si="1"/>
        <v>2704.56</v>
      </c>
      <c r="J1754" s="8">
        <f t="shared" si="2"/>
        <v>-297.3916</v>
      </c>
      <c r="K1754" s="8" t="str">
        <f t="shared" si="3"/>
        <v>Apr</v>
      </c>
      <c r="L1754" s="8">
        <f t="shared" si="4"/>
        <v>2029</v>
      </c>
      <c r="N1754" s="8" t="str">
        <f t="array" ref="N1754">XLOOKUP(C1754,Customer_Dim!A:A,Customer_Dim!B:B,"Not Found")</f>
        <v>Sarah Rodgers</v>
      </c>
      <c r="O1754" s="8" t="str">
        <f t="array" ref="O1754">XLOOKUP(C1754,Customer_Dim!A:A,Customer_Dim!E:E,"Not Found")</f>
        <v>New Julia</v>
      </c>
      <c r="P1754" s="8" t="str">
        <f t="array" ref="P1754">XLOOKUP(D1754,Product_Dim!A:A,Product_Dim!B:B,"Not Found")</f>
        <v>Hair Strengthening Shampoo</v>
      </c>
      <c r="Q1754" s="8" t="str">
        <f t="array" ref="Q1754">XLOOKUP(D1754,Product_Dim!A:A,Product_Dim!C:C,"Not Found")</f>
        <v>Beauty</v>
      </c>
      <c r="R1754" s="8" t="str">
        <f t="array" ref="R1754">XLOOKUP(E1754,Store_Dim!A:A,Store_Dim!B:B,"Not Found")</f>
        <v>South</v>
      </c>
      <c r="S1754" s="8" t="str">
        <f t="array" ref="S1754">XLOOKUP(E1754,Store_Dim!A:A,Store_Dim!D:D,"Not Found")</f>
        <v>Online</v>
      </c>
    </row>
    <row r="1755" ht="14.25" customHeight="1">
      <c r="A1755" s="8" t="s">
        <v>3708</v>
      </c>
      <c r="B1755" s="12">
        <v>47233.0</v>
      </c>
      <c r="C1755" s="8" t="s">
        <v>331</v>
      </c>
      <c r="D1755" s="8" t="s">
        <v>1703</v>
      </c>
      <c r="E1755" s="8" t="s">
        <v>1903</v>
      </c>
      <c r="F1755" s="8">
        <v>4.0</v>
      </c>
      <c r="G1755" s="8">
        <v>352.72</v>
      </c>
      <c r="H1755" s="8">
        <v>0.25</v>
      </c>
      <c r="I1755" s="8">
        <f t="shared" si="1"/>
        <v>1410.88</v>
      </c>
      <c r="J1755" s="8">
        <f t="shared" si="2"/>
        <v>-352.47</v>
      </c>
      <c r="K1755" s="8" t="str">
        <f t="shared" si="3"/>
        <v>Apr</v>
      </c>
      <c r="L1755" s="8">
        <f t="shared" si="4"/>
        <v>2029</v>
      </c>
      <c r="N1755" s="8" t="str">
        <f t="array" ref="N1755">XLOOKUP(C1755,Customer_Dim!A:A,Customer_Dim!B:B,"Not Found")</f>
        <v>Jamie Yoder</v>
      </c>
      <c r="O1755" s="8" t="str">
        <f t="array" ref="O1755">XLOOKUP(C1755,Customer_Dim!A:A,Customer_Dim!E:E,"Not Found")</f>
        <v>New Gabrielleville</v>
      </c>
      <c r="P1755" s="8" t="str">
        <f t="array" ref="P1755">XLOOKUP(D1755,Product_Dim!A:A,Product_Dim!B:B,"Not Found")</f>
        <v>Portable Power Bank</v>
      </c>
      <c r="Q1755" s="8" t="str">
        <f t="array" ref="Q1755">XLOOKUP(D1755,Product_Dim!A:A,Product_Dim!C:C,"Not Found")</f>
        <v>Electronics</v>
      </c>
      <c r="R1755" s="8" t="str">
        <f t="array" ref="R1755">XLOOKUP(E1755,Store_Dim!A:A,Store_Dim!B:B,"Not Found")</f>
        <v>North</v>
      </c>
      <c r="S1755" s="8" t="str">
        <f t="array" ref="S1755">XLOOKUP(E1755,Store_Dim!A:A,Store_Dim!D:D,"Not Found")</f>
        <v>Flagship</v>
      </c>
    </row>
    <row r="1756" ht="14.25" customHeight="1">
      <c r="A1756" s="8" t="s">
        <v>3709</v>
      </c>
      <c r="B1756" s="12">
        <v>47234.0</v>
      </c>
      <c r="C1756" s="8" t="s">
        <v>586</v>
      </c>
      <c r="D1756" s="8" t="s">
        <v>1610</v>
      </c>
      <c r="E1756" s="8" t="s">
        <v>1929</v>
      </c>
      <c r="F1756" s="8">
        <v>1.0</v>
      </c>
      <c r="G1756" s="8">
        <v>470.18</v>
      </c>
      <c r="H1756" s="8">
        <v>0.19</v>
      </c>
      <c r="I1756" s="8">
        <f t="shared" si="1"/>
        <v>470.18</v>
      </c>
      <c r="J1756" s="8">
        <f t="shared" si="2"/>
        <v>-89.1442</v>
      </c>
      <c r="K1756" s="8" t="str">
        <f t="shared" si="3"/>
        <v>Apr</v>
      </c>
      <c r="L1756" s="8">
        <f t="shared" si="4"/>
        <v>2029</v>
      </c>
      <c r="N1756" s="8" t="str">
        <f t="array" ref="N1756">XLOOKUP(C1756,Customer_Dim!A:A,Customer_Dim!B:B,"Not Found")</f>
        <v>Teresa Stokes</v>
      </c>
      <c r="O1756" s="8" t="str">
        <f t="array" ref="O1756">XLOOKUP(C1756,Customer_Dim!A:A,Customer_Dim!E:E,"Not Found")</f>
        <v>New William</v>
      </c>
      <c r="P1756" s="8" t="str">
        <f t="array" ref="P1756">XLOOKUP(D1756,Product_Dim!A:A,Product_Dim!B:B,"Not Found")</f>
        <v>HD Smart TV Stick</v>
      </c>
      <c r="Q1756" s="8" t="str">
        <f t="array" ref="Q1756">XLOOKUP(D1756,Product_Dim!A:A,Product_Dim!C:C,"Not Found")</f>
        <v>Electronics</v>
      </c>
      <c r="R1756" s="8" t="str">
        <f t="array" ref="R1756">XLOOKUP(E1756,Store_Dim!A:A,Store_Dim!B:B,"Not Found")</f>
        <v>North</v>
      </c>
      <c r="S1756" s="8" t="str">
        <f t="array" ref="S1756">XLOOKUP(E1756,Store_Dim!A:A,Store_Dim!D:D,"Not Found")</f>
        <v>Online</v>
      </c>
    </row>
    <row r="1757" ht="14.25" customHeight="1">
      <c r="A1757" s="8" t="s">
        <v>3710</v>
      </c>
      <c r="B1757" s="12">
        <v>47235.0</v>
      </c>
      <c r="C1757" s="8" t="s">
        <v>755</v>
      </c>
      <c r="D1757" s="8" t="s">
        <v>1787</v>
      </c>
      <c r="E1757" s="8" t="s">
        <v>1928</v>
      </c>
      <c r="F1757" s="8">
        <v>1.0</v>
      </c>
      <c r="G1757" s="8">
        <v>891.79</v>
      </c>
      <c r="H1757" s="8">
        <v>0.03</v>
      </c>
      <c r="I1757" s="8">
        <f t="shared" si="1"/>
        <v>891.79</v>
      </c>
      <c r="J1757" s="8">
        <f t="shared" si="2"/>
        <v>-26.7237</v>
      </c>
      <c r="K1757" s="8" t="str">
        <f t="shared" si="3"/>
        <v>Apr</v>
      </c>
      <c r="L1757" s="8">
        <f t="shared" si="4"/>
        <v>2029</v>
      </c>
      <c r="N1757" s="8" t="str">
        <f t="array" ref="N1757">XLOOKUP(C1757,Customer_Dim!A:A,Customer_Dim!B:B,"Not Found")</f>
        <v>Timothy Sanders</v>
      </c>
      <c r="O1757" s="8" t="str">
        <f t="array" ref="O1757">XLOOKUP(C1757,Customer_Dim!A:A,Customer_Dim!E:E,"Not Found")</f>
        <v>Aaronmouth</v>
      </c>
      <c r="P1757" s="8" t="str">
        <f t="array" ref="P1757">XLOOKUP(D1757,Product_Dim!A:A,Product_Dim!B:B,"Not Found")</f>
        <v>Women's Hair Dryer Brush</v>
      </c>
      <c r="Q1757" s="8" t="str">
        <f t="array" ref="Q1757">XLOOKUP(D1757,Product_Dim!A:A,Product_Dim!C:C,"Not Found")</f>
        <v>Beauty</v>
      </c>
      <c r="R1757" s="8" t="str">
        <f t="array" ref="R1757">XLOOKUP(E1757,Store_Dim!A:A,Store_Dim!B:B,"Not Found")</f>
        <v>South</v>
      </c>
      <c r="S1757" s="8" t="str">
        <f t="array" ref="S1757">XLOOKUP(E1757,Store_Dim!A:A,Store_Dim!D:D,"Not Found")</f>
        <v>Online</v>
      </c>
    </row>
    <row r="1758" ht="14.25" customHeight="1">
      <c r="A1758" s="8" t="s">
        <v>3711</v>
      </c>
      <c r="B1758" s="12">
        <v>47236.0</v>
      </c>
      <c r="C1758" s="8" t="s">
        <v>1107</v>
      </c>
      <c r="D1758" s="8" t="s">
        <v>1857</v>
      </c>
      <c r="E1758" s="8" t="s">
        <v>1937</v>
      </c>
      <c r="F1758" s="8">
        <v>2.0</v>
      </c>
      <c r="G1758" s="8">
        <v>433.07</v>
      </c>
      <c r="H1758" s="8">
        <v>0.25</v>
      </c>
      <c r="I1758" s="8">
        <f t="shared" si="1"/>
        <v>866.14</v>
      </c>
      <c r="J1758" s="8">
        <f t="shared" si="2"/>
        <v>-216.285</v>
      </c>
      <c r="K1758" s="8" t="str">
        <f t="shared" si="3"/>
        <v>Apr</v>
      </c>
      <c r="L1758" s="8">
        <f t="shared" si="4"/>
        <v>2029</v>
      </c>
      <c r="N1758" s="8" t="str">
        <f t="array" ref="N1758">XLOOKUP(C1758,Customer_Dim!A:A,Customer_Dim!B:B,"Not Found")</f>
        <v>Sherry Cabrera</v>
      </c>
      <c r="O1758" s="8" t="str">
        <f t="array" ref="O1758">XLOOKUP(C1758,Customer_Dim!A:A,Customer_Dim!E:E,"Not Found")</f>
        <v>Shannonview</v>
      </c>
      <c r="P1758" s="8" t="str">
        <f t="array" ref="P1758">XLOOKUP(D1758,Product_Dim!A:A,Product_Dim!B:B,"Not Found")</f>
        <v>Face Foundation Kit</v>
      </c>
      <c r="Q1758" s="8" t="str">
        <f t="array" ref="Q1758">XLOOKUP(D1758,Product_Dim!A:A,Product_Dim!C:C,"Not Found")</f>
        <v>Beauty</v>
      </c>
      <c r="R1758" s="8" t="str">
        <f t="array" ref="R1758">XLOOKUP(E1758,Store_Dim!A:A,Store_Dim!B:B,"Not Found")</f>
        <v>North</v>
      </c>
      <c r="S1758" s="8" t="str">
        <f t="array" ref="S1758">XLOOKUP(E1758,Store_Dim!A:A,Store_Dim!D:D,"Not Found")</f>
        <v>Flagship</v>
      </c>
    </row>
    <row r="1759" ht="14.25" customHeight="1">
      <c r="A1759" s="8" t="s">
        <v>3712</v>
      </c>
      <c r="B1759" s="12">
        <v>47237.0</v>
      </c>
      <c r="C1759" s="8" t="s">
        <v>68</v>
      </c>
      <c r="D1759" s="8" t="s">
        <v>1787</v>
      </c>
      <c r="E1759" s="8" t="s">
        <v>1941</v>
      </c>
      <c r="F1759" s="8">
        <v>3.0</v>
      </c>
      <c r="G1759" s="8">
        <v>626.71</v>
      </c>
      <c r="H1759" s="8">
        <v>0.07</v>
      </c>
      <c r="I1759" s="8">
        <f t="shared" si="1"/>
        <v>1880.13</v>
      </c>
      <c r="J1759" s="8">
        <f t="shared" si="2"/>
        <v>-131.5391</v>
      </c>
      <c r="K1759" s="8" t="str">
        <f t="shared" si="3"/>
        <v>Apr</v>
      </c>
      <c r="L1759" s="8">
        <f t="shared" si="4"/>
        <v>2029</v>
      </c>
      <c r="N1759" s="8" t="str">
        <f t="array" ref="N1759">XLOOKUP(C1759,Customer_Dim!A:A,Customer_Dim!B:B,"Not Found")</f>
        <v>Kenneth Lambert</v>
      </c>
      <c r="O1759" s="8" t="str">
        <f t="array" ref="O1759">XLOOKUP(C1759,Customer_Dim!A:A,Customer_Dim!E:E,"Not Found")</f>
        <v>North Kathryn</v>
      </c>
      <c r="P1759" s="8" t="str">
        <f t="array" ref="P1759">XLOOKUP(D1759,Product_Dim!A:A,Product_Dim!B:B,"Not Found")</f>
        <v>Women's Hair Dryer Brush</v>
      </c>
      <c r="Q1759" s="8" t="str">
        <f t="array" ref="Q1759">XLOOKUP(D1759,Product_Dim!A:A,Product_Dim!C:C,"Not Found")</f>
        <v>Beauty</v>
      </c>
      <c r="R1759" s="8" t="str">
        <f t="array" ref="R1759">XLOOKUP(E1759,Store_Dim!A:A,Store_Dim!B:B,"Not Found")</f>
        <v>East</v>
      </c>
      <c r="S1759" s="8" t="str">
        <f t="array" ref="S1759">XLOOKUP(E1759,Store_Dim!A:A,Store_Dim!D:D,"Not Found")</f>
        <v>Online</v>
      </c>
    </row>
    <row r="1760" ht="14.25" customHeight="1">
      <c r="A1760" s="8" t="s">
        <v>3713</v>
      </c>
      <c r="B1760" s="12">
        <v>47238.0</v>
      </c>
      <c r="C1760" s="8" t="s">
        <v>288</v>
      </c>
      <c r="D1760" s="8" t="s">
        <v>1693</v>
      </c>
      <c r="E1760" s="8" t="s">
        <v>1899</v>
      </c>
      <c r="F1760" s="8">
        <v>2.0</v>
      </c>
      <c r="G1760" s="8">
        <v>324.18</v>
      </c>
      <c r="H1760" s="8">
        <v>0.06</v>
      </c>
      <c r="I1760" s="8">
        <f t="shared" si="1"/>
        <v>648.36</v>
      </c>
      <c r="J1760" s="8">
        <f t="shared" si="2"/>
        <v>-38.8416</v>
      </c>
      <c r="K1760" s="8" t="str">
        <f t="shared" si="3"/>
        <v>Apr</v>
      </c>
      <c r="L1760" s="8">
        <f t="shared" si="4"/>
        <v>2029</v>
      </c>
      <c r="N1760" s="8" t="str">
        <f t="array" ref="N1760">XLOOKUP(C1760,Customer_Dim!A:A,Customer_Dim!B:B,"Not Found")</f>
        <v>Nathan Campbell</v>
      </c>
      <c r="O1760" s="8" t="str">
        <f t="array" ref="O1760">XLOOKUP(C1760,Customer_Dim!A:A,Customer_Dim!E:E,"Not Found")</f>
        <v>Rodrigueztown</v>
      </c>
      <c r="P1760" s="8" t="str">
        <f t="array" ref="P1760">XLOOKUP(D1760,Product_Dim!A:A,Product_Dim!B:B,"Not Found")</f>
        <v>Women's Summer Dress</v>
      </c>
      <c r="Q1760" s="8" t="str">
        <f t="array" ref="Q1760">XLOOKUP(D1760,Product_Dim!A:A,Product_Dim!C:C,"Not Found")</f>
        <v>Clothing</v>
      </c>
      <c r="R1760" s="8" t="str">
        <f t="array" ref="R1760">XLOOKUP(E1760,Store_Dim!A:A,Store_Dim!B:B,"Not Found")</f>
        <v>East</v>
      </c>
      <c r="S1760" s="8" t="str">
        <f t="array" ref="S1760">XLOOKUP(E1760,Store_Dim!A:A,Store_Dim!D:D,"Not Found")</f>
        <v>Flagship</v>
      </c>
    </row>
    <row r="1761" ht="14.25" customHeight="1">
      <c r="A1761" s="8" t="s">
        <v>3714</v>
      </c>
      <c r="B1761" s="12">
        <v>47239.0</v>
      </c>
      <c r="C1761" s="8" t="s">
        <v>72</v>
      </c>
      <c r="D1761" s="8" t="s">
        <v>1620</v>
      </c>
      <c r="E1761" s="8" t="s">
        <v>1937</v>
      </c>
      <c r="F1761" s="8">
        <v>4.0</v>
      </c>
      <c r="G1761" s="8">
        <v>839.74</v>
      </c>
      <c r="H1761" s="8">
        <v>0.13</v>
      </c>
      <c r="I1761" s="8">
        <f t="shared" si="1"/>
        <v>3358.96</v>
      </c>
      <c r="J1761" s="8">
        <f t="shared" si="2"/>
        <v>-436.5348</v>
      </c>
      <c r="K1761" s="8" t="str">
        <f t="shared" si="3"/>
        <v>May</v>
      </c>
      <c r="L1761" s="8">
        <f t="shared" si="4"/>
        <v>2029</v>
      </c>
      <c r="N1761" s="8" t="str">
        <f t="array" ref="N1761">XLOOKUP(C1761,Customer_Dim!A:A,Customer_Dim!B:B,"Not Found")</f>
        <v>Nathan Hernandez</v>
      </c>
      <c r="O1761" s="8" t="str">
        <f t="array" ref="O1761">XLOOKUP(C1761,Customer_Dim!A:A,Customer_Dim!E:E,"Not Found")</f>
        <v>New Becky</v>
      </c>
      <c r="P1761" s="8" t="str">
        <f t="array" ref="P1761">XLOOKUP(D1761,Product_Dim!A:A,Product_Dim!B:B,"Not Found")</f>
        <v>Decorative Wall Mirror</v>
      </c>
      <c r="Q1761" s="8" t="str">
        <f t="array" ref="Q1761">XLOOKUP(D1761,Product_Dim!A:A,Product_Dim!C:C,"Not Found")</f>
        <v>Home</v>
      </c>
      <c r="R1761" s="8" t="str">
        <f t="array" ref="R1761">XLOOKUP(E1761,Store_Dim!A:A,Store_Dim!B:B,"Not Found")</f>
        <v>North</v>
      </c>
      <c r="S1761" s="8" t="str">
        <f t="array" ref="S1761">XLOOKUP(E1761,Store_Dim!A:A,Store_Dim!D:D,"Not Found")</f>
        <v>Flagship</v>
      </c>
    </row>
    <row r="1762" ht="14.25" customHeight="1">
      <c r="A1762" s="8" t="s">
        <v>3715</v>
      </c>
      <c r="B1762" s="12">
        <v>47240.0</v>
      </c>
      <c r="C1762" s="8" t="s">
        <v>535</v>
      </c>
      <c r="D1762" s="8" t="s">
        <v>1775</v>
      </c>
      <c r="E1762" s="8" t="s">
        <v>1933</v>
      </c>
      <c r="F1762" s="8">
        <v>3.0</v>
      </c>
      <c r="G1762" s="8">
        <v>252.63</v>
      </c>
      <c r="H1762" s="8">
        <v>0.28</v>
      </c>
      <c r="I1762" s="8">
        <f t="shared" si="1"/>
        <v>757.89</v>
      </c>
      <c r="J1762" s="8">
        <f t="shared" si="2"/>
        <v>-211.9292</v>
      </c>
      <c r="K1762" s="8" t="str">
        <f t="shared" si="3"/>
        <v>May</v>
      </c>
      <c r="L1762" s="8">
        <f t="shared" si="4"/>
        <v>2029</v>
      </c>
      <c r="N1762" s="8" t="str">
        <f t="array" ref="N1762">XLOOKUP(C1762,Customer_Dim!A:A,Customer_Dim!B:B,"Not Found")</f>
        <v>Maria Sanchez</v>
      </c>
      <c r="O1762" s="8" t="str">
        <f t="array" ref="O1762">XLOOKUP(C1762,Customer_Dim!A:A,Customer_Dim!E:E,"Not Found")</f>
        <v>East Peterbury</v>
      </c>
      <c r="P1762" s="8" t="str">
        <f t="array" ref="P1762">XLOOKUP(D1762,Product_Dim!A:A,Product_Dim!B:B,"Not Found")</f>
        <v>Laptop Cooling Pad</v>
      </c>
      <c r="Q1762" s="8" t="str">
        <f t="array" ref="Q1762">XLOOKUP(D1762,Product_Dim!A:A,Product_Dim!C:C,"Not Found")</f>
        <v>Electronics</v>
      </c>
      <c r="R1762" s="8" t="str">
        <f t="array" ref="R1762">XLOOKUP(E1762,Store_Dim!A:A,Store_Dim!B:B,"Not Found")</f>
        <v>North</v>
      </c>
      <c r="S1762" s="8" t="str">
        <f t="array" ref="S1762">XLOOKUP(E1762,Store_Dim!A:A,Store_Dim!D:D,"Not Found")</f>
        <v>Flagship</v>
      </c>
    </row>
    <row r="1763" ht="14.25" customHeight="1">
      <c r="A1763" s="8" t="s">
        <v>3716</v>
      </c>
      <c r="B1763" s="12">
        <v>47241.0</v>
      </c>
      <c r="C1763" s="8" t="s">
        <v>830</v>
      </c>
      <c r="D1763" s="8" t="s">
        <v>1827</v>
      </c>
      <c r="E1763" s="8" t="s">
        <v>1941</v>
      </c>
      <c r="F1763" s="8">
        <v>2.0</v>
      </c>
      <c r="G1763" s="8">
        <v>60.53</v>
      </c>
      <c r="H1763" s="8">
        <v>0.18</v>
      </c>
      <c r="I1763" s="8">
        <f t="shared" si="1"/>
        <v>121.06</v>
      </c>
      <c r="J1763" s="8">
        <f t="shared" si="2"/>
        <v>-21.6108</v>
      </c>
      <c r="K1763" s="8" t="str">
        <f t="shared" si="3"/>
        <v>May</v>
      </c>
      <c r="L1763" s="8">
        <f t="shared" si="4"/>
        <v>2029</v>
      </c>
      <c r="N1763" s="8" t="str">
        <f t="array" ref="N1763">XLOOKUP(C1763,Customer_Dim!A:A,Customer_Dim!B:B,"Not Found")</f>
        <v>Damon Perez</v>
      </c>
      <c r="O1763" s="8" t="str">
        <f t="array" ref="O1763">XLOOKUP(C1763,Customer_Dim!A:A,Customer_Dim!E:E,"Not Found")</f>
        <v>Jasonton</v>
      </c>
      <c r="P1763" s="8" t="str">
        <f t="array" ref="P1763">XLOOKUP(D1763,Product_Dim!A:A,Product_Dim!B:B,"Not Found")</f>
        <v>Decorative Lamp Shade</v>
      </c>
      <c r="Q1763" s="8" t="str">
        <f t="array" ref="Q1763">XLOOKUP(D1763,Product_Dim!A:A,Product_Dim!C:C,"Not Found")</f>
        <v>Home</v>
      </c>
      <c r="R1763" s="8" t="str">
        <f t="array" ref="R1763">XLOOKUP(E1763,Store_Dim!A:A,Store_Dim!B:B,"Not Found")</f>
        <v>East</v>
      </c>
      <c r="S1763" s="8" t="str">
        <f t="array" ref="S1763">XLOOKUP(E1763,Store_Dim!A:A,Store_Dim!D:D,"Not Found")</f>
        <v>Online</v>
      </c>
    </row>
    <row r="1764" ht="14.25" customHeight="1">
      <c r="A1764" s="8" t="s">
        <v>3717</v>
      </c>
      <c r="B1764" s="12">
        <v>47242.0</v>
      </c>
      <c r="C1764" s="8" t="s">
        <v>215</v>
      </c>
      <c r="D1764" s="8" t="s">
        <v>1842</v>
      </c>
      <c r="E1764" s="8" t="s">
        <v>1931</v>
      </c>
      <c r="F1764" s="8">
        <v>4.0</v>
      </c>
      <c r="G1764" s="8">
        <v>341.95</v>
      </c>
      <c r="H1764" s="8">
        <v>0.25</v>
      </c>
      <c r="I1764" s="8">
        <f t="shared" si="1"/>
        <v>1367.8</v>
      </c>
      <c r="J1764" s="8">
        <f t="shared" si="2"/>
        <v>-341.7</v>
      </c>
      <c r="K1764" s="8" t="str">
        <f t="shared" si="3"/>
        <v>May</v>
      </c>
      <c r="L1764" s="8">
        <f t="shared" si="4"/>
        <v>2029</v>
      </c>
      <c r="N1764" s="8" t="str">
        <f t="array" ref="N1764">XLOOKUP(C1764,Customer_Dim!A:A,Customer_Dim!B:B,"Not Found")</f>
        <v>Katherine Dorsey</v>
      </c>
      <c r="O1764" s="8" t="str">
        <f t="array" ref="O1764">XLOOKUP(C1764,Customer_Dim!A:A,Customer_Dim!E:E,"Not Found")</f>
        <v>Christopherland</v>
      </c>
      <c r="P1764" s="8" t="str">
        <f t="array" ref="P1764">XLOOKUP(D1764,Product_Dim!A:A,Product_Dim!B:B,"Not Found")</f>
        <v>Wooden Bookshelf</v>
      </c>
      <c r="Q1764" s="8" t="str">
        <f t="array" ref="Q1764">XLOOKUP(D1764,Product_Dim!A:A,Product_Dim!C:C,"Not Found")</f>
        <v>Home</v>
      </c>
      <c r="R1764" s="8" t="str">
        <f t="array" ref="R1764">XLOOKUP(E1764,Store_Dim!A:A,Store_Dim!B:B,"Not Found")</f>
        <v>East</v>
      </c>
      <c r="S1764" s="8" t="str">
        <f t="array" ref="S1764">XLOOKUP(E1764,Store_Dim!A:A,Store_Dim!D:D,"Not Found")</f>
        <v>Flagship</v>
      </c>
    </row>
    <row r="1765" ht="14.25" customHeight="1">
      <c r="A1765" s="8" t="s">
        <v>3718</v>
      </c>
      <c r="B1765" s="12">
        <v>47243.0</v>
      </c>
      <c r="C1765" s="8" t="s">
        <v>914</v>
      </c>
      <c r="D1765" s="8" t="s">
        <v>1649</v>
      </c>
      <c r="E1765" s="8" t="s">
        <v>1935</v>
      </c>
      <c r="F1765" s="8">
        <v>4.0</v>
      </c>
      <c r="G1765" s="8">
        <v>300.12</v>
      </c>
      <c r="H1765" s="8">
        <v>0.05</v>
      </c>
      <c r="I1765" s="8">
        <f t="shared" si="1"/>
        <v>1200.48</v>
      </c>
      <c r="J1765" s="8">
        <f t="shared" si="2"/>
        <v>-59.974</v>
      </c>
      <c r="K1765" s="8" t="str">
        <f t="shared" si="3"/>
        <v>May</v>
      </c>
      <c r="L1765" s="8">
        <f t="shared" si="4"/>
        <v>2029</v>
      </c>
      <c r="N1765" s="8" t="str">
        <f t="array" ref="N1765">XLOOKUP(C1765,Customer_Dim!A:A,Customer_Dim!B:B,"Not Found")</f>
        <v>Bryan Garcia</v>
      </c>
      <c r="O1765" s="8" t="str">
        <f t="array" ref="O1765">XLOOKUP(C1765,Customer_Dim!A:A,Customer_Dim!E:E,"Not Found")</f>
        <v>Garciaborough</v>
      </c>
      <c r="P1765" s="8" t="str">
        <f t="array" ref="P1765">XLOOKUP(D1765,Product_Dim!A:A,Product_Dim!B:B,"Not Found")</f>
        <v>Carbon Fiber Tennis Racket</v>
      </c>
      <c r="Q1765" s="8" t="str">
        <f t="array" ref="Q1765">XLOOKUP(D1765,Product_Dim!A:A,Product_Dim!C:C,"Not Found")</f>
        <v>Sports</v>
      </c>
      <c r="R1765" s="8" t="str">
        <f t="array" ref="R1765">XLOOKUP(E1765,Store_Dim!A:A,Store_Dim!B:B,"Not Found")</f>
        <v>West</v>
      </c>
      <c r="S1765" s="8" t="str">
        <f t="array" ref="S1765">XLOOKUP(E1765,Store_Dim!A:A,Store_Dim!D:D,"Not Found")</f>
        <v>Flagship</v>
      </c>
    </row>
    <row r="1766" ht="14.25" customHeight="1">
      <c r="A1766" s="8" t="s">
        <v>3719</v>
      </c>
      <c r="B1766" s="12">
        <v>47244.0</v>
      </c>
      <c r="C1766" s="8" t="s">
        <v>412</v>
      </c>
      <c r="D1766" s="8" t="s">
        <v>1668</v>
      </c>
      <c r="E1766" s="8" t="s">
        <v>1937</v>
      </c>
      <c r="F1766" s="8">
        <v>2.0</v>
      </c>
      <c r="G1766" s="8">
        <v>289.14</v>
      </c>
      <c r="H1766" s="8">
        <v>0.12</v>
      </c>
      <c r="I1766" s="8">
        <f t="shared" si="1"/>
        <v>578.28</v>
      </c>
      <c r="J1766" s="8">
        <f t="shared" si="2"/>
        <v>-69.2736</v>
      </c>
      <c r="K1766" s="8" t="str">
        <f t="shared" si="3"/>
        <v>May</v>
      </c>
      <c r="L1766" s="8">
        <f t="shared" si="4"/>
        <v>2029</v>
      </c>
      <c r="N1766" s="8" t="str">
        <f t="array" ref="N1766">XLOOKUP(C1766,Customer_Dim!A:A,Customer_Dim!B:B,"Not Found")</f>
        <v>Tyler Conrad</v>
      </c>
      <c r="O1766" s="8" t="str">
        <f t="array" ref="O1766">XLOOKUP(C1766,Customer_Dim!A:A,Customer_Dim!E:E,"Not Found")</f>
        <v>North Curtischester</v>
      </c>
      <c r="P1766" s="8" t="str">
        <f t="array" ref="P1766">XLOOKUP(D1766,Product_Dim!A:A,Product_Dim!B:B,"Not Found")</f>
        <v>Sports Stopwatch Timer</v>
      </c>
      <c r="Q1766" s="8" t="str">
        <f t="array" ref="Q1766">XLOOKUP(D1766,Product_Dim!A:A,Product_Dim!C:C,"Not Found")</f>
        <v>Sports</v>
      </c>
      <c r="R1766" s="8" t="str">
        <f t="array" ref="R1766">XLOOKUP(E1766,Store_Dim!A:A,Store_Dim!B:B,"Not Found")</f>
        <v>North</v>
      </c>
      <c r="S1766" s="8" t="str">
        <f t="array" ref="S1766">XLOOKUP(E1766,Store_Dim!A:A,Store_Dim!D:D,"Not Found")</f>
        <v>Flagship</v>
      </c>
    </row>
    <row r="1767" ht="14.25" customHeight="1">
      <c r="A1767" s="8" t="s">
        <v>3720</v>
      </c>
      <c r="B1767" s="12">
        <v>47245.0</v>
      </c>
      <c r="C1767" s="8" t="s">
        <v>185</v>
      </c>
      <c r="D1767" s="8" t="s">
        <v>1659</v>
      </c>
      <c r="E1767" s="8" t="s">
        <v>1899</v>
      </c>
      <c r="F1767" s="8">
        <v>2.0</v>
      </c>
      <c r="G1767" s="8">
        <v>596.84</v>
      </c>
      <c r="H1767" s="8">
        <v>0.01</v>
      </c>
      <c r="I1767" s="8">
        <f t="shared" si="1"/>
        <v>1193.68</v>
      </c>
      <c r="J1767" s="8">
        <f t="shared" si="2"/>
        <v>-11.9268</v>
      </c>
      <c r="K1767" s="8" t="str">
        <f t="shared" si="3"/>
        <v>May</v>
      </c>
      <c r="L1767" s="8">
        <f t="shared" si="4"/>
        <v>2029</v>
      </c>
      <c r="N1767" s="8" t="str">
        <f t="array" ref="N1767">XLOOKUP(C1767,Customer_Dim!A:A,Customer_Dim!B:B,"Not Found")</f>
        <v>Jordan Jackson DDS</v>
      </c>
      <c r="O1767" s="8" t="str">
        <f t="array" ref="O1767">XLOOKUP(C1767,Customer_Dim!A:A,Customer_Dim!E:E,"Not Found")</f>
        <v>North Johnview</v>
      </c>
      <c r="P1767" s="8" t="str">
        <f t="array" ref="P1767">XLOOKUP(D1767,Product_Dim!A:A,Product_Dim!B:B,"Not Found")</f>
        <v>Women's Scarf Set</v>
      </c>
      <c r="Q1767" s="8" t="str">
        <f t="array" ref="Q1767">XLOOKUP(D1767,Product_Dim!A:A,Product_Dim!C:C,"Not Found")</f>
        <v>Clothing</v>
      </c>
      <c r="R1767" s="8" t="str">
        <f t="array" ref="R1767">XLOOKUP(E1767,Store_Dim!A:A,Store_Dim!B:B,"Not Found")</f>
        <v>East</v>
      </c>
      <c r="S1767" s="8" t="str">
        <f t="array" ref="S1767">XLOOKUP(E1767,Store_Dim!A:A,Store_Dim!D:D,"Not Found")</f>
        <v>Flagship</v>
      </c>
    </row>
    <row r="1768" ht="14.25" customHeight="1">
      <c r="A1768" s="8" t="s">
        <v>3721</v>
      </c>
      <c r="B1768" s="12">
        <v>47246.0</v>
      </c>
      <c r="C1768" s="8" t="s">
        <v>1368</v>
      </c>
      <c r="D1768" s="8" t="s">
        <v>1638</v>
      </c>
      <c r="E1768" s="8" t="s">
        <v>1921</v>
      </c>
      <c r="F1768" s="8">
        <v>4.0</v>
      </c>
      <c r="G1768" s="8">
        <v>466.24</v>
      </c>
      <c r="H1768" s="8">
        <v>0.16</v>
      </c>
      <c r="I1768" s="8">
        <f t="shared" si="1"/>
        <v>1864.96</v>
      </c>
      <c r="J1768" s="8">
        <f t="shared" si="2"/>
        <v>-298.2336</v>
      </c>
      <c r="K1768" s="8" t="str">
        <f t="shared" si="3"/>
        <v>May</v>
      </c>
      <c r="L1768" s="8">
        <f t="shared" si="4"/>
        <v>2029</v>
      </c>
      <c r="N1768" s="8" t="str">
        <f t="array" ref="N1768">XLOOKUP(C1768,Customer_Dim!A:A,Customer_Dim!B:B,"Not Found")</f>
        <v>Sharon Simpson</v>
      </c>
      <c r="O1768" s="8" t="str">
        <f t="array" ref="O1768">XLOOKUP(C1768,Customer_Dim!A:A,Customer_Dim!E:E,"Not Found")</f>
        <v>South Michellebury</v>
      </c>
      <c r="P1768" s="8" t="str">
        <f t="array" ref="P1768">XLOOKUP(D1768,Product_Dim!A:A,Product_Dim!B:B,"Not Found")</f>
        <v>Knee Support Brace</v>
      </c>
      <c r="Q1768" s="8" t="str">
        <f t="array" ref="Q1768">XLOOKUP(D1768,Product_Dim!A:A,Product_Dim!C:C,"Not Found")</f>
        <v>Sports</v>
      </c>
      <c r="R1768" s="8" t="str">
        <f t="array" ref="R1768">XLOOKUP(E1768,Store_Dim!A:A,Store_Dim!B:B,"Not Found")</f>
        <v>West</v>
      </c>
      <c r="S1768" s="8" t="str">
        <f t="array" ref="S1768">XLOOKUP(E1768,Store_Dim!A:A,Store_Dim!D:D,"Not Found")</f>
        <v>Online</v>
      </c>
    </row>
    <row r="1769" ht="14.25" customHeight="1">
      <c r="A1769" s="8" t="s">
        <v>3722</v>
      </c>
      <c r="B1769" s="12">
        <v>47247.0</v>
      </c>
      <c r="C1769" s="8" t="s">
        <v>821</v>
      </c>
      <c r="D1769" s="8" t="s">
        <v>1617</v>
      </c>
      <c r="E1769" s="8" t="s">
        <v>1935</v>
      </c>
      <c r="F1769" s="8">
        <v>2.0</v>
      </c>
      <c r="G1769" s="8">
        <v>330.59</v>
      </c>
      <c r="H1769" s="8">
        <v>0.14</v>
      </c>
      <c r="I1769" s="8">
        <f t="shared" si="1"/>
        <v>661.18</v>
      </c>
      <c r="J1769" s="8">
        <f t="shared" si="2"/>
        <v>-92.4252</v>
      </c>
      <c r="K1769" s="8" t="str">
        <f t="shared" si="3"/>
        <v>May</v>
      </c>
      <c r="L1769" s="8">
        <f t="shared" si="4"/>
        <v>2029</v>
      </c>
      <c r="N1769" s="8" t="str">
        <f t="array" ref="N1769">XLOOKUP(C1769,Customer_Dim!A:A,Customer_Dim!B:B,"Not Found")</f>
        <v>John Mccoy</v>
      </c>
      <c r="O1769" s="8" t="str">
        <f t="array" ref="O1769">XLOOKUP(C1769,Customer_Dim!A:A,Customer_Dim!E:E,"Not Found")</f>
        <v>Robinborough</v>
      </c>
      <c r="P1769" s="8" t="str">
        <f t="array" ref="P1769">XLOOKUP(D1769,Product_Dim!A:A,Product_Dim!B:B,"Not Found")</f>
        <v>USB-C Fast Charger</v>
      </c>
      <c r="Q1769" s="8" t="str">
        <f t="array" ref="Q1769">XLOOKUP(D1769,Product_Dim!A:A,Product_Dim!C:C,"Not Found")</f>
        <v>Electronics</v>
      </c>
      <c r="R1769" s="8" t="str">
        <f t="array" ref="R1769">XLOOKUP(E1769,Store_Dim!A:A,Store_Dim!B:B,"Not Found")</f>
        <v>West</v>
      </c>
      <c r="S1769" s="8" t="str">
        <f t="array" ref="S1769">XLOOKUP(E1769,Store_Dim!A:A,Store_Dim!D:D,"Not Found")</f>
        <v>Flagship</v>
      </c>
    </row>
    <row r="1770" ht="14.25" customHeight="1">
      <c r="A1770" s="8" t="s">
        <v>3723</v>
      </c>
      <c r="B1770" s="12">
        <v>47248.0</v>
      </c>
      <c r="C1770" s="8" t="s">
        <v>1532</v>
      </c>
      <c r="D1770" s="8" t="s">
        <v>1649</v>
      </c>
      <c r="E1770" s="8" t="s">
        <v>1917</v>
      </c>
      <c r="F1770" s="8">
        <v>2.0</v>
      </c>
      <c r="G1770" s="8">
        <v>616.43</v>
      </c>
      <c r="H1770" s="8">
        <v>0.02</v>
      </c>
      <c r="I1770" s="8">
        <f t="shared" si="1"/>
        <v>1232.86</v>
      </c>
      <c r="J1770" s="8">
        <f t="shared" si="2"/>
        <v>-24.6372</v>
      </c>
      <c r="K1770" s="8" t="str">
        <f t="shared" si="3"/>
        <v>May</v>
      </c>
      <c r="L1770" s="8">
        <f t="shared" si="4"/>
        <v>2029</v>
      </c>
      <c r="N1770" s="8" t="str">
        <f t="array" ref="N1770">XLOOKUP(C1770,Customer_Dim!A:A,Customer_Dim!B:B,"Not Found")</f>
        <v>Amanda Powell</v>
      </c>
      <c r="O1770" s="8" t="str">
        <f t="array" ref="O1770">XLOOKUP(C1770,Customer_Dim!A:A,Customer_Dim!E:E,"Not Found")</f>
        <v>South William</v>
      </c>
      <c r="P1770" s="8" t="str">
        <f t="array" ref="P1770">XLOOKUP(D1770,Product_Dim!A:A,Product_Dim!B:B,"Not Found")</f>
        <v>Carbon Fiber Tennis Racket</v>
      </c>
      <c r="Q1770" s="8" t="str">
        <f t="array" ref="Q1770">XLOOKUP(D1770,Product_Dim!A:A,Product_Dim!C:C,"Not Found")</f>
        <v>Sports</v>
      </c>
      <c r="R1770" s="8" t="str">
        <f t="array" ref="R1770">XLOOKUP(E1770,Store_Dim!A:A,Store_Dim!B:B,"Not Found")</f>
        <v>East</v>
      </c>
      <c r="S1770" s="8" t="str">
        <f t="array" ref="S1770">XLOOKUP(E1770,Store_Dim!A:A,Store_Dim!D:D,"Not Found")</f>
        <v>Online</v>
      </c>
    </row>
    <row r="1771" ht="14.25" customHeight="1">
      <c r="A1771" s="8" t="s">
        <v>3724</v>
      </c>
      <c r="B1771" s="12">
        <v>47249.0</v>
      </c>
      <c r="C1771" s="8" t="s">
        <v>1270</v>
      </c>
      <c r="D1771" s="8" t="s">
        <v>1778</v>
      </c>
      <c r="E1771" s="8" t="s">
        <v>1917</v>
      </c>
      <c r="F1771" s="8">
        <v>3.0</v>
      </c>
      <c r="G1771" s="8">
        <v>195.89</v>
      </c>
      <c r="H1771" s="8">
        <v>0.16</v>
      </c>
      <c r="I1771" s="8">
        <f t="shared" si="1"/>
        <v>587.67</v>
      </c>
      <c r="J1771" s="8">
        <f t="shared" si="2"/>
        <v>-93.8672</v>
      </c>
      <c r="K1771" s="8" t="str">
        <f t="shared" si="3"/>
        <v>May</v>
      </c>
      <c r="L1771" s="8">
        <f t="shared" si="4"/>
        <v>2029</v>
      </c>
      <c r="N1771" s="8" t="str">
        <f t="array" ref="N1771">XLOOKUP(C1771,Customer_Dim!A:A,Customer_Dim!B:B,"Not Found")</f>
        <v>Justin Ingram</v>
      </c>
      <c r="O1771" s="8" t="str">
        <f t="array" ref="O1771">XLOOKUP(C1771,Customer_Dim!A:A,Customer_Dim!E:E,"Not Found")</f>
        <v>Lake Lisaland</v>
      </c>
      <c r="P1771" s="8" t="str">
        <f t="array" ref="P1771">XLOOKUP(D1771,Product_Dim!A:A,Product_Dim!B:B,"Not Found")</f>
        <v>Organic Sunscreen Lotion</v>
      </c>
      <c r="Q1771" s="8" t="str">
        <f t="array" ref="Q1771">XLOOKUP(D1771,Product_Dim!A:A,Product_Dim!C:C,"Not Found")</f>
        <v>Beauty</v>
      </c>
      <c r="R1771" s="8" t="str">
        <f t="array" ref="R1771">XLOOKUP(E1771,Store_Dim!A:A,Store_Dim!B:B,"Not Found")</f>
        <v>East</v>
      </c>
      <c r="S1771" s="8" t="str">
        <f t="array" ref="S1771">XLOOKUP(E1771,Store_Dim!A:A,Store_Dim!D:D,"Not Found")</f>
        <v>Online</v>
      </c>
    </row>
    <row r="1772" ht="14.25" customHeight="1">
      <c r="A1772" s="8" t="s">
        <v>3725</v>
      </c>
      <c r="B1772" s="12">
        <v>47250.0</v>
      </c>
      <c r="C1772" s="8" t="s">
        <v>1092</v>
      </c>
      <c r="D1772" s="8" t="s">
        <v>1592</v>
      </c>
      <c r="E1772" s="8" t="s">
        <v>1926</v>
      </c>
      <c r="F1772" s="8">
        <v>4.0</v>
      </c>
      <c r="G1772" s="8">
        <v>614.76</v>
      </c>
      <c r="H1772" s="8">
        <v>0.16</v>
      </c>
      <c r="I1772" s="8">
        <f t="shared" si="1"/>
        <v>2459.04</v>
      </c>
      <c r="J1772" s="8">
        <f t="shared" si="2"/>
        <v>-393.2864</v>
      </c>
      <c r="K1772" s="8" t="str">
        <f t="shared" si="3"/>
        <v>May</v>
      </c>
      <c r="L1772" s="8">
        <f t="shared" si="4"/>
        <v>2029</v>
      </c>
      <c r="N1772" s="8" t="str">
        <f t="array" ref="N1772">XLOOKUP(C1772,Customer_Dim!A:A,Customer_Dim!B:B,"Not Found")</f>
        <v>Ryan Moore</v>
      </c>
      <c r="O1772" s="8" t="str">
        <f t="array" ref="O1772">XLOOKUP(C1772,Customer_Dim!A:A,Customer_Dim!E:E,"Not Found")</f>
        <v>Cartershire</v>
      </c>
      <c r="P1772" s="8" t="str">
        <f t="array" ref="P1772">XLOOKUP(D1772,Product_Dim!A:A,Product_Dim!B:B,"Not Found")</f>
        <v>LED Table Lamp</v>
      </c>
      <c r="Q1772" s="8" t="str">
        <f t="array" ref="Q1772">XLOOKUP(D1772,Product_Dim!A:A,Product_Dim!C:C,"Not Found")</f>
        <v>Home</v>
      </c>
      <c r="R1772" s="8" t="str">
        <f t="array" ref="R1772">XLOOKUP(E1772,Store_Dim!A:A,Store_Dim!B:B,"Not Found")</f>
        <v>East</v>
      </c>
      <c r="S1772" s="8" t="str">
        <f t="array" ref="S1772">XLOOKUP(E1772,Store_Dim!A:A,Store_Dim!D:D,"Not Found")</f>
        <v>Online</v>
      </c>
    </row>
    <row r="1773" ht="14.25" customHeight="1">
      <c r="A1773" s="8" t="s">
        <v>3726</v>
      </c>
      <c r="B1773" s="12">
        <v>47251.0</v>
      </c>
      <c r="C1773" s="8" t="s">
        <v>1273</v>
      </c>
      <c r="D1773" s="8" t="s">
        <v>1827</v>
      </c>
      <c r="E1773" s="8" t="s">
        <v>1919</v>
      </c>
      <c r="F1773" s="8">
        <v>1.0</v>
      </c>
      <c r="G1773" s="8">
        <v>224.49</v>
      </c>
      <c r="H1773" s="8">
        <v>0.11</v>
      </c>
      <c r="I1773" s="8">
        <f t="shared" si="1"/>
        <v>224.49</v>
      </c>
      <c r="J1773" s="8">
        <f t="shared" si="2"/>
        <v>-24.5839</v>
      </c>
      <c r="K1773" s="8" t="str">
        <f t="shared" si="3"/>
        <v>May</v>
      </c>
      <c r="L1773" s="8">
        <f t="shared" si="4"/>
        <v>2029</v>
      </c>
      <c r="N1773" s="8" t="str">
        <f t="array" ref="N1773">XLOOKUP(C1773,Customer_Dim!A:A,Customer_Dim!B:B,"Not Found")</f>
        <v>David Ross</v>
      </c>
      <c r="O1773" s="8" t="str">
        <f t="array" ref="O1773">XLOOKUP(C1773,Customer_Dim!A:A,Customer_Dim!E:E,"Not Found")</f>
        <v>South Angela</v>
      </c>
      <c r="P1773" s="8" t="str">
        <f t="array" ref="P1773">XLOOKUP(D1773,Product_Dim!A:A,Product_Dim!B:B,"Not Found")</f>
        <v>Decorative Lamp Shade</v>
      </c>
      <c r="Q1773" s="8" t="str">
        <f t="array" ref="Q1773">XLOOKUP(D1773,Product_Dim!A:A,Product_Dim!C:C,"Not Found")</f>
        <v>Home</v>
      </c>
      <c r="R1773" s="8" t="str">
        <f t="array" ref="R1773">XLOOKUP(E1773,Store_Dim!A:A,Store_Dim!B:B,"Not Found")</f>
        <v>South</v>
      </c>
      <c r="S1773" s="8" t="str">
        <f t="array" ref="S1773">XLOOKUP(E1773,Store_Dim!A:A,Store_Dim!D:D,"Not Found")</f>
        <v>Online</v>
      </c>
    </row>
    <row r="1774" ht="14.25" customHeight="1">
      <c r="A1774" s="8" t="s">
        <v>3727</v>
      </c>
      <c r="B1774" s="12">
        <v>47252.0</v>
      </c>
      <c r="C1774" s="8" t="s">
        <v>1131</v>
      </c>
      <c r="D1774" s="8" t="s">
        <v>1754</v>
      </c>
      <c r="E1774" s="8" t="s">
        <v>1929</v>
      </c>
      <c r="F1774" s="8">
        <v>1.0</v>
      </c>
      <c r="G1774" s="8">
        <v>967.76</v>
      </c>
      <c r="H1774" s="8">
        <v>0.09</v>
      </c>
      <c r="I1774" s="8">
        <f t="shared" si="1"/>
        <v>967.76</v>
      </c>
      <c r="J1774" s="8">
        <f t="shared" si="2"/>
        <v>-87.0084</v>
      </c>
      <c r="K1774" s="8" t="str">
        <f t="shared" si="3"/>
        <v>May</v>
      </c>
      <c r="L1774" s="8">
        <f t="shared" si="4"/>
        <v>2029</v>
      </c>
      <c r="N1774" s="8" t="str">
        <f t="array" ref="N1774">XLOOKUP(C1774,Customer_Dim!A:A,Customer_Dim!B:B,"Not Found")</f>
        <v>Steve Hunt</v>
      </c>
      <c r="O1774" s="8" t="str">
        <f t="array" ref="O1774">XLOOKUP(C1774,Customer_Dim!A:A,Customer_Dim!E:E,"Not Found")</f>
        <v>North Richard</v>
      </c>
      <c r="P1774" s="8" t="str">
        <f t="array" ref="P1774">XLOOKUP(D1774,Product_Dim!A:A,Product_Dim!B:B,"Not Found")</f>
        <v>Ceramic Plant Pot</v>
      </c>
      <c r="Q1774" s="8" t="str">
        <f t="array" ref="Q1774">XLOOKUP(D1774,Product_Dim!A:A,Product_Dim!C:C,"Not Found")</f>
        <v>Home</v>
      </c>
      <c r="R1774" s="8" t="str">
        <f t="array" ref="R1774">XLOOKUP(E1774,Store_Dim!A:A,Store_Dim!B:B,"Not Found")</f>
        <v>North</v>
      </c>
      <c r="S1774" s="8" t="str">
        <f t="array" ref="S1774">XLOOKUP(E1774,Store_Dim!A:A,Store_Dim!D:D,"Not Found")</f>
        <v>Online</v>
      </c>
    </row>
    <row r="1775" ht="14.25" customHeight="1">
      <c r="A1775" s="8" t="s">
        <v>3728</v>
      </c>
      <c r="B1775" s="12">
        <v>47253.0</v>
      </c>
      <c r="C1775" s="8" t="s">
        <v>257</v>
      </c>
      <c r="D1775" s="8" t="s">
        <v>1710</v>
      </c>
      <c r="E1775" s="8" t="s">
        <v>1941</v>
      </c>
      <c r="F1775" s="8">
        <v>2.0</v>
      </c>
      <c r="G1775" s="8">
        <v>56.52</v>
      </c>
      <c r="H1775" s="8">
        <v>0.17</v>
      </c>
      <c r="I1775" s="8">
        <f t="shared" si="1"/>
        <v>113.04</v>
      </c>
      <c r="J1775" s="8">
        <f t="shared" si="2"/>
        <v>-19.0468</v>
      </c>
      <c r="K1775" s="8" t="str">
        <f t="shared" si="3"/>
        <v>May</v>
      </c>
      <c r="L1775" s="8">
        <f t="shared" si="4"/>
        <v>2029</v>
      </c>
      <c r="N1775" s="8" t="str">
        <f t="array" ref="N1775">XLOOKUP(C1775,Customer_Dim!A:A,Customer_Dim!B:B,"Not Found")</f>
        <v>Amber Mcclain</v>
      </c>
      <c r="O1775" s="8" t="str">
        <f t="array" ref="O1775">XLOOKUP(C1775,Customer_Dim!A:A,Customer_Dim!E:E,"Not Found")</f>
        <v>Brendaburgh</v>
      </c>
      <c r="P1775" s="8" t="str">
        <f t="array" ref="P1775">XLOOKUP(D1775,Product_Dim!A:A,Product_Dim!B:B,"Not Found")</f>
        <v>Yoga Exercise Mat</v>
      </c>
      <c r="Q1775" s="8" t="str">
        <f t="array" ref="Q1775">XLOOKUP(D1775,Product_Dim!A:A,Product_Dim!C:C,"Not Found")</f>
        <v>Sports</v>
      </c>
      <c r="R1775" s="8" t="str">
        <f t="array" ref="R1775">XLOOKUP(E1775,Store_Dim!A:A,Store_Dim!B:B,"Not Found")</f>
        <v>East</v>
      </c>
      <c r="S1775" s="8" t="str">
        <f t="array" ref="S1775">XLOOKUP(E1775,Store_Dim!A:A,Store_Dim!D:D,"Not Found")</f>
        <v>Online</v>
      </c>
    </row>
    <row r="1776" ht="14.25" customHeight="1">
      <c r="A1776" s="8" t="s">
        <v>3729</v>
      </c>
      <c r="B1776" s="12">
        <v>47254.0</v>
      </c>
      <c r="C1776" s="8" t="s">
        <v>1523</v>
      </c>
      <c r="D1776" s="8" t="s">
        <v>1790</v>
      </c>
      <c r="E1776" s="8" t="s">
        <v>1903</v>
      </c>
      <c r="F1776" s="8">
        <v>4.0</v>
      </c>
      <c r="G1776" s="8">
        <v>921.84</v>
      </c>
      <c r="H1776" s="8">
        <v>0.04</v>
      </c>
      <c r="I1776" s="8">
        <f t="shared" si="1"/>
        <v>3687.36</v>
      </c>
      <c r="J1776" s="8">
        <f t="shared" si="2"/>
        <v>-147.4544</v>
      </c>
      <c r="K1776" s="8" t="str">
        <f t="shared" si="3"/>
        <v>May</v>
      </c>
      <c r="L1776" s="8">
        <f t="shared" si="4"/>
        <v>2029</v>
      </c>
      <c r="N1776" s="8" t="str">
        <f t="array" ref="N1776">XLOOKUP(C1776,Customer_Dim!A:A,Customer_Dim!B:B,"Not Found")</f>
        <v>Scott Harris</v>
      </c>
      <c r="O1776" s="8" t="str">
        <f t="array" ref="O1776">XLOOKUP(C1776,Customer_Dim!A:A,Customer_Dim!E:E,"Not Found")</f>
        <v>North Nataliemouth</v>
      </c>
      <c r="P1776" s="8" t="str">
        <f t="array" ref="P1776">XLOOKUP(D1776,Product_Dim!A:A,Product_Dim!B:B,"Not Found")</f>
        <v>Smart LED Light Strip</v>
      </c>
      <c r="Q1776" s="8" t="str">
        <f t="array" ref="Q1776">XLOOKUP(D1776,Product_Dim!A:A,Product_Dim!C:C,"Not Found")</f>
        <v>Electronics</v>
      </c>
      <c r="R1776" s="8" t="str">
        <f t="array" ref="R1776">XLOOKUP(E1776,Store_Dim!A:A,Store_Dim!B:B,"Not Found")</f>
        <v>North</v>
      </c>
      <c r="S1776" s="8" t="str">
        <f t="array" ref="S1776">XLOOKUP(E1776,Store_Dim!A:A,Store_Dim!D:D,"Not Found")</f>
        <v>Flagship</v>
      </c>
    </row>
    <row r="1777" ht="14.25" customHeight="1">
      <c r="A1777" s="8" t="s">
        <v>3730</v>
      </c>
      <c r="B1777" s="12">
        <v>47255.0</v>
      </c>
      <c r="C1777" s="8" t="s">
        <v>1047</v>
      </c>
      <c r="D1777" s="8" t="s">
        <v>1848</v>
      </c>
      <c r="E1777" s="8" t="s">
        <v>1935</v>
      </c>
      <c r="F1777" s="8">
        <v>3.0</v>
      </c>
      <c r="G1777" s="8">
        <v>738.47</v>
      </c>
      <c r="H1777" s="8">
        <v>0.28</v>
      </c>
      <c r="I1777" s="8">
        <f t="shared" si="1"/>
        <v>2215.41</v>
      </c>
      <c r="J1777" s="8">
        <f t="shared" si="2"/>
        <v>-620.0348</v>
      </c>
      <c r="K1777" s="8" t="str">
        <f t="shared" si="3"/>
        <v>May</v>
      </c>
      <c r="L1777" s="8">
        <f t="shared" si="4"/>
        <v>2029</v>
      </c>
      <c r="N1777" s="8" t="str">
        <f t="array" ref="N1777">XLOOKUP(C1777,Customer_Dim!A:A,Customer_Dim!B:B,"Not Found")</f>
        <v>Mario Harvey Jr.</v>
      </c>
      <c r="O1777" s="8" t="str">
        <f t="array" ref="O1777">XLOOKUP(C1777,Customer_Dim!A:A,Customer_Dim!E:E,"Not Found")</f>
        <v>Jessicaport</v>
      </c>
      <c r="P1777" s="8" t="str">
        <f t="array" ref="P1777">XLOOKUP(D1777,Product_Dim!A:A,Product_Dim!B:B,"Not Found")</f>
        <v>Kitchen Cutting Board</v>
      </c>
      <c r="Q1777" s="8" t="str">
        <f t="array" ref="Q1777">XLOOKUP(D1777,Product_Dim!A:A,Product_Dim!C:C,"Not Found")</f>
        <v>Home</v>
      </c>
      <c r="R1777" s="8" t="str">
        <f t="array" ref="R1777">XLOOKUP(E1777,Store_Dim!A:A,Store_Dim!B:B,"Not Found")</f>
        <v>West</v>
      </c>
      <c r="S1777" s="8" t="str">
        <f t="array" ref="S1777">XLOOKUP(E1777,Store_Dim!A:A,Store_Dim!D:D,"Not Found")</f>
        <v>Flagship</v>
      </c>
    </row>
    <row r="1778" ht="14.25" customHeight="1">
      <c r="A1778" s="8" t="s">
        <v>3731</v>
      </c>
      <c r="B1778" s="12">
        <v>47256.0</v>
      </c>
      <c r="C1778" s="8" t="s">
        <v>1047</v>
      </c>
      <c r="D1778" s="8" t="s">
        <v>1583</v>
      </c>
      <c r="E1778" s="8" t="s">
        <v>1899</v>
      </c>
      <c r="F1778" s="8">
        <v>4.0</v>
      </c>
      <c r="G1778" s="8">
        <v>477.83</v>
      </c>
      <c r="H1778" s="8">
        <v>0.05</v>
      </c>
      <c r="I1778" s="8">
        <f t="shared" si="1"/>
        <v>1911.32</v>
      </c>
      <c r="J1778" s="8">
        <f t="shared" si="2"/>
        <v>-95.516</v>
      </c>
      <c r="K1778" s="8" t="str">
        <f t="shared" si="3"/>
        <v>May</v>
      </c>
      <c r="L1778" s="8">
        <f t="shared" si="4"/>
        <v>2029</v>
      </c>
      <c r="N1778" s="8" t="str">
        <f t="array" ref="N1778">XLOOKUP(C1778,Customer_Dim!A:A,Customer_Dim!B:B,"Not Found")</f>
        <v>Mario Harvey Jr.</v>
      </c>
      <c r="O1778" s="8" t="str">
        <f t="array" ref="O1778">XLOOKUP(C1778,Customer_Dim!A:A,Customer_Dim!E:E,"Not Found")</f>
        <v>Jessicaport</v>
      </c>
      <c r="P1778" s="8" t="str">
        <f t="array" ref="P1778">XLOOKUP(D1778,Product_Dim!A:A,Product_Dim!B:B,"Not Found")</f>
        <v>Men's Leather Belt</v>
      </c>
      <c r="Q1778" s="8" t="str">
        <f t="array" ref="Q1778">XLOOKUP(D1778,Product_Dim!A:A,Product_Dim!C:C,"Not Found")</f>
        <v>Clothing</v>
      </c>
      <c r="R1778" s="8" t="str">
        <f t="array" ref="R1778">XLOOKUP(E1778,Store_Dim!A:A,Store_Dim!B:B,"Not Found")</f>
        <v>East</v>
      </c>
      <c r="S1778" s="8" t="str">
        <f t="array" ref="S1778">XLOOKUP(E1778,Store_Dim!A:A,Store_Dim!D:D,"Not Found")</f>
        <v>Flagship</v>
      </c>
    </row>
    <row r="1779" ht="14.25" customHeight="1">
      <c r="A1779" s="8" t="s">
        <v>3732</v>
      </c>
      <c r="B1779" s="12">
        <v>47257.0</v>
      </c>
      <c r="C1779" s="8" t="s">
        <v>571</v>
      </c>
      <c r="D1779" s="8" t="s">
        <v>1713</v>
      </c>
      <c r="E1779" s="8" t="s">
        <v>1929</v>
      </c>
      <c r="F1779" s="8">
        <v>3.0</v>
      </c>
      <c r="G1779" s="8">
        <v>605.83</v>
      </c>
      <c r="H1779" s="8">
        <v>0.28</v>
      </c>
      <c r="I1779" s="8">
        <f t="shared" si="1"/>
        <v>1817.49</v>
      </c>
      <c r="J1779" s="8">
        <f t="shared" si="2"/>
        <v>-508.6172</v>
      </c>
      <c r="K1779" s="8" t="str">
        <f t="shared" si="3"/>
        <v>May</v>
      </c>
      <c r="L1779" s="8">
        <f t="shared" si="4"/>
        <v>2029</v>
      </c>
      <c r="N1779" s="8" t="str">
        <f t="array" ref="N1779">XLOOKUP(C1779,Customer_Dim!A:A,Customer_Dim!B:B,"Not Found")</f>
        <v>Daniel Contreras</v>
      </c>
      <c r="O1779" s="8" t="str">
        <f t="array" ref="O1779">XLOOKUP(C1779,Customer_Dim!A:A,Customer_Dim!E:E,"Not Found")</f>
        <v>Robertview</v>
      </c>
      <c r="P1779" s="8" t="str">
        <f t="array" ref="P1779">XLOOKUP(D1779,Product_Dim!A:A,Product_Dim!B:B,"Not Found")</f>
        <v>Smart Home WiFi Camera</v>
      </c>
      <c r="Q1779" s="8" t="str">
        <f t="array" ref="Q1779">XLOOKUP(D1779,Product_Dim!A:A,Product_Dim!C:C,"Not Found")</f>
        <v>Electronics</v>
      </c>
      <c r="R1779" s="8" t="str">
        <f t="array" ref="R1779">XLOOKUP(E1779,Store_Dim!A:A,Store_Dim!B:B,"Not Found")</f>
        <v>North</v>
      </c>
      <c r="S1779" s="8" t="str">
        <f t="array" ref="S1779">XLOOKUP(E1779,Store_Dim!A:A,Store_Dim!D:D,"Not Found")</f>
        <v>Online</v>
      </c>
    </row>
    <row r="1780" ht="14.25" customHeight="1">
      <c r="A1780" s="8" t="s">
        <v>3733</v>
      </c>
      <c r="B1780" s="12">
        <v>47258.0</v>
      </c>
      <c r="C1780" s="8" t="s">
        <v>257</v>
      </c>
      <c r="D1780" s="8" t="s">
        <v>1716</v>
      </c>
      <c r="E1780" s="8" t="s">
        <v>1910</v>
      </c>
      <c r="F1780" s="8">
        <v>2.0</v>
      </c>
      <c r="G1780" s="8">
        <v>521.44</v>
      </c>
      <c r="H1780" s="8">
        <v>0.25</v>
      </c>
      <c r="I1780" s="8">
        <f t="shared" si="1"/>
        <v>1042.88</v>
      </c>
      <c r="J1780" s="8">
        <f t="shared" si="2"/>
        <v>-260.47</v>
      </c>
      <c r="K1780" s="8" t="str">
        <f t="shared" si="3"/>
        <v>May</v>
      </c>
      <c r="L1780" s="8">
        <f t="shared" si="4"/>
        <v>2029</v>
      </c>
      <c r="N1780" s="8" t="str">
        <f t="array" ref="N1780">XLOOKUP(C1780,Customer_Dim!A:A,Customer_Dim!B:B,"Not Found")</f>
        <v>Amber Mcclain</v>
      </c>
      <c r="O1780" s="8" t="str">
        <f t="array" ref="O1780">XLOOKUP(C1780,Customer_Dim!A:A,Customer_Dim!E:E,"Not Found")</f>
        <v>Brendaburgh</v>
      </c>
      <c r="P1780" s="8" t="str">
        <f t="array" ref="P1780">XLOOKUP(D1780,Product_Dim!A:A,Product_Dim!B:B,"Not Found")</f>
        <v>USB External Hard Drive</v>
      </c>
      <c r="Q1780" s="8" t="str">
        <f t="array" ref="Q1780">XLOOKUP(D1780,Product_Dim!A:A,Product_Dim!C:C,"Not Found")</f>
        <v>Electronics</v>
      </c>
      <c r="R1780" s="8" t="str">
        <f t="array" ref="R1780">XLOOKUP(E1780,Store_Dim!A:A,Store_Dim!B:B,"Not Found")</f>
        <v>North</v>
      </c>
      <c r="S1780" s="8" t="str">
        <f t="array" ref="S1780">XLOOKUP(E1780,Store_Dim!A:A,Store_Dim!D:D,"Not Found")</f>
        <v>Outlet</v>
      </c>
    </row>
    <row r="1781" ht="14.25" customHeight="1">
      <c r="A1781" s="8" t="s">
        <v>3734</v>
      </c>
      <c r="B1781" s="12">
        <v>47259.0</v>
      </c>
      <c r="C1781" s="8" t="s">
        <v>1182</v>
      </c>
      <c r="D1781" s="8" t="s">
        <v>1606</v>
      </c>
      <c r="E1781" s="8" t="s">
        <v>1919</v>
      </c>
      <c r="F1781" s="8">
        <v>4.0</v>
      </c>
      <c r="G1781" s="8">
        <v>499.02</v>
      </c>
      <c r="H1781" s="8">
        <v>0.06</v>
      </c>
      <c r="I1781" s="8">
        <f t="shared" si="1"/>
        <v>1996.08</v>
      </c>
      <c r="J1781" s="8">
        <f t="shared" si="2"/>
        <v>-119.7048</v>
      </c>
      <c r="K1781" s="8" t="str">
        <f t="shared" si="3"/>
        <v>May</v>
      </c>
      <c r="L1781" s="8">
        <f t="shared" si="4"/>
        <v>2029</v>
      </c>
      <c r="N1781" s="8" t="str">
        <f t="array" ref="N1781">XLOOKUP(C1781,Customer_Dim!A:A,Customer_Dim!B:B,"Not Found")</f>
        <v>James Orozco</v>
      </c>
      <c r="O1781" s="8" t="str">
        <f t="array" ref="O1781">XLOOKUP(C1781,Customer_Dim!A:A,Customer_Dim!E:E,"Not Found")</f>
        <v>Simpsonfort</v>
      </c>
      <c r="P1781" s="8" t="str">
        <f t="array" ref="P1781">XLOOKUP(D1781,Product_Dim!A:A,Product_Dim!B:B,"Not Found")</f>
        <v>Ceramic Kitchen Bowl Set</v>
      </c>
      <c r="Q1781" s="8" t="str">
        <f t="array" ref="Q1781">XLOOKUP(D1781,Product_Dim!A:A,Product_Dim!C:C,"Not Found")</f>
        <v>Home</v>
      </c>
      <c r="R1781" s="8" t="str">
        <f t="array" ref="R1781">XLOOKUP(E1781,Store_Dim!A:A,Store_Dim!B:B,"Not Found")</f>
        <v>South</v>
      </c>
      <c r="S1781" s="8" t="str">
        <f t="array" ref="S1781">XLOOKUP(E1781,Store_Dim!A:A,Store_Dim!D:D,"Not Found")</f>
        <v>Online</v>
      </c>
    </row>
    <row r="1782" ht="14.25" customHeight="1">
      <c r="A1782" s="8" t="s">
        <v>3735</v>
      </c>
      <c r="B1782" s="12">
        <v>47260.0</v>
      </c>
      <c r="C1782" s="8" t="s">
        <v>526</v>
      </c>
      <c r="D1782" s="8" t="s">
        <v>1579</v>
      </c>
      <c r="E1782" s="8" t="s">
        <v>1939</v>
      </c>
      <c r="F1782" s="8">
        <v>4.0</v>
      </c>
      <c r="G1782" s="8">
        <v>299.46</v>
      </c>
      <c r="H1782" s="8">
        <v>0.18</v>
      </c>
      <c r="I1782" s="8">
        <f t="shared" si="1"/>
        <v>1197.84</v>
      </c>
      <c r="J1782" s="8">
        <f t="shared" si="2"/>
        <v>-215.4312</v>
      </c>
      <c r="K1782" s="8" t="str">
        <f t="shared" si="3"/>
        <v>May</v>
      </c>
      <c r="L1782" s="8">
        <f t="shared" si="4"/>
        <v>2029</v>
      </c>
      <c r="N1782" s="8" t="str">
        <f t="array" ref="N1782">XLOOKUP(C1782,Customer_Dim!A:A,Customer_Dim!B:B,"Not Found")</f>
        <v>Joseph Faulkner</v>
      </c>
      <c r="O1782" s="8" t="str">
        <f t="array" ref="O1782">XLOOKUP(C1782,Customer_Dim!A:A,Customer_Dim!E:E,"Not Found")</f>
        <v>New Leahfurt</v>
      </c>
      <c r="P1782" s="8" t="str">
        <f t="array" ref="P1782">XLOOKUP(D1782,Product_Dim!A:A,Product_Dim!B:B,"Not Found")</f>
        <v>Women's Yoga Pants</v>
      </c>
      <c r="Q1782" s="8" t="str">
        <f t="array" ref="Q1782">XLOOKUP(D1782,Product_Dim!A:A,Product_Dim!C:C,"Not Found")</f>
        <v>Clothing</v>
      </c>
      <c r="R1782" s="8" t="str">
        <f t="array" ref="R1782">XLOOKUP(E1782,Store_Dim!A:A,Store_Dim!B:B,"Not Found")</f>
        <v>East</v>
      </c>
      <c r="S1782" s="8" t="str">
        <f t="array" ref="S1782">XLOOKUP(E1782,Store_Dim!A:A,Store_Dim!D:D,"Not Found")</f>
        <v>Flagship</v>
      </c>
    </row>
    <row r="1783" ht="14.25" customHeight="1">
      <c r="A1783" s="8" t="s">
        <v>3736</v>
      </c>
      <c r="B1783" s="12">
        <v>47261.0</v>
      </c>
      <c r="C1783" s="8" t="s">
        <v>1427</v>
      </c>
      <c r="D1783" s="8" t="s">
        <v>1703</v>
      </c>
      <c r="E1783" s="8" t="s">
        <v>1899</v>
      </c>
      <c r="F1783" s="8">
        <v>1.0</v>
      </c>
      <c r="G1783" s="8">
        <v>609.29</v>
      </c>
      <c r="H1783" s="8">
        <v>0.15</v>
      </c>
      <c r="I1783" s="8">
        <f t="shared" si="1"/>
        <v>609.29</v>
      </c>
      <c r="J1783" s="8">
        <f t="shared" si="2"/>
        <v>-91.2435</v>
      </c>
      <c r="K1783" s="8" t="str">
        <f t="shared" si="3"/>
        <v>May</v>
      </c>
      <c r="L1783" s="8">
        <f t="shared" si="4"/>
        <v>2029</v>
      </c>
      <c r="N1783" s="8" t="str">
        <f t="array" ref="N1783">XLOOKUP(C1783,Customer_Dim!A:A,Customer_Dim!B:B,"Not Found")</f>
        <v>Christina Robertson</v>
      </c>
      <c r="O1783" s="8" t="str">
        <f t="array" ref="O1783">XLOOKUP(C1783,Customer_Dim!A:A,Customer_Dim!E:E,"Not Found")</f>
        <v>Hubbardborough</v>
      </c>
      <c r="P1783" s="8" t="str">
        <f t="array" ref="P1783">XLOOKUP(D1783,Product_Dim!A:A,Product_Dim!B:B,"Not Found")</f>
        <v>Portable Power Bank</v>
      </c>
      <c r="Q1783" s="8" t="str">
        <f t="array" ref="Q1783">XLOOKUP(D1783,Product_Dim!A:A,Product_Dim!C:C,"Not Found")</f>
        <v>Electronics</v>
      </c>
      <c r="R1783" s="8" t="str">
        <f t="array" ref="R1783">XLOOKUP(E1783,Store_Dim!A:A,Store_Dim!B:B,"Not Found")</f>
        <v>East</v>
      </c>
      <c r="S1783" s="8" t="str">
        <f t="array" ref="S1783">XLOOKUP(E1783,Store_Dim!A:A,Store_Dim!D:D,"Not Found")</f>
        <v>Flagship</v>
      </c>
    </row>
    <row r="1784" ht="14.25" customHeight="1">
      <c r="A1784" s="8" t="s">
        <v>3737</v>
      </c>
      <c r="B1784" s="12">
        <v>47262.0</v>
      </c>
      <c r="C1784" s="8" t="s">
        <v>370</v>
      </c>
      <c r="D1784" s="8" t="s">
        <v>1572</v>
      </c>
      <c r="E1784" s="8" t="s">
        <v>1921</v>
      </c>
      <c r="F1784" s="8">
        <v>1.0</v>
      </c>
      <c r="G1784" s="8">
        <v>213.74</v>
      </c>
      <c r="H1784" s="8">
        <v>0.07</v>
      </c>
      <c r="I1784" s="8">
        <f t="shared" si="1"/>
        <v>213.74</v>
      </c>
      <c r="J1784" s="8">
        <f t="shared" si="2"/>
        <v>-14.8918</v>
      </c>
      <c r="K1784" s="8" t="str">
        <f t="shared" si="3"/>
        <v>May</v>
      </c>
      <c r="L1784" s="8">
        <f t="shared" si="4"/>
        <v>2029</v>
      </c>
      <c r="N1784" s="8" t="str">
        <f t="array" ref="N1784">XLOOKUP(C1784,Customer_Dim!A:A,Customer_Dim!B:B,"Not Found")</f>
        <v>Colleen Maynard</v>
      </c>
      <c r="O1784" s="8" t="str">
        <f t="array" ref="O1784">XLOOKUP(C1784,Customer_Dim!A:A,Customer_Dim!E:E,"Not Found")</f>
        <v>Singletonmouth</v>
      </c>
      <c r="P1784" s="8" t="str">
        <f t="array" ref="P1784">XLOOKUP(D1784,Product_Dim!A:A,Product_Dim!B:B,"Not Found")</f>
        <v>Women's Casual Hoodie</v>
      </c>
      <c r="Q1784" s="8" t="str">
        <f t="array" ref="Q1784">XLOOKUP(D1784,Product_Dim!A:A,Product_Dim!C:C,"Not Found")</f>
        <v>Clothing</v>
      </c>
      <c r="R1784" s="8" t="str">
        <f t="array" ref="R1784">XLOOKUP(E1784,Store_Dim!A:A,Store_Dim!B:B,"Not Found")</f>
        <v>West</v>
      </c>
      <c r="S1784" s="8" t="str">
        <f t="array" ref="S1784">XLOOKUP(E1784,Store_Dim!A:A,Store_Dim!D:D,"Not Found")</f>
        <v>Online</v>
      </c>
    </row>
    <row r="1785" ht="14.25" customHeight="1">
      <c r="A1785" s="8" t="s">
        <v>3738</v>
      </c>
      <c r="B1785" s="12">
        <v>47263.0</v>
      </c>
      <c r="C1785" s="8" t="s">
        <v>526</v>
      </c>
      <c r="D1785" s="8" t="s">
        <v>1754</v>
      </c>
      <c r="E1785" s="8" t="s">
        <v>1935</v>
      </c>
      <c r="F1785" s="8">
        <v>4.0</v>
      </c>
      <c r="G1785" s="8">
        <v>613.17</v>
      </c>
      <c r="H1785" s="8">
        <v>0.26</v>
      </c>
      <c r="I1785" s="8">
        <f t="shared" si="1"/>
        <v>2452.68</v>
      </c>
      <c r="J1785" s="8">
        <f t="shared" si="2"/>
        <v>-637.4368</v>
      </c>
      <c r="K1785" s="8" t="str">
        <f t="shared" si="3"/>
        <v>May</v>
      </c>
      <c r="L1785" s="8">
        <f t="shared" si="4"/>
        <v>2029</v>
      </c>
      <c r="N1785" s="8" t="str">
        <f t="array" ref="N1785">XLOOKUP(C1785,Customer_Dim!A:A,Customer_Dim!B:B,"Not Found")</f>
        <v>Joseph Faulkner</v>
      </c>
      <c r="O1785" s="8" t="str">
        <f t="array" ref="O1785">XLOOKUP(C1785,Customer_Dim!A:A,Customer_Dim!E:E,"Not Found")</f>
        <v>New Leahfurt</v>
      </c>
      <c r="P1785" s="8" t="str">
        <f t="array" ref="P1785">XLOOKUP(D1785,Product_Dim!A:A,Product_Dim!B:B,"Not Found")</f>
        <v>Ceramic Plant Pot</v>
      </c>
      <c r="Q1785" s="8" t="str">
        <f t="array" ref="Q1785">XLOOKUP(D1785,Product_Dim!A:A,Product_Dim!C:C,"Not Found")</f>
        <v>Home</v>
      </c>
      <c r="R1785" s="8" t="str">
        <f t="array" ref="R1785">XLOOKUP(E1785,Store_Dim!A:A,Store_Dim!B:B,"Not Found")</f>
        <v>West</v>
      </c>
      <c r="S1785" s="8" t="str">
        <f t="array" ref="S1785">XLOOKUP(E1785,Store_Dim!A:A,Store_Dim!D:D,"Not Found")</f>
        <v>Flagship</v>
      </c>
    </row>
    <row r="1786" ht="14.25" customHeight="1">
      <c r="A1786" s="8" t="s">
        <v>3739</v>
      </c>
      <c r="B1786" s="12">
        <v>47264.0</v>
      </c>
      <c r="C1786" s="8" t="s">
        <v>1134</v>
      </c>
      <c r="D1786" s="8" t="s">
        <v>1766</v>
      </c>
      <c r="E1786" s="8" t="s">
        <v>1928</v>
      </c>
      <c r="F1786" s="8">
        <v>2.0</v>
      </c>
      <c r="G1786" s="8">
        <v>687.36</v>
      </c>
      <c r="H1786" s="8">
        <v>0.07</v>
      </c>
      <c r="I1786" s="8">
        <f t="shared" si="1"/>
        <v>1374.72</v>
      </c>
      <c r="J1786" s="8">
        <f t="shared" si="2"/>
        <v>-96.1604</v>
      </c>
      <c r="K1786" s="8" t="str">
        <f t="shared" si="3"/>
        <v>May</v>
      </c>
      <c r="L1786" s="8">
        <f t="shared" si="4"/>
        <v>2029</v>
      </c>
      <c r="N1786" s="8" t="str">
        <f t="array" ref="N1786">XLOOKUP(C1786,Customer_Dim!A:A,Customer_Dim!B:B,"Not Found")</f>
        <v>Manuel Castillo</v>
      </c>
      <c r="O1786" s="8" t="str">
        <f t="array" ref="O1786">XLOOKUP(C1786,Customer_Dim!A:A,Customer_Dim!E:E,"Not Found")</f>
        <v>Nealview</v>
      </c>
      <c r="P1786" s="8" t="str">
        <f t="array" ref="P1786">XLOOKUP(D1786,Product_Dim!A:A,Product_Dim!B:B,"Not Found")</f>
        <v>Men's Hair Styling Gel</v>
      </c>
      <c r="Q1786" s="8" t="str">
        <f t="array" ref="Q1786">XLOOKUP(D1786,Product_Dim!A:A,Product_Dim!C:C,"Not Found")</f>
        <v>Beauty</v>
      </c>
      <c r="R1786" s="8" t="str">
        <f t="array" ref="R1786">XLOOKUP(E1786,Store_Dim!A:A,Store_Dim!B:B,"Not Found")</f>
        <v>South</v>
      </c>
      <c r="S1786" s="8" t="str">
        <f t="array" ref="S1786">XLOOKUP(E1786,Store_Dim!A:A,Store_Dim!D:D,"Not Found")</f>
        <v>Online</v>
      </c>
    </row>
    <row r="1787" ht="14.25" customHeight="1">
      <c r="A1787" s="8" t="s">
        <v>3740</v>
      </c>
      <c r="B1787" s="12">
        <v>47265.0</v>
      </c>
      <c r="C1787" s="8" t="s">
        <v>1041</v>
      </c>
      <c r="D1787" s="8" t="s">
        <v>1790</v>
      </c>
      <c r="E1787" s="8" t="s">
        <v>1931</v>
      </c>
      <c r="F1787" s="8">
        <v>3.0</v>
      </c>
      <c r="G1787" s="8">
        <v>115.39</v>
      </c>
      <c r="H1787" s="8">
        <v>0.02</v>
      </c>
      <c r="I1787" s="8">
        <f t="shared" si="1"/>
        <v>346.17</v>
      </c>
      <c r="J1787" s="8">
        <f t="shared" si="2"/>
        <v>-6.9034</v>
      </c>
      <c r="K1787" s="8" t="str">
        <f t="shared" si="3"/>
        <v>May</v>
      </c>
      <c r="L1787" s="8">
        <f t="shared" si="4"/>
        <v>2029</v>
      </c>
      <c r="N1787" s="8" t="str">
        <f t="array" ref="N1787">XLOOKUP(C1787,Customer_Dim!A:A,Customer_Dim!B:B,"Not Found")</f>
        <v>Robert King</v>
      </c>
      <c r="O1787" s="8" t="str">
        <f t="array" ref="O1787">XLOOKUP(C1787,Customer_Dim!A:A,Customer_Dim!E:E,"Not Found")</f>
        <v>Cindyton</v>
      </c>
      <c r="P1787" s="8" t="str">
        <f t="array" ref="P1787">XLOOKUP(D1787,Product_Dim!A:A,Product_Dim!B:B,"Not Found")</f>
        <v>Smart LED Light Strip</v>
      </c>
      <c r="Q1787" s="8" t="str">
        <f t="array" ref="Q1787">XLOOKUP(D1787,Product_Dim!A:A,Product_Dim!C:C,"Not Found")</f>
        <v>Electronics</v>
      </c>
      <c r="R1787" s="8" t="str">
        <f t="array" ref="R1787">XLOOKUP(E1787,Store_Dim!A:A,Store_Dim!B:B,"Not Found")</f>
        <v>East</v>
      </c>
      <c r="S1787" s="8" t="str">
        <f t="array" ref="S1787">XLOOKUP(E1787,Store_Dim!A:A,Store_Dim!D:D,"Not Found")</f>
        <v>Flagship</v>
      </c>
    </row>
    <row r="1788" ht="14.25" customHeight="1">
      <c r="A1788" s="8" t="s">
        <v>3741</v>
      </c>
      <c r="B1788" s="12">
        <v>47266.0</v>
      </c>
      <c r="C1788" s="8" t="s">
        <v>604</v>
      </c>
      <c r="D1788" s="8" t="s">
        <v>1655</v>
      </c>
      <c r="E1788" s="8" t="s">
        <v>1929</v>
      </c>
      <c r="F1788" s="8">
        <v>2.0</v>
      </c>
      <c r="G1788" s="8">
        <v>722.06</v>
      </c>
      <c r="H1788" s="8">
        <v>0.07</v>
      </c>
      <c r="I1788" s="8">
        <f t="shared" si="1"/>
        <v>1444.12</v>
      </c>
      <c r="J1788" s="8">
        <f t="shared" si="2"/>
        <v>-101.0184</v>
      </c>
      <c r="K1788" s="8" t="str">
        <f t="shared" si="3"/>
        <v>May</v>
      </c>
      <c r="L1788" s="8">
        <f t="shared" si="4"/>
        <v>2029</v>
      </c>
      <c r="N1788" s="8" t="str">
        <f t="array" ref="N1788">XLOOKUP(C1788,Customer_Dim!A:A,Customer_Dim!B:B,"Not Found")</f>
        <v>Nicholas Bradshaw</v>
      </c>
      <c r="O1788" s="8" t="str">
        <f t="array" ref="O1788">XLOOKUP(C1788,Customer_Dim!A:A,Customer_Dim!E:E,"Not Found")</f>
        <v>Murphyfurt</v>
      </c>
      <c r="P1788" s="8" t="str">
        <f t="array" ref="P1788">XLOOKUP(D1788,Product_Dim!A:A,Product_Dim!B:B,"Not Found")</f>
        <v>Foldable Camping Chair</v>
      </c>
      <c r="Q1788" s="8" t="str">
        <f t="array" ref="Q1788">XLOOKUP(D1788,Product_Dim!A:A,Product_Dim!C:C,"Not Found")</f>
        <v>Sports</v>
      </c>
      <c r="R1788" s="8" t="str">
        <f t="array" ref="R1788">XLOOKUP(E1788,Store_Dim!A:A,Store_Dim!B:B,"Not Found")</f>
        <v>North</v>
      </c>
      <c r="S1788" s="8" t="str">
        <f t="array" ref="S1788">XLOOKUP(E1788,Store_Dim!A:A,Store_Dim!D:D,"Not Found")</f>
        <v>Online</v>
      </c>
    </row>
    <row r="1789" ht="14.25" customHeight="1">
      <c r="A1789" s="8" t="s">
        <v>3742</v>
      </c>
      <c r="B1789" s="12">
        <v>47267.0</v>
      </c>
      <c r="C1789" s="8" t="s">
        <v>1335</v>
      </c>
      <c r="D1789" s="8" t="s">
        <v>1592</v>
      </c>
      <c r="E1789" s="8" t="s">
        <v>1933</v>
      </c>
      <c r="F1789" s="8">
        <v>1.0</v>
      </c>
      <c r="G1789" s="8">
        <v>384.57</v>
      </c>
      <c r="H1789" s="8">
        <v>0.06</v>
      </c>
      <c r="I1789" s="8">
        <f t="shared" si="1"/>
        <v>384.57</v>
      </c>
      <c r="J1789" s="8">
        <f t="shared" si="2"/>
        <v>-23.0142</v>
      </c>
      <c r="K1789" s="8" t="str">
        <f t="shared" si="3"/>
        <v>May</v>
      </c>
      <c r="L1789" s="8">
        <f t="shared" si="4"/>
        <v>2029</v>
      </c>
      <c r="N1789" s="8" t="str">
        <f t="array" ref="N1789">XLOOKUP(C1789,Customer_Dim!A:A,Customer_Dim!B:B,"Not Found")</f>
        <v>Bryce Hawkins</v>
      </c>
      <c r="O1789" s="8" t="str">
        <f t="array" ref="O1789">XLOOKUP(C1789,Customer_Dim!A:A,Customer_Dim!E:E,"Not Found")</f>
        <v>Lake Monique</v>
      </c>
      <c r="P1789" s="8" t="str">
        <f t="array" ref="P1789">XLOOKUP(D1789,Product_Dim!A:A,Product_Dim!B:B,"Not Found")</f>
        <v>LED Table Lamp</v>
      </c>
      <c r="Q1789" s="8" t="str">
        <f t="array" ref="Q1789">XLOOKUP(D1789,Product_Dim!A:A,Product_Dim!C:C,"Not Found")</f>
        <v>Home</v>
      </c>
      <c r="R1789" s="8" t="str">
        <f t="array" ref="R1789">XLOOKUP(E1789,Store_Dim!A:A,Store_Dim!B:B,"Not Found")</f>
        <v>North</v>
      </c>
      <c r="S1789" s="8" t="str">
        <f t="array" ref="S1789">XLOOKUP(E1789,Store_Dim!A:A,Store_Dim!D:D,"Not Found")</f>
        <v>Flagship</v>
      </c>
    </row>
    <row r="1790" ht="14.25" customHeight="1">
      <c r="A1790" s="8" t="s">
        <v>3743</v>
      </c>
      <c r="B1790" s="12">
        <v>47268.0</v>
      </c>
      <c r="C1790" s="8" t="s">
        <v>696</v>
      </c>
      <c r="D1790" s="8" t="s">
        <v>1597</v>
      </c>
      <c r="E1790" s="8" t="s">
        <v>1931</v>
      </c>
      <c r="F1790" s="8">
        <v>2.0</v>
      </c>
      <c r="G1790" s="8">
        <v>194.09</v>
      </c>
      <c r="H1790" s="8">
        <v>0.18</v>
      </c>
      <c r="I1790" s="8">
        <f t="shared" si="1"/>
        <v>388.18</v>
      </c>
      <c r="J1790" s="8">
        <f t="shared" si="2"/>
        <v>-69.6924</v>
      </c>
      <c r="K1790" s="8" t="str">
        <f t="shared" si="3"/>
        <v>May</v>
      </c>
      <c r="L1790" s="8">
        <f t="shared" si="4"/>
        <v>2029</v>
      </c>
      <c r="N1790" s="8" t="str">
        <f t="array" ref="N1790">XLOOKUP(C1790,Customer_Dim!A:A,Customer_Dim!B:B,"Not Found")</f>
        <v>Antonio Jones</v>
      </c>
      <c r="O1790" s="8" t="str">
        <f t="array" ref="O1790">XLOOKUP(C1790,Customer_Dim!A:A,Customer_Dim!E:E,"Not Found")</f>
        <v>Matthewborough</v>
      </c>
      <c r="P1790" s="8" t="str">
        <f t="array" ref="P1790">XLOOKUP(D1790,Product_Dim!A:A,Product_Dim!B:B,"Not Found")</f>
        <v>Wireless Bluetooth Earbuds</v>
      </c>
      <c r="Q1790" s="8" t="str">
        <f t="array" ref="Q1790">XLOOKUP(D1790,Product_Dim!A:A,Product_Dim!C:C,"Not Found")</f>
        <v>Electronics</v>
      </c>
      <c r="R1790" s="8" t="str">
        <f t="array" ref="R1790">XLOOKUP(E1790,Store_Dim!A:A,Store_Dim!B:B,"Not Found")</f>
        <v>East</v>
      </c>
      <c r="S1790" s="8" t="str">
        <f t="array" ref="S1790">XLOOKUP(E1790,Store_Dim!A:A,Store_Dim!D:D,"Not Found")</f>
        <v>Flagship</v>
      </c>
    </row>
    <row r="1791" ht="14.25" customHeight="1">
      <c r="A1791" s="8" t="s">
        <v>3744</v>
      </c>
      <c r="B1791" s="12">
        <v>47269.0</v>
      </c>
      <c r="C1791" s="8" t="s">
        <v>583</v>
      </c>
      <c r="D1791" s="8" t="s">
        <v>1854</v>
      </c>
      <c r="E1791" s="8" t="s">
        <v>1910</v>
      </c>
      <c r="F1791" s="8">
        <v>2.0</v>
      </c>
      <c r="G1791" s="8">
        <v>403.91</v>
      </c>
      <c r="H1791" s="8">
        <v>0.07</v>
      </c>
      <c r="I1791" s="8">
        <f t="shared" si="1"/>
        <v>807.82</v>
      </c>
      <c r="J1791" s="8">
        <f t="shared" si="2"/>
        <v>-56.4774</v>
      </c>
      <c r="K1791" s="8" t="str">
        <f t="shared" si="3"/>
        <v>May</v>
      </c>
      <c r="L1791" s="8">
        <f t="shared" si="4"/>
        <v>2029</v>
      </c>
      <c r="N1791" s="8" t="str">
        <f t="array" ref="N1791">XLOOKUP(C1791,Customer_Dim!A:A,Customer_Dim!B:B,"Not Found")</f>
        <v>Thomas Rhodes</v>
      </c>
      <c r="O1791" s="8" t="str">
        <f t="array" ref="O1791">XLOOKUP(C1791,Customer_Dim!A:A,Customer_Dim!E:E,"Not Found")</f>
        <v>Port Richard</v>
      </c>
      <c r="P1791" s="8" t="str">
        <f t="array" ref="P1791">XLOOKUP(D1791,Product_Dim!A:A,Product_Dim!B:B,"Not Found")</f>
        <v>Sports Wrist Sweatbands</v>
      </c>
      <c r="Q1791" s="8" t="str">
        <f t="array" ref="Q1791">XLOOKUP(D1791,Product_Dim!A:A,Product_Dim!C:C,"Not Found")</f>
        <v>Sports</v>
      </c>
      <c r="R1791" s="8" t="str">
        <f t="array" ref="R1791">XLOOKUP(E1791,Store_Dim!A:A,Store_Dim!B:B,"Not Found")</f>
        <v>North</v>
      </c>
      <c r="S1791" s="8" t="str">
        <f t="array" ref="S1791">XLOOKUP(E1791,Store_Dim!A:A,Store_Dim!D:D,"Not Found")</f>
        <v>Outlet</v>
      </c>
    </row>
    <row r="1792" ht="14.25" customHeight="1">
      <c r="A1792" s="8" t="s">
        <v>3745</v>
      </c>
      <c r="B1792" s="12">
        <v>47270.0</v>
      </c>
      <c r="C1792" s="8" t="s">
        <v>288</v>
      </c>
      <c r="D1792" s="8" t="s">
        <v>1632</v>
      </c>
      <c r="E1792" s="8" t="s">
        <v>1932</v>
      </c>
      <c r="F1792" s="8">
        <v>1.0</v>
      </c>
      <c r="G1792" s="8">
        <v>878.69</v>
      </c>
      <c r="H1792" s="8">
        <v>0.3</v>
      </c>
      <c r="I1792" s="8">
        <f t="shared" si="1"/>
        <v>878.69</v>
      </c>
      <c r="J1792" s="8">
        <f t="shared" si="2"/>
        <v>-263.307</v>
      </c>
      <c r="K1792" s="8" t="str">
        <f t="shared" si="3"/>
        <v>Jun</v>
      </c>
      <c r="L1792" s="8">
        <f t="shared" si="4"/>
        <v>2029</v>
      </c>
      <c r="N1792" s="8" t="str">
        <f t="array" ref="N1792">XLOOKUP(C1792,Customer_Dim!A:A,Customer_Dim!B:B,"Not Found")</f>
        <v>Nathan Campbell</v>
      </c>
      <c r="O1792" s="8" t="str">
        <f t="array" ref="O1792">XLOOKUP(C1792,Customer_Dim!A:A,Customer_Dim!E:E,"Not Found")</f>
        <v>Rodrigueztown</v>
      </c>
      <c r="P1792" s="8" t="str">
        <f t="array" ref="P1792">XLOOKUP(D1792,Product_Dim!A:A,Product_Dim!B:B,"Not Found")</f>
        <v>Soccer Training Cone Set</v>
      </c>
      <c r="Q1792" s="8" t="str">
        <f t="array" ref="Q1792">XLOOKUP(D1792,Product_Dim!A:A,Product_Dim!C:C,"Not Found")</f>
        <v>Sports</v>
      </c>
      <c r="R1792" s="8" t="str">
        <f t="array" ref="R1792">XLOOKUP(E1792,Store_Dim!A:A,Store_Dim!B:B,"Not Found")</f>
        <v>South</v>
      </c>
      <c r="S1792" s="8" t="str">
        <f t="array" ref="S1792">XLOOKUP(E1792,Store_Dim!A:A,Store_Dim!D:D,"Not Found")</f>
        <v>Outlet</v>
      </c>
    </row>
    <row r="1793" ht="14.25" customHeight="1">
      <c r="A1793" s="8" t="s">
        <v>3746</v>
      </c>
      <c r="B1793" s="12">
        <v>47271.0</v>
      </c>
      <c r="C1793" s="8" t="s">
        <v>1206</v>
      </c>
      <c r="D1793" s="8" t="s">
        <v>1684</v>
      </c>
      <c r="E1793" s="8" t="s">
        <v>1933</v>
      </c>
      <c r="F1793" s="8">
        <v>1.0</v>
      </c>
      <c r="G1793" s="8">
        <v>161.17</v>
      </c>
      <c r="H1793" s="8">
        <v>0.05</v>
      </c>
      <c r="I1793" s="8">
        <f t="shared" si="1"/>
        <v>161.17</v>
      </c>
      <c r="J1793" s="8">
        <f t="shared" si="2"/>
        <v>-8.0085</v>
      </c>
      <c r="K1793" s="8" t="str">
        <f t="shared" si="3"/>
        <v>Jun</v>
      </c>
      <c r="L1793" s="8">
        <f t="shared" si="4"/>
        <v>2029</v>
      </c>
      <c r="N1793" s="8" t="str">
        <f t="array" ref="N1793">XLOOKUP(C1793,Customer_Dim!A:A,Customer_Dim!B:B,"Not Found")</f>
        <v>Erika Padilla</v>
      </c>
      <c r="O1793" s="8" t="str">
        <f t="array" ref="O1793">XLOOKUP(C1793,Customer_Dim!A:A,Customer_Dim!E:E,"Not Found")</f>
        <v>Andrewsland</v>
      </c>
      <c r="P1793" s="8" t="str">
        <f t="array" ref="P1793">XLOOKUP(D1793,Product_Dim!A:A,Product_Dim!B:B,"Not Found")</f>
        <v>Modern Wall Clock</v>
      </c>
      <c r="Q1793" s="8" t="str">
        <f t="array" ref="Q1793">XLOOKUP(D1793,Product_Dim!A:A,Product_Dim!C:C,"Not Found")</f>
        <v>Home</v>
      </c>
      <c r="R1793" s="8" t="str">
        <f t="array" ref="R1793">XLOOKUP(E1793,Store_Dim!A:A,Store_Dim!B:B,"Not Found")</f>
        <v>North</v>
      </c>
      <c r="S1793" s="8" t="str">
        <f t="array" ref="S1793">XLOOKUP(E1793,Store_Dim!A:A,Store_Dim!D:D,"Not Found")</f>
        <v>Flagship</v>
      </c>
    </row>
    <row r="1794" ht="14.25" customHeight="1">
      <c r="A1794" s="8" t="s">
        <v>3747</v>
      </c>
      <c r="B1794" s="12">
        <v>47272.0</v>
      </c>
      <c r="C1794" s="8" t="s">
        <v>708</v>
      </c>
      <c r="D1794" s="8" t="s">
        <v>1809</v>
      </c>
      <c r="E1794" s="8" t="s">
        <v>1932</v>
      </c>
      <c r="F1794" s="8">
        <v>2.0</v>
      </c>
      <c r="G1794" s="8">
        <v>720.15</v>
      </c>
      <c r="H1794" s="8">
        <v>0.22</v>
      </c>
      <c r="I1794" s="8">
        <f t="shared" si="1"/>
        <v>1440.3</v>
      </c>
      <c r="J1794" s="8">
        <f t="shared" si="2"/>
        <v>-316.646</v>
      </c>
      <c r="K1794" s="8" t="str">
        <f t="shared" si="3"/>
        <v>Jun</v>
      </c>
      <c r="L1794" s="8">
        <f t="shared" si="4"/>
        <v>2029</v>
      </c>
      <c r="N1794" s="8" t="str">
        <f t="array" ref="N1794">XLOOKUP(C1794,Customer_Dim!A:A,Customer_Dim!B:B,"Not Found")</f>
        <v>Eric Todd</v>
      </c>
      <c r="O1794" s="8" t="str">
        <f t="array" ref="O1794">XLOOKUP(C1794,Customer_Dim!A:A,Customer_Dim!E:E,"Not Found")</f>
        <v>Danielstad</v>
      </c>
      <c r="P1794" s="8" t="str">
        <f t="array" ref="P1794">XLOOKUP(D1794,Product_Dim!A:A,Product_Dim!B:B,"Not Found")</f>
        <v>Shin Guards – Adult</v>
      </c>
      <c r="Q1794" s="8" t="str">
        <f t="array" ref="Q1794">XLOOKUP(D1794,Product_Dim!A:A,Product_Dim!C:C,"Not Found")</f>
        <v>Sports</v>
      </c>
      <c r="R1794" s="8" t="str">
        <f t="array" ref="R1794">XLOOKUP(E1794,Store_Dim!A:A,Store_Dim!B:B,"Not Found")</f>
        <v>South</v>
      </c>
      <c r="S1794" s="8" t="str">
        <f t="array" ref="S1794">XLOOKUP(E1794,Store_Dim!A:A,Store_Dim!D:D,"Not Found")</f>
        <v>Outlet</v>
      </c>
    </row>
    <row r="1795" ht="14.25" customHeight="1">
      <c r="A1795" s="8" t="s">
        <v>3748</v>
      </c>
      <c r="B1795" s="12">
        <v>47273.0</v>
      </c>
      <c r="C1795" s="8" t="s">
        <v>1104</v>
      </c>
      <c r="D1795" s="8" t="s">
        <v>1662</v>
      </c>
      <c r="E1795" s="8" t="s">
        <v>1921</v>
      </c>
      <c r="F1795" s="8">
        <v>1.0</v>
      </c>
      <c r="G1795" s="8">
        <v>361.8</v>
      </c>
      <c r="H1795" s="8">
        <v>0.02</v>
      </c>
      <c r="I1795" s="8">
        <f t="shared" si="1"/>
        <v>361.8</v>
      </c>
      <c r="J1795" s="8">
        <f t="shared" si="2"/>
        <v>-7.216</v>
      </c>
      <c r="K1795" s="8" t="str">
        <f t="shared" si="3"/>
        <v>Jun</v>
      </c>
      <c r="L1795" s="8">
        <f t="shared" si="4"/>
        <v>2029</v>
      </c>
      <c r="N1795" s="8" t="str">
        <f t="array" ref="N1795">XLOOKUP(C1795,Customer_Dim!A:A,Customer_Dim!B:B,"Not Found")</f>
        <v>Justin Mason DDS</v>
      </c>
      <c r="O1795" s="8" t="str">
        <f t="array" ref="O1795">XLOOKUP(C1795,Customer_Dim!A:A,Customer_Dim!E:E,"Not Found")</f>
        <v>Peggystad</v>
      </c>
      <c r="P1795" s="8" t="str">
        <f t="array" ref="P1795">XLOOKUP(D1795,Product_Dim!A:A,Product_Dim!B:B,"Not Found")</f>
        <v>Wireless Bluetooth Speaker</v>
      </c>
      <c r="Q1795" s="8" t="str">
        <f t="array" ref="Q1795">XLOOKUP(D1795,Product_Dim!A:A,Product_Dim!C:C,"Not Found")</f>
        <v>Electronics</v>
      </c>
      <c r="R1795" s="8" t="str">
        <f t="array" ref="R1795">XLOOKUP(E1795,Store_Dim!A:A,Store_Dim!B:B,"Not Found")</f>
        <v>West</v>
      </c>
      <c r="S1795" s="8" t="str">
        <f t="array" ref="S1795">XLOOKUP(E1795,Store_Dim!A:A,Store_Dim!D:D,"Not Found")</f>
        <v>Online</v>
      </c>
    </row>
    <row r="1796" ht="14.25" customHeight="1">
      <c r="A1796" s="8" t="s">
        <v>3749</v>
      </c>
      <c r="B1796" s="12">
        <v>47274.0</v>
      </c>
      <c r="C1796" s="8" t="s">
        <v>755</v>
      </c>
      <c r="D1796" s="8" t="s">
        <v>1875</v>
      </c>
      <c r="E1796" s="8" t="s">
        <v>1917</v>
      </c>
      <c r="F1796" s="8">
        <v>1.0</v>
      </c>
      <c r="G1796" s="8">
        <v>779.84</v>
      </c>
      <c r="H1796" s="8">
        <v>0.29</v>
      </c>
      <c r="I1796" s="8">
        <f t="shared" si="1"/>
        <v>779.84</v>
      </c>
      <c r="J1796" s="8">
        <f t="shared" si="2"/>
        <v>-225.8636</v>
      </c>
      <c r="K1796" s="8" t="str">
        <f t="shared" si="3"/>
        <v>Jun</v>
      </c>
      <c r="L1796" s="8">
        <f t="shared" si="4"/>
        <v>2029</v>
      </c>
      <c r="N1796" s="8" t="str">
        <f t="array" ref="N1796">XLOOKUP(C1796,Customer_Dim!A:A,Customer_Dim!B:B,"Not Found")</f>
        <v>Timothy Sanders</v>
      </c>
      <c r="O1796" s="8" t="str">
        <f t="array" ref="O1796">XLOOKUP(C1796,Customer_Dim!A:A,Customer_Dim!E:E,"Not Found")</f>
        <v>Aaronmouth</v>
      </c>
      <c r="P1796" s="8" t="str">
        <f t="array" ref="P1796">XLOOKUP(D1796,Product_Dim!A:A,Product_Dim!B:B,"Not Found")</f>
        <v>Sports Stopwatch Basic</v>
      </c>
      <c r="Q1796" s="8" t="str">
        <f t="array" ref="Q1796">XLOOKUP(D1796,Product_Dim!A:A,Product_Dim!C:C,"Not Found")</f>
        <v>Sports</v>
      </c>
      <c r="R1796" s="8" t="str">
        <f t="array" ref="R1796">XLOOKUP(E1796,Store_Dim!A:A,Store_Dim!B:B,"Not Found")</f>
        <v>East</v>
      </c>
      <c r="S1796" s="8" t="str">
        <f t="array" ref="S1796">XLOOKUP(E1796,Store_Dim!A:A,Store_Dim!D:D,"Not Found")</f>
        <v>Online</v>
      </c>
    </row>
    <row r="1797" ht="14.25" customHeight="1">
      <c r="A1797" s="8" t="s">
        <v>3750</v>
      </c>
      <c r="B1797" s="12">
        <v>47275.0</v>
      </c>
      <c r="C1797" s="8" t="s">
        <v>35</v>
      </c>
      <c r="D1797" s="8" t="s">
        <v>1878</v>
      </c>
      <c r="E1797" s="8" t="s">
        <v>1912</v>
      </c>
      <c r="F1797" s="8">
        <v>2.0</v>
      </c>
      <c r="G1797" s="8">
        <v>649.89</v>
      </c>
      <c r="H1797" s="8">
        <v>0.17</v>
      </c>
      <c r="I1797" s="8">
        <f t="shared" si="1"/>
        <v>1299.78</v>
      </c>
      <c r="J1797" s="8">
        <f t="shared" si="2"/>
        <v>-220.7926</v>
      </c>
      <c r="K1797" s="8" t="str">
        <f t="shared" si="3"/>
        <v>Jun</v>
      </c>
      <c r="L1797" s="8">
        <f t="shared" si="4"/>
        <v>2029</v>
      </c>
      <c r="N1797" s="8" t="str">
        <f t="array" ref="N1797">XLOOKUP(C1797,Customer_Dim!A:A,Customer_Dim!B:B,"Not Found")</f>
        <v>Caroline Collins</v>
      </c>
      <c r="O1797" s="8" t="str">
        <f t="array" ref="O1797">XLOOKUP(C1797,Customer_Dim!A:A,Customer_Dim!E:E,"Not Found")</f>
        <v>Nicholasshire</v>
      </c>
      <c r="P1797" s="8" t="str">
        <f t="array" ref="P1797">XLOOKUP(D1797,Product_Dim!A:A,Product_Dim!B:B,"Not Found")</f>
        <v>Women's Formal Blazer</v>
      </c>
      <c r="Q1797" s="8" t="str">
        <f t="array" ref="Q1797">XLOOKUP(D1797,Product_Dim!A:A,Product_Dim!C:C,"Not Found")</f>
        <v>Clothing</v>
      </c>
      <c r="R1797" s="8" t="str">
        <f t="array" ref="R1797">XLOOKUP(E1797,Store_Dim!A:A,Store_Dim!B:B,"Not Found")</f>
        <v>South</v>
      </c>
      <c r="S1797" s="8" t="str">
        <f t="array" ref="S1797">XLOOKUP(E1797,Store_Dim!A:A,Store_Dim!D:D,"Not Found")</f>
        <v>Online</v>
      </c>
    </row>
    <row r="1798" ht="14.25" customHeight="1">
      <c r="A1798" s="8" t="s">
        <v>3751</v>
      </c>
      <c r="B1798" s="12">
        <v>47276.0</v>
      </c>
      <c r="C1798" s="8" t="s">
        <v>678</v>
      </c>
      <c r="D1798" s="8" t="s">
        <v>1748</v>
      </c>
      <c r="E1798" s="8" t="s">
        <v>1917</v>
      </c>
      <c r="F1798" s="8">
        <v>1.0</v>
      </c>
      <c r="G1798" s="8">
        <v>952.73</v>
      </c>
      <c r="H1798" s="8">
        <v>0.17</v>
      </c>
      <c r="I1798" s="8">
        <f t="shared" si="1"/>
        <v>952.73</v>
      </c>
      <c r="J1798" s="8">
        <f t="shared" si="2"/>
        <v>-161.7941</v>
      </c>
      <c r="K1798" s="8" t="str">
        <f t="shared" si="3"/>
        <v>Jun</v>
      </c>
      <c r="L1798" s="8">
        <f t="shared" si="4"/>
        <v>2029</v>
      </c>
      <c r="N1798" s="8" t="str">
        <f t="array" ref="N1798">XLOOKUP(C1798,Customer_Dim!A:A,Customer_Dim!B:B,"Not Found")</f>
        <v>Tiffany Herrera</v>
      </c>
      <c r="O1798" s="8" t="str">
        <f t="array" ref="O1798">XLOOKUP(C1798,Customer_Dim!A:A,Customer_Dim!E:E,"Not Found")</f>
        <v>New Dianebury</v>
      </c>
      <c r="P1798" s="8" t="str">
        <f t="array" ref="P1798">XLOOKUP(D1798,Product_Dim!A:A,Product_Dim!B:B,"Not Found")</f>
        <v>Men's Track Pants</v>
      </c>
      <c r="Q1798" s="8" t="str">
        <f t="array" ref="Q1798">XLOOKUP(D1798,Product_Dim!A:A,Product_Dim!C:C,"Not Found")</f>
        <v>Clothing</v>
      </c>
      <c r="R1798" s="8" t="str">
        <f t="array" ref="R1798">XLOOKUP(E1798,Store_Dim!A:A,Store_Dim!B:B,"Not Found")</f>
        <v>East</v>
      </c>
      <c r="S1798" s="8" t="str">
        <f t="array" ref="S1798">XLOOKUP(E1798,Store_Dim!A:A,Store_Dim!D:D,"Not Found")</f>
        <v>Online</v>
      </c>
    </row>
    <row r="1799" ht="14.25" customHeight="1">
      <c r="A1799" s="8" t="s">
        <v>3752</v>
      </c>
      <c r="B1799" s="12">
        <v>47277.0</v>
      </c>
      <c r="C1799" s="8" t="s">
        <v>314</v>
      </c>
      <c r="D1799" s="8" t="s">
        <v>1887</v>
      </c>
      <c r="E1799" s="8" t="s">
        <v>1935</v>
      </c>
      <c r="F1799" s="8">
        <v>4.0</v>
      </c>
      <c r="G1799" s="8">
        <v>820.78</v>
      </c>
      <c r="H1799" s="8">
        <v>0.25</v>
      </c>
      <c r="I1799" s="8">
        <f t="shared" si="1"/>
        <v>3283.12</v>
      </c>
      <c r="J1799" s="8">
        <f t="shared" si="2"/>
        <v>-820.53</v>
      </c>
      <c r="K1799" s="8" t="str">
        <f t="shared" si="3"/>
        <v>Jun</v>
      </c>
      <c r="L1799" s="8">
        <f t="shared" si="4"/>
        <v>2029</v>
      </c>
      <c r="N1799" s="8" t="str">
        <f t="array" ref="N1799">XLOOKUP(C1799,Customer_Dim!A:A,Customer_Dim!B:B,"Not Found")</f>
        <v>Christy Hoffman</v>
      </c>
      <c r="O1799" s="8" t="str">
        <f t="array" ref="O1799">XLOOKUP(C1799,Customer_Dim!A:A,Customer_Dim!E:E,"Not Found")</f>
        <v>Garyberg</v>
      </c>
      <c r="P1799" s="8" t="str">
        <f t="array" ref="P1799">XLOOKUP(D1799,Product_Dim!A:A,Product_Dim!B:B,"Not Found")</f>
        <v>Stainless Steel Cookware Set</v>
      </c>
      <c r="Q1799" s="8" t="str">
        <f t="array" ref="Q1799">XLOOKUP(D1799,Product_Dim!A:A,Product_Dim!C:C,"Not Found")</f>
        <v>Home</v>
      </c>
      <c r="R1799" s="8" t="str">
        <f t="array" ref="R1799">XLOOKUP(E1799,Store_Dim!A:A,Store_Dim!B:B,"Not Found")</f>
        <v>West</v>
      </c>
      <c r="S1799" s="8" t="str">
        <f t="array" ref="S1799">XLOOKUP(E1799,Store_Dim!A:A,Store_Dim!D:D,"Not Found")</f>
        <v>Flagship</v>
      </c>
    </row>
    <row r="1800" ht="14.25" customHeight="1">
      <c r="A1800" s="8" t="s">
        <v>3753</v>
      </c>
      <c r="B1800" s="12">
        <v>47278.0</v>
      </c>
      <c r="C1800" s="8" t="s">
        <v>1089</v>
      </c>
      <c r="D1800" s="8" t="s">
        <v>1700</v>
      </c>
      <c r="E1800" s="8" t="s">
        <v>1910</v>
      </c>
      <c r="F1800" s="8">
        <v>4.0</v>
      </c>
      <c r="G1800" s="8">
        <v>247.55</v>
      </c>
      <c r="H1800" s="8">
        <v>0.05</v>
      </c>
      <c r="I1800" s="8">
        <f t="shared" si="1"/>
        <v>990.2</v>
      </c>
      <c r="J1800" s="8">
        <f t="shared" si="2"/>
        <v>-49.46</v>
      </c>
      <c r="K1800" s="8" t="str">
        <f t="shared" si="3"/>
        <v>Jun</v>
      </c>
      <c r="L1800" s="8">
        <f t="shared" si="4"/>
        <v>2029</v>
      </c>
      <c r="N1800" s="8" t="str">
        <f t="array" ref="N1800">XLOOKUP(C1800,Customer_Dim!A:A,Customer_Dim!B:B,"Not Found")</f>
        <v>Michelle Cunningham</v>
      </c>
      <c r="O1800" s="8" t="str">
        <f t="array" ref="O1800">XLOOKUP(C1800,Customer_Dim!A:A,Customer_Dim!E:E,"Not Found")</f>
        <v>Amandaborough</v>
      </c>
      <c r="P1800" s="8" t="str">
        <f t="array" ref="P1800">XLOOKUP(D1800,Product_Dim!A:A,Product_Dim!B:B,"Not Found")</f>
        <v>Sports Water Hydration Pack</v>
      </c>
      <c r="Q1800" s="8" t="str">
        <f t="array" ref="Q1800">XLOOKUP(D1800,Product_Dim!A:A,Product_Dim!C:C,"Not Found")</f>
        <v>Sports</v>
      </c>
      <c r="R1800" s="8" t="str">
        <f t="array" ref="R1800">XLOOKUP(E1800,Store_Dim!A:A,Store_Dim!B:B,"Not Found")</f>
        <v>North</v>
      </c>
      <c r="S1800" s="8" t="str">
        <f t="array" ref="S1800">XLOOKUP(E1800,Store_Dim!A:A,Store_Dim!D:D,"Not Found")</f>
        <v>Outlet</v>
      </c>
    </row>
    <row r="1801" ht="14.25" customHeight="1">
      <c r="A1801" s="8" t="s">
        <v>3754</v>
      </c>
      <c r="B1801" s="12">
        <v>47279.0</v>
      </c>
      <c r="C1801" s="8" t="s">
        <v>747</v>
      </c>
      <c r="D1801" s="8" t="s">
        <v>1887</v>
      </c>
      <c r="E1801" s="8" t="s">
        <v>1921</v>
      </c>
      <c r="F1801" s="8">
        <v>3.0</v>
      </c>
      <c r="G1801" s="8">
        <v>561.44</v>
      </c>
      <c r="H1801" s="8">
        <v>0.2</v>
      </c>
      <c r="I1801" s="8">
        <f t="shared" si="1"/>
        <v>1684.32</v>
      </c>
      <c r="J1801" s="8">
        <f t="shared" si="2"/>
        <v>-336.664</v>
      </c>
      <c r="K1801" s="8" t="str">
        <f t="shared" si="3"/>
        <v>Jun</v>
      </c>
      <c r="L1801" s="8">
        <f t="shared" si="4"/>
        <v>2029</v>
      </c>
      <c r="N1801" s="8" t="str">
        <f t="array" ref="N1801">XLOOKUP(C1801,Customer_Dim!A:A,Customer_Dim!B:B,"Not Found")</f>
        <v>Gregory Pham</v>
      </c>
      <c r="O1801" s="8" t="str">
        <f t="array" ref="O1801">XLOOKUP(C1801,Customer_Dim!A:A,Customer_Dim!E:E,"Not Found")</f>
        <v>Pollardton</v>
      </c>
      <c r="P1801" s="8" t="str">
        <f t="array" ref="P1801">XLOOKUP(D1801,Product_Dim!A:A,Product_Dim!B:B,"Not Found")</f>
        <v>Stainless Steel Cookware Set</v>
      </c>
      <c r="Q1801" s="8" t="str">
        <f t="array" ref="Q1801">XLOOKUP(D1801,Product_Dim!A:A,Product_Dim!C:C,"Not Found")</f>
        <v>Home</v>
      </c>
      <c r="R1801" s="8" t="str">
        <f t="array" ref="R1801">XLOOKUP(E1801,Store_Dim!A:A,Store_Dim!B:B,"Not Found")</f>
        <v>West</v>
      </c>
      <c r="S1801" s="8" t="str">
        <f t="array" ref="S1801">XLOOKUP(E1801,Store_Dim!A:A,Store_Dim!D:D,"Not Found")</f>
        <v>Online</v>
      </c>
    </row>
    <row r="1802" ht="14.25" customHeight="1">
      <c r="A1802" s="8" t="s">
        <v>3755</v>
      </c>
      <c r="B1802" s="12">
        <v>47280.0</v>
      </c>
      <c r="C1802" s="8" t="s">
        <v>908</v>
      </c>
      <c r="D1802" s="8" t="s">
        <v>1806</v>
      </c>
      <c r="E1802" s="8" t="s">
        <v>1921</v>
      </c>
      <c r="F1802" s="8">
        <v>4.0</v>
      </c>
      <c r="G1802" s="8">
        <v>214.37</v>
      </c>
      <c r="H1802" s="8">
        <v>0.11</v>
      </c>
      <c r="I1802" s="8">
        <f t="shared" si="1"/>
        <v>857.48</v>
      </c>
      <c r="J1802" s="8">
        <f t="shared" si="2"/>
        <v>-94.2128</v>
      </c>
      <c r="K1802" s="8" t="str">
        <f t="shared" si="3"/>
        <v>Jun</v>
      </c>
      <c r="L1802" s="8">
        <f t="shared" si="4"/>
        <v>2029</v>
      </c>
      <c r="N1802" s="8" t="str">
        <f t="array" ref="N1802">XLOOKUP(C1802,Customer_Dim!A:A,Customer_Dim!B:B,"Not Found")</f>
        <v>Brittany Watson</v>
      </c>
      <c r="O1802" s="8" t="str">
        <f t="array" ref="O1802">XLOOKUP(C1802,Customer_Dim!A:A,Customer_Dim!E:E,"Not Found")</f>
        <v>North Joshualand</v>
      </c>
      <c r="P1802" s="8" t="str">
        <f t="array" ref="P1802">XLOOKUP(D1802,Product_Dim!A:A,Product_Dim!B:B,"Not Found")</f>
        <v>Professional Jump Rope</v>
      </c>
      <c r="Q1802" s="8" t="str">
        <f t="array" ref="Q1802">XLOOKUP(D1802,Product_Dim!A:A,Product_Dim!C:C,"Not Found")</f>
        <v>Sports</v>
      </c>
      <c r="R1802" s="8" t="str">
        <f t="array" ref="R1802">XLOOKUP(E1802,Store_Dim!A:A,Store_Dim!B:B,"Not Found")</f>
        <v>West</v>
      </c>
      <c r="S1802" s="8" t="str">
        <f t="array" ref="S1802">XLOOKUP(E1802,Store_Dim!A:A,Store_Dim!D:D,"Not Found")</f>
        <v>Online</v>
      </c>
    </row>
    <row r="1803" ht="14.25" customHeight="1">
      <c r="A1803" s="8" t="s">
        <v>3756</v>
      </c>
      <c r="B1803" s="12">
        <v>47281.0</v>
      </c>
      <c r="C1803" s="8" t="s">
        <v>1311</v>
      </c>
      <c r="D1803" s="8" t="s">
        <v>1632</v>
      </c>
      <c r="E1803" s="8" t="s">
        <v>1935</v>
      </c>
      <c r="F1803" s="8">
        <v>3.0</v>
      </c>
      <c r="G1803" s="8">
        <v>123.74</v>
      </c>
      <c r="H1803" s="8">
        <v>0.23</v>
      </c>
      <c r="I1803" s="8">
        <f t="shared" si="1"/>
        <v>371.22</v>
      </c>
      <c r="J1803" s="8">
        <f t="shared" si="2"/>
        <v>-85.1506</v>
      </c>
      <c r="K1803" s="8" t="str">
        <f t="shared" si="3"/>
        <v>Jun</v>
      </c>
      <c r="L1803" s="8">
        <f t="shared" si="4"/>
        <v>2029</v>
      </c>
      <c r="N1803" s="8" t="str">
        <f t="array" ref="N1803">XLOOKUP(C1803,Customer_Dim!A:A,Customer_Dim!B:B,"Not Found")</f>
        <v>Karen King</v>
      </c>
      <c r="O1803" s="8" t="str">
        <f t="array" ref="O1803">XLOOKUP(C1803,Customer_Dim!A:A,Customer_Dim!E:E,"Not Found")</f>
        <v>Kimburgh</v>
      </c>
      <c r="P1803" s="8" t="str">
        <f t="array" ref="P1803">XLOOKUP(D1803,Product_Dim!A:A,Product_Dim!B:B,"Not Found")</f>
        <v>Soccer Training Cone Set</v>
      </c>
      <c r="Q1803" s="8" t="str">
        <f t="array" ref="Q1803">XLOOKUP(D1803,Product_Dim!A:A,Product_Dim!C:C,"Not Found")</f>
        <v>Sports</v>
      </c>
      <c r="R1803" s="8" t="str">
        <f t="array" ref="R1803">XLOOKUP(E1803,Store_Dim!A:A,Store_Dim!B:B,"Not Found")</f>
        <v>West</v>
      </c>
      <c r="S1803" s="8" t="str">
        <f t="array" ref="S1803">XLOOKUP(E1803,Store_Dim!A:A,Store_Dim!D:D,"Not Found")</f>
        <v>Flagship</v>
      </c>
    </row>
    <row r="1804" ht="14.25" customHeight="1">
      <c r="A1804" s="8" t="s">
        <v>3757</v>
      </c>
      <c r="B1804" s="12">
        <v>47282.0</v>
      </c>
      <c r="C1804" s="8" t="s">
        <v>72</v>
      </c>
      <c r="D1804" s="8" t="s">
        <v>1790</v>
      </c>
      <c r="E1804" s="8" t="s">
        <v>1928</v>
      </c>
      <c r="F1804" s="8">
        <v>4.0</v>
      </c>
      <c r="G1804" s="8">
        <v>645.71</v>
      </c>
      <c r="H1804" s="8">
        <v>0.1</v>
      </c>
      <c r="I1804" s="8">
        <f t="shared" si="1"/>
        <v>2582.84</v>
      </c>
      <c r="J1804" s="8">
        <f t="shared" si="2"/>
        <v>-258.184</v>
      </c>
      <c r="K1804" s="8" t="str">
        <f t="shared" si="3"/>
        <v>Jun</v>
      </c>
      <c r="L1804" s="8">
        <f t="shared" si="4"/>
        <v>2029</v>
      </c>
      <c r="N1804" s="8" t="str">
        <f t="array" ref="N1804">XLOOKUP(C1804,Customer_Dim!A:A,Customer_Dim!B:B,"Not Found")</f>
        <v>Nathan Hernandez</v>
      </c>
      <c r="O1804" s="8" t="str">
        <f t="array" ref="O1804">XLOOKUP(C1804,Customer_Dim!A:A,Customer_Dim!E:E,"Not Found")</f>
        <v>New Becky</v>
      </c>
      <c r="P1804" s="8" t="str">
        <f t="array" ref="P1804">XLOOKUP(D1804,Product_Dim!A:A,Product_Dim!B:B,"Not Found")</f>
        <v>Smart LED Light Strip</v>
      </c>
      <c r="Q1804" s="8" t="str">
        <f t="array" ref="Q1804">XLOOKUP(D1804,Product_Dim!A:A,Product_Dim!C:C,"Not Found")</f>
        <v>Electronics</v>
      </c>
      <c r="R1804" s="8" t="str">
        <f t="array" ref="R1804">XLOOKUP(E1804,Store_Dim!A:A,Store_Dim!B:B,"Not Found")</f>
        <v>South</v>
      </c>
      <c r="S1804" s="8" t="str">
        <f t="array" ref="S1804">XLOOKUP(E1804,Store_Dim!A:A,Store_Dim!D:D,"Not Found")</f>
        <v>Online</v>
      </c>
    </row>
    <row r="1805" ht="14.25" customHeight="1">
      <c r="A1805" s="8" t="s">
        <v>3758</v>
      </c>
      <c r="B1805" s="12">
        <v>47283.0</v>
      </c>
      <c r="C1805" s="8" t="s">
        <v>144</v>
      </c>
      <c r="D1805" s="8" t="s">
        <v>1645</v>
      </c>
      <c r="E1805" s="8" t="s">
        <v>1929</v>
      </c>
      <c r="F1805" s="8">
        <v>3.0</v>
      </c>
      <c r="G1805" s="8">
        <v>587.12</v>
      </c>
      <c r="H1805" s="8">
        <v>0.3</v>
      </c>
      <c r="I1805" s="8">
        <f t="shared" si="1"/>
        <v>1761.36</v>
      </c>
      <c r="J1805" s="8">
        <f t="shared" si="2"/>
        <v>-528.108</v>
      </c>
      <c r="K1805" s="8" t="str">
        <f t="shared" si="3"/>
        <v>Jun</v>
      </c>
      <c r="L1805" s="8">
        <f t="shared" si="4"/>
        <v>2029</v>
      </c>
      <c r="N1805" s="8" t="str">
        <f t="array" ref="N1805">XLOOKUP(C1805,Customer_Dim!A:A,Customer_Dim!B:B,"Not Found")</f>
        <v>Robert Jones DDS</v>
      </c>
      <c r="O1805" s="8" t="str">
        <f t="array" ref="O1805">XLOOKUP(C1805,Customer_Dim!A:A,Customer_Dim!E:E,"Not Found")</f>
        <v>Tristanton</v>
      </c>
      <c r="P1805" s="8" t="str">
        <f t="array" ref="P1805">XLOOKUP(D1805,Product_Dim!A:A,Product_Dim!B:B,"Not Found")</f>
        <v>Multi-Purpose Storage Box</v>
      </c>
      <c r="Q1805" s="8" t="str">
        <f t="array" ref="Q1805">XLOOKUP(D1805,Product_Dim!A:A,Product_Dim!C:C,"Not Found")</f>
        <v>Home</v>
      </c>
      <c r="R1805" s="8" t="str">
        <f t="array" ref="R1805">XLOOKUP(E1805,Store_Dim!A:A,Store_Dim!B:B,"Not Found")</f>
        <v>North</v>
      </c>
      <c r="S1805" s="8" t="str">
        <f t="array" ref="S1805">XLOOKUP(E1805,Store_Dim!A:A,Store_Dim!D:D,"Not Found")</f>
        <v>Online</v>
      </c>
    </row>
    <row r="1806" ht="14.25" customHeight="1">
      <c r="A1806" s="8" t="s">
        <v>3759</v>
      </c>
      <c r="B1806" s="12">
        <v>47284.0</v>
      </c>
      <c r="C1806" s="8" t="s">
        <v>788</v>
      </c>
      <c r="D1806" s="8" t="s">
        <v>1659</v>
      </c>
      <c r="E1806" s="8" t="s">
        <v>1939</v>
      </c>
      <c r="F1806" s="8">
        <v>1.0</v>
      </c>
      <c r="G1806" s="8">
        <v>401.18</v>
      </c>
      <c r="H1806" s="8">
        <v>0.15</v>
      </c>
      <c r="I1806" s="8">
        <f t="shared" si="1"/>
        <v>401.18</v>
      </c>
      <c r="J1806" s="8">
        <f t="shared" si="2"/>
        <v>-60.027</v>
      </c>
      <c r="K1806" s="8" t="str">
        <f t="shared" si="3"/>
        <v>Jun</v>
      </c>
      <c r="L1806" s="8">
        <f t="shared" si="4"/>
        <v>2029</v>
      </c>
      <c r="N1806" s="8" t="str">
        <f t="array" ref="N1806">XLOOKUP(C1806,Customer_Dim!A:A,Customer_Dim!B:B,"Not Found")</f>
        <v>Mr. William Horton</v>
      </c>
      <c r="O1806" s="8" t="str">
        <f t="array" ref="O1806">XLOOKUP(C1806,Customer_Dim!A:A,Customer_Dim!E:E,"Not Found")</f>
        <v>Dawsonchester</v>
      </c>
      <c r="P1806" s="8" t="str">
        <f t="array" ref="P1806">XLOOKUP(D1806,Product_Dim!A:A,Product_Dim!B:B,"Not Found")</f>
        <v>Women's Scarf Set</v>
      </c>
      <c r="Q1806" s="8" t="str">
        <f t="array" ref="Q1806">XLOOKUP(D1806,Product_Dim!A:A,Product_Dim!C:C,"Not Found")</f>
        <v>Clothing</v>
      </c>
      <c r="R1806" s="8" t="str">
        <f t="array" ref="R1806">XLOOKUP(E1806,Store_Dim!A:A,Store_Dim!B:B,"Not Found")</f>
        <v>East</v>
      </c>
      <c r="S1806" s="8" t="str">
        <f t="array" ref="S1806">XLOOKUP(E1806,Store_Dim!A:A,Store_Dim!D:D,"Not Found")</f>
        <v>Flagship</v>
      </c>
    </row>
    <row r="1807" ht="14.25" customHeight="1">
      <c r="A1807" s="8" t="s">
        <v>3760</v>
      </c>
      <c r="B1807" s="12">
        <v>47285.0</v>
      </c>
      <c r="C1807" s="8" t="s">
        <v>1161</v>
      </c>
      <c r="D1807" s="8" t="s">
        <v>1763</v>
      </c>
      <c r="E1807" s="8" t="s">
        <v>1939</v>
      </c>
      <c r="F1807" s="8">
        <v>3.0</v>
      </c>
      <c r="G1807" s="8">
        <v>658.33</v>
      </c>
      <c r="H1807" s="8">
        <v>0.12</v>
      </c>
      <c r="I1807" s="8">
        <f t="shared" si="1"/>
        <v>1974.99</v>
      </c>
      <c r="J1807" s="8">
        <f t="shared" si="2"/>
        <v>-236.8788</v>
      </c>
      <c r="K1807" s="8" t="str">
        <f t="shared" si="3"/>
        <v>Jun</v>
      </c>
      <c r="L1807" s="8">
        <f t="shared" si="4"/>
        <v>2029</v>
      </c>
      <c r="N1807" s="8" t="str">
        <f t="array" ref="N1807">XLOOKUP(C1807,Customer_Dim!A:A,Customer_Dim!B:B,"Not Found")</f>
        <v>Mallory Allen</v>
      </c>
      <c r="O1807" s="8" t="str">
        <f t="array" ref="O1807">XLOOKUP(C1807,Customer_Dim!A:A,Customer_Dim!E:E,"Not Found")</f>
        <v>North Theresa</v>
      </c>
      <c r="P1807" s="8" t="str">
        <f t="array" ref="P1807">XLOOKUP(D1807,Product_Dim!A:A,Product_Dim!B:B,"Not Found")</f>
        <v>Womens Cotton Scarf</v>
      </c>
      <c r="Q1807" s="8" t="str">
        <f t="array" ref="Q1807">XLOOKUP(D1807,Product_Dim!A:A,Product_Dim!C:C,"Not Found")</f>
        <v>Clothing</v>
      </c>
      <c r="R1807" s="8" t="str">
        <f t="array" ref="R1807">XLOOKUP(E1807,Store_Dim!A:A,Store_Dim!B:B,"Not Found")</f>
        <v>East</v>
      </c>
      <c r="S1807" s="8" t="str">
        <f t="array" ref="S1807">XLOOKUP(E1807,Store_Dim!A:A,Store_Dim!D:D,"Not Found")</f>
        <v>Flagship</v>
      </c>
    </row>
    <row r="1808" ht="14.25" customHeight="1">
      <c r="A1808" s="8" t="s">
        <v>3761</v>
      </c>
      <c r="B1808" s="12">
        <v>47286.0</v>
      </c>
      <c r="C1808" s="8" t="s">
        <v>669</v>
      </c>
      <c r="D1808" s="8" t="s">
        <v>1735</v>
      </c>
      <c r="E1808" s="8" t="s">
        <v>1928</v>
      </c>
      <c r="F1808" s="8">
        <v>4.0</v>
      </c>
      <c r="G1808" s="8">
        <v>450.3</v>
      </c>
      <c r="H1808" s="8">
        <v>0.02</v>
      </c>
      <c r="I1808" s="8">
        <f t="shared" si="1"/>
        <v>1801.2</v>
      </c>
      <c r="J1808" s="8">
        <f t="shared" si="2"/>
        <v>-36.004</v>
      </c>
      <c r="K1808" s="8" t="str">
        <f t="shared" si="3"/>
        <v>Jun</v>
      </c>
      <c r="L1808" s="8">
        <f t="shared" si="4"/>
        <v>2029</v>
      </c>
      <c r="N1808" s="8" t="str">
        <f t="array" ref="N1808">XLOOKUP(C1808,Customer_Dim!A:A,Customer_Dim!B:B,"Not Found")</f>
        <v>Mary Boyd</v>
      </c>
      <c r="O1808" s="8" t="str">
        <f t="array" ref="O1808">XLOOKUP(C1808,Customer_Dim!A:A,Customer_Dim!E:E,"Not Found")</f>
        <v>New Logan</v>
      </c>
      <c r="P1808" s="8" t="str">
        <f t="array" ref="P1808">XLOOKUP(D1808,Product_Dim!A:A,Product_Dim!B:B,"Not Found")</f>
        <v>Men's Roll-On Perfume</v>
      </c>
      <c r="Q1808" s="8" t="str">
        <f t="array" ref="Q1808">XLOOKUP(D1808,Product_Dim!A:A,Product_Dim!C:C,"Not Found")</f>
        <v>Beauty</v>
      </c>
      <c r="R1808" s="8" t="str">
        <f t="array" ref="R1808">XLOOKUP(E1808,Store_Dim!A:A,Store_Dim!B:B,"Not Found")</f>
        <v>South</v>
      </c>
      <c r="S1808" s="8" t="str">
        <f t="array" ref="S1808">XLOOKUP(E1808,Store_Dim!A:A,Store_Dim!D:D,"Not Found")</f>
        <v>Online</v>
      </c>
    </row>
    <row r="1809" ht="14.25" customHeight="1">
      <c r="A1809" s="8" t="s">
        <v>3762</v>
      </c>
      <c r="B1809" s="12">
        <v>47287.0</v>
      </c>
      <c r="C1809" s="8" t="s">
        <v>502</v>
      </c>
      <c r="D1809" s="8" t="s">
        <v>1872</v>
      </c>
      <c r="E1809" s="8" t="s">
        <v>1926</v>
      </c>
      <c r="F1809" s="8">
        <v>4.0</v>
      </c>
      <c r="G1809" s="8">
        <v>33.63</v>
      </c>
      <c r="H1809" s="8">
        <v>0.05</v>
      </c>
      <c r="I1809" s="8">
        <f t="shared" si="1"/>
        <v>134.52</v>
      </c>
      <c r="J1809" s="8">
        <f t="shared" si="2"/>
        <v>-6.676</v>
      </c>
      <c r="K1809" s="8" t="str">
        <f t="shared" si="3"/>
        <v>Jun</v>
      </c>
      <c r="L1809" s="8">
        <f t="shared" si="4"/>
        <v>2029</v>
      </c>
      <c r="N1809" s="8" t="str">
        <f t="array" ref="N1809">XLOOKUP(C1809,Customer_Dim!A:A,Customer_Dim!B:B,"Not Found")</f>
        <v>Cameron Simpson</v>
      </c>
      <c r="O1809" s="8" t="str">
        <f t="array" ref="O1809">XLOOKUP(C1809,Customer_Dim!A:A,Customer_Dim!E:E,"Not Found")</f>
        <v>Michaelfort</v>
      </c>
      <c r="P1809" s="8" t="str">
        <f t="array" ref="P1809">XLOOKUP(D1809,Product_Dim!A:A,Product_Dim!B:B,"Not Found")</f>
        <v>Vitamin E Body Lotion</v>
      </c>
      <c r="Q1809" s="8" t="str">
        <f t="array" ref="Q1809">XLOOKUP(D1809,Product_Dim!A:A,Product_Dim!C:C,"Not Found")</f>
        <v>Beauty</v>
      </c>
      <c r="R1809" s="8" t="str">
        <f t="array" ref="R1809">XLOOKUP(E1809,Store_Dim!A:A,Store_Dim!B:B,"Not Found")</f>
        <v>East</v>
      </c>
      <c r="S1809" s="8" t="str">
        <f t="array" ref="S1809">XLOOKUP(E1809,Store_Dim!A:A,Store_Dim!D:D,"Not Found")</f>
        <v>Online</v>
      </c>
    </row>
    <row r="1810" ht="14.25" customHeight="1">
      <c r="A1810" s="8" t="s">
        <v>3763</v>
      </c>
      <c r="B1810" s="12">
        <v>47288.0</v>
      </c>
      <c r="C1810" s="8" t="s">
        <v>151</v>
      </c>
      <c r="D1810" s="8" t="s">
        <v>1989</v>
      </c>
      <c r="E1810" s="8" t="s">
        <v>1899</v>
      </c>
      <c r="F1810" s="8">
        <v>3.0</v>
      </c>
      <c r="G1810" s="8">
        <v>168.89</v>
      </c>
      <c r="H1810" s="8">
        <v>0.03</v>
      </c>
      <c r="I1810" s="8">
        <f t="shared" si="1"/>
        <v>506.67</v>
      </c>
      <c r="J1810" s="8">
        <f t="shared" si="2"/>
        <v>-15.1701</v>
      </c>
      <c r="K1810" s="8" t="str">
        <f t="shared" si="3"/>
        <v>Jun</v>
      </c>
      <c r="L1810" s="8">
        <f t="shared" si="4"/>
        <v>2029</v>
      </c>
      <c r="N1810" s="8" t="str">
        <f t="array" ref="N1810">XLOOKUP(C1810,Customer_Dim!A:A,Customer_Dim!B:B,"Not Found")</f>
        <v>Rachel Myers</v>
      </c>
      <c r="O1810" s="8" t="str">
        <f t="array" ref="O1810">XLOOKUP(C1810,Customer_Dim!A:A,Customer_Dim!E:E,"Not Found")</f>
        <v>Robertberg</v>
      </c>
      <c r="P1810" s="8" t="str">
        <f t="array" ref="P1810">XLOOKUP(D1810,Product_Dim!A:A,Product_Dim!B:B,"Not Found")</f>
        <v>Not Found</v>
      </c>
      <c r="Q1810" s="8" t="str">
        <f t="array" ref="Q1810">XLOOKUP(D1810,Product_Dim!A:A,Product_Dim!C:C,"Not Found")</f>
        <v>Not Found</v>
      </c>
      <c r="R1810" s="8" t="str">
        <f t="array" ref="R1810">XLOOKUP(E1810,Store_Dim!A:A,Store_Dim!B:B,"Not Found")</f>
        <v>East</v>
      </c>
      <c r="S1810" s="8" t="str">
        <f t="array" ref="S1810">XLOOKUP(E1810,Store_Dim!A:A,Store_Dim!D:D,"Not Found")</f>
        <v>Flagship</v>
      </c>
    </row>
    <row r="1811" ht="14.25" customHeight="1">
      <c r="A1811" s="8" t="s">
        <v>3764</v>
      </c>
      <c r="B1811" s="12">
        <v>47289.0</v>
      </c>
      <c r="C1811" s="8" t="s">
        <v>351</v>
      </c>
      <c r="D1811" s="8" t="s">
        <v>1769</v>
      </c>
      <c r="E1811" s="8" t="s">
        <v>1928</v>
      </c>
      <c r="F1811" s="8">
        <v>1.0</v>
      </c>
      <c r="G1811" s="8">
        <v>141.85</v>
      </c>
      <c r="H1811" s="8">
        <v>0.06</v>
      </c>
      <c r="I1811" s="8">
        <f t="shared" si="1"/>
        <v>141.85</v>
      </c>
      <c r="J1811" s="8">
        <f t="shared" si="2"/>
        <v>-8.451</v>
      </c>
      <c r="K1811" s="8" t="str">
        <f t="shared" si="3"/>
        <v>Jun</v>
      </c>
      <c r="L1811" s="8">
        <f t="shared" si="4"/>
        <v>2029</v>
      </c>
      <c r="N1811" s="8" t="str">
        <f t="array" ref="N1811">XLOOKUP(C1811,Customer_Dim!A:A,Customer_Dim!B:B,"Not Found")</f>
        <v>Amy Fowler</v>
      </c>
      <c r="O1811" s="8" t="str">
        <f t="array" ref="O1811">XLOOKUP(C1811,Customer_Dim!A:A,Customer_Dim!E:E,"Not Found")</f>
        <v>West Bobbyshire</v>
      </c>
      <c r="P1811" s="8" t="str">
        <f t="array" ref="P1811">XLOOKUP(D1811,Product_Dim!A:A,Product_Dim!B:B,"Not Found")</f>
        <v>Luxury Perfume Spray</v>
      </c>
      <c r="Q1811" s="8" t="str">
        <f t="array" ref="Q1811">XLOOKUP(D1811,Product_Dim!A:A,Product_Dim!C:C,"Not Found")</f>
        <v>Beauty</v>
      </c>
      <c r="R1811" s="8" t="str">
        <f t="array" ref="R1811">XLOOKUP(E1811,Store_Dim!A:A,Store_Dim!B:B,"Not Found")</f>
        <v>South</v>
      </c>
      <c r="S1811" s="8" t="str">
        <f t="array" ref="S1811">XLOOKUP(E1811,Store_Dim!A:A,Store_Dim!D:D,"Not Found")</f>
        <v>Online</v>
      </c>
    </row>
    <row r="1812" ht="14.25" customHeight="1">
      <c r="A1812" s="8" t="s">
        <v>3765</v>
      </c>
      <c r="B1812" s="12">
        <v>47290.0</v>
      </c>
      <c r="C1812" s="8" t="s">
        <v>981</v>
      </c>
      <c r="D1812" s="8" t="s">
        <v>1690</v>
      </c>
      <c r="E1812" s="8" t="s">
        <v>1919</v>
      </c>
      <c r="F1812" s="8">
        <v>1.0</v>
      </c>
      <c r="G1812" s="8">
        <v>617.4</v>
      </c>
      <c r="H1812" s="8">
        <v>0.21</v>
      </c>
      <c r="I1812" s="8">
        <f t="shared" si="1"/>
        <v>617.4</v>
      </c>
      <c r="J1812" s="8">
        <f t="shared" si="2"/>
        <v>-129.444</v>
      </c>
      <c r="K1812" s="8" t="str">
        <f t="shared" si="3"/>
        <v>Jun</v>
      </c>
      <c r="L1812" s="8">
        <f t="shared" si="4"/>
        <v>2029</v>
      </c>
      <c r="N1812" s="8" t="str">
        <f t="array" ref="N1812">XLOOKUP(C1812,Customer_Dim!A:A,Customer_Dim!B:B,"Not Found")</f>
        <v>Angela Robinson</v>
      </c>
      <c r="O1812" s="8" t="str">
        <f t="array" ref="O1812">XLOOKUP(C1812,Customer_Dim!A:A,Customer_Dim!E:E,"Not Found")</f>
        <v>New Nicholasstad</v>
      </c>
      <c r="P1812" s="8" t="str">
        <f t="array" ref="P1812">XLOOKUP(D1812,Product_Dim!A:A,Product_Dim!B:B,"Not Found")</f>
        <v>Bedroom Table Lamp</v>
      </c>
      <c r="Q1812" s="8" t="str">
        <f t="array" ref="Q1812">XLOOKUP(D1812,Product_Dim!A:A,Product_Dim!C:C,"Not Found")</f>
        <v>Home</v>
      </c>
      <c r="R1812" s="8" t="str">
        <f t="array" ref="R1812">XLOOKUP(E1812,Store_Dim!A:A,Store_Dim!B:B,"Not Found")</f>
        <v>South</v>
      </c>
      <c r="S1812" s="8" t="str">
        <f t="array" ref="S1812">XLOOKUP(E1812,Store_Dim!A:A,Store_Dim!D:D,"Not Found")</f>
        <v>Online</v>
      </c>
    </row>
    <row r="1813" ht="14.25" customHeight="1">
      <c r="A1813" s="8" t="s">
        <v>3766</v>
      </c>
      <c r="B1813" s="12">
        <v>47291.0</v>
      </c>
      <c r="C1813" s="8" t="s">
        <v>508</v>
      </c>
      <c r="D1813" s="8" t="s">
        <v>1748</v>
      </c>
      <c r="E1813" s="8" t="s">
        <v>1903</v>
      </c>
      <c r="F1813" s="8">
        <v>3.0</v>
      </c>
      <c r="G1813" s="8">
        <v>841.47</v>
      </c>
      <c r="H1813" s="8">
        <v>0.15</v>
      </c>
      <c r="I1813" s="8">
        <f t="shared" si="1"/>
        <v>2524.41</v>
      </c>
      <c r="J1813" s="8">
        <f t="shared" si="2"/>
        <v>-378.5115</v>
      </c>
      <c r="K1813" s="8" t="str">
        <f t="shared" si="3"/>
        <v>Jun</v>
      </c>
      <c r="L1813" s="8">
        <f t="shared" si="4"/>
        <v>2029</v>
      </c>
      <c r="N1813" s="8" t="str">
        <f t="array" ref="N1813">XLOOKUP(C1813,Customer_Dim!A:A,Customer_Dim!B:B,"Not Found")</f>
        <v>Rhonda Young</v>
      </c>
      <c r="O1813" s="8" t="str">
        <f t="array" ref="O1813">XLOOKUP(C1813,Customer_Dim!A:A,Customer_Dim!E:E,"Not Found")</f>
        <v>Lake Nathanfort</v>
      </c>
      <c r="P1813" s="8" t="str">
        <f t="array" ref="P1813">XLOOKUP(D1813,Product_Dim!A:A,Product_Dim!B:B,"Not Found")</f>
        <v>Men's Track Pants</v>
      </c>
      <c r="Q1813" s="8" t="str">
        <f t="array" ref="Q1813">XLOOKUP(D1813,Product_Dim!A:A,Product_Dim!C:C,"Not Found")</f>
        <v>Clothing</v>
      </c>
      <c r="R1813" s="8" t="str">
        <f t="array" ref="R1813">XLOOKUP(E1813,Store_Dim!A:A,Store_Dim!B:B,"Not Found")</f>
        <v>North</v>
      </c>
      <c r="S1813" s="8" t="str">
        <f t="array" ref="S1813">XLOOKUP(E1813,Store_Dim!A:A,Store_Dim!D:D,"Not Found")</f>
        <v>Flagship</v>
      </c>
    </row>
    <row r="1814" ht="14.25" customHeight="1">
      <c r="A1814" s="8" t="s">
        <v>3767</v>
      </c>
      <c r="B1814" s="12">
        <v>47292.0</v>
      </c>
      <c r="C1814" s="8" t="s">
        <v>231</v>
      </c>
      <c r="D1814" s="8" t="s">
        <v>1645</v>
      </c>
      <c r="E1814" s="8" t="s">
        <v>1931</v>
      </c>
      <c r="F1814" s="8">
        <v>2.0</v>
      </c>
      <c r="G1814" s="8">
        <v>960.41</v>
      </c>
      <c r="H1814" s="8">
        <v>0.18</v>
      </c>
      <c r="I1814" s="8">
        <f t="shared" si="1"/>
        <v>1920.82</v>
      </c>
      <c r="J1814" s="8">
        <f t="shared" si="2"/>
        <v>-345.5676</v>
      </c>
      <c r="K1814" s="8" t="str">
        <f t="shared" si="3"/>
        <v>Jun</v>
      </c>
      <c r="L1814" s="8">
        <f t="shared" si="4"/>
        <v>2029</v>
      </c>
      <c r="N1814" s="8" t="str">
        <f t="array" ref="N1814">XLOOKUP(C1814,Customer_Dim!A:A,Customer_Dim!B:B,"Not Found")</f>
        <v>Alyssa Vargas</v>
      </c>
      <c r="O1814" s="8" t="str">
        <f t="array" ref="O1814">XLOOKUP(C1814,Customer_Dim!A:A,Customer_Dim!E:E,"Not Found")</f>
        <v>New Kathrynland</v>
      </c>
      <c r="P1814" s="8" t="str">
        <f t="array" ref="P1814">XLOOKUP(D1814,Product_Dim!A:A,Product_Dim!B:B,"Not Found")</f>
        <v>Multi-Purpose Storage Box</v>
      </c>
      <c r="Q1814" s="8" t="str">
        <f t="array" ref="Q1814">XLOOKUP(D1814,Product_Dim!A:A,Product_Dim!C:C,"Not Found")</f>
        <v>Home</v>
      </c>
      <c r="R1814" s="8" t="str">
        <f t="array" ref="R1814">XLOOKUP(E1814,Store_Dim!A:A,Store_Dim!B:B,"Not Found")</f>
        <v>East</v>
      </c>
      <c r="S1814" s="8" t="str">
        <f t="array" ref="S1814">XLOOKUP(E1814,Store_Dim!A:A,Store_Dim!D:D,"Not Found")</f>
        <v>Flagship</v>
      </c>
    </row>
    <row r="1815" ht="14.25" customHeight="1">
      <c r="A1815" s="8" t="s">
        <v>3768</v>
      </c>
      <c r="B1815" s="12">
        <v>47293.0</v>
      </c>
      <c r="C1815" s="8" t="s">
        <v>1411</v>
      </c>
      <c r="D1815" s="8" t="s">
        <v>1815</v>
      </c>
      <c r="E1815" s="8" t="s">
        <v>1939</v>
      </c>
      <c r="F1815" s="8">
        <v>3.0</v>
      </c>
      <c r="G1815" s="8">
        <v>717.22</v>
      </c>
      <c r="H1815" s="8">
        <v>0.24</v>
      </c>
      <c r="I1815" s="8">
        <f t="shared" si="1"/>
        <v>2151.66</v>
      </c>
      <c r="J1815" s="8">
        <f t="shared" si="2"/>
        <v>-516.1584</v>
      </c>
      <c r="K1815" s="8" t="str">
        <f t="shared" si="3"/>
        <v>Jun</v>
      </c>
      <c r="L1815" s="8">
        <f t="shared" si="4"/>
        <v>2029</v>
      </c>
      <c r="N1815" s="8" t="str">
        <f t="array" ref="N1815">XLOOKUP(C1815,Customer_Dim!A:A,Customer_Dim!B:B,"Not Found")</f>
        <v>Ashley Roberts</v>
      </c>
      <c r="O1815" s="8" t="str">
        <f t="array" ref="O1815">XLOOKUP(C1815,Customer_Dim!A:A,Customer_Dim!E:E,"Not Found")</f>
        <v>Josephmouth</v>
      </c>
      <c r="P1815" s="8" t="str">
        <f t="array" ref="P1815">XLOOKUP(D1815,Product_Dim!A:A,Product_Dim!B:B,"Not Found")</f>
        <v>Women's Ankle Boots</v>
      </c>
      <c r="Q1815" s="8" t="str">
        <f t="array" ref="Q1815">XLOOKUP(D1815,Product_Dim!A:A,Product_Dim!C:C,"Not Found")</f>
        <v>Clothing</v>
      </c>
      <c r="R1815" s="8" t="str">
        <f t="array" ref="R1815">XLOOKUP(E1815,Store_Dim!A:A,Store_Dim!B:B,"Not Found")</f>
        <v>East</v>
      </c>
      <c r="S1815" s="8" t="str">
        <f t="array" ref="S1815">XLOOKUP(E1815,Store_Dim!A:A,Store_Dim!D:D,"Not Found")</f>
        <v>Flagship</v>
      </c>
    </row>
    <row r="1816" ht="14.25" customHeight="1">
      <c r="A1816" s="8" t="s">
        <v>3769</v>
      </c>
      <c r="B1816" s="12">
        <v>47294.0</v>
      </c>
      <c r="C1816" s="8" t="s">
        <v>412</v>
      </c>
      <c r="D1816" s="8" t="s">
        <v>1613</v>
      </c>
      <c r="E1816" s="8" t="s">
        <v>1899</v>
      </c>
      <c r="F1816" s="8">
        <v>1.0</v>
      </c>
      <c r="G1816" s="8">
        <v>281.83</v>
      </c>
      <c r="H1816" s="8">
        <v>0.16</v>
      </c>
      <c r="I1816" s="8">
        <f t="shared" si="1"/>
        <v>281.83</v>
      </c>
      <c r="J1816" s="8">
        <f t="shared" si="2"/>
        <v>-44.9328</v>
      </c>
      <c r="K1816" s="8" t="str">
        <f t="shared" si="3"/>
        <v>Jun</v>
      </c>
      <c r="L1816" s="8">
        <f t="shared" si="4"/>
        <v>2029</v>
      </c>
      <c r="N1816" s="8" t="str">
        <f t="array" ref="N1816">XLOOKUP(C1816,Customer_Dim!A:A,Customer_Dim!B:B,"Not Found")</f>
        <v>Tyler Conrad</v>
      </c>
      <c r="O1816" s="8" t="str">
        <f t="array" ref="O1816">XLOOKUP(C1816,Customer_Dim!A:A,Customer_Dim!E:E,"Not Found")</f>
        <v>North Curtischester</v>
      </c>
      <c r="P1816" s="8" t="str">
        <f t="array" ref="P1816">XLOOKUP(D1816,Product_Dim!A:A,Product_Dim!B:B,"Not Found")</f>
        <v>Hair Strengthening Shampoo</v>
      </c>
      <c r="Q1816" s="8" t="str">
        <f t="array" ref="Q1816">XLOOKUP(D1816,Product_Dim!A:A,Product_Dim!C:C,"Not Found")</f>
        <v>Beauty</v>
      </c>
      <c r="R1816" s="8" t="str">
        <f t="array" ref="R1816">XLOOKUP(E1816,Store_Dim!A:A,Store_Dim!B:B,"Not Found")</f>
        <v>East</v>
      </c>
      <c r="S1816" s="8" t="str">
        <f t="array" ref="S1816">XLOOKUP(E1816,Store_Dim!A:A,Store_Dim!D:D,"Not Found")</f>
        <v>Flagship</v>
      </c>
    </row>
    <row r="1817" ht="14.25" customHeight="1">
      <c r="A1817" s="8" t="s">
        <v>3770</v>
      </c>
      <c r="B1817" s="12">
        <v>47295.0</v>
      </c>
      <c r="C1817" s="8" t="s">
        <v>678</v>
      </c>
      <c r="D1817" s="8" t="s">
        <v>1766</v>
      </c>
      <c r="E1817" s="8" t="s">
        <v>1932</v>
      </c>
      <c r="F1817" s="8">
        <v>1.0</v>
      </c>
      <c r="G1817" s="8">
        <v>509.08</v>
      </c>
      <c r="H1817" s="8">
        <v>0.04</v>
      </c>
      <c r="I1817" s="8">
        <f t="shared" si="1"/>
        <v>509.08</v>
      </c>
      <c r="J1817" s="8">
        <f t="shared" si="2"/>
        <v>-20.3232</v>
      </c>
      <c r="K1817" s="8" t="str">
        <f t="shared" si="3"/>
        <v>Jun</v>
      </c>
      <c r="L1817" s="8">
        <f t="shared" si="4"/>
        <v>2029</v>
      </c>
      <c r="N1817" s="8" t="str">
        <f t="array" ref="N1817">XLOOKUP(C1817,Customer_Dim!A:A,Customer_Dim!B:B,"Not Found")</f>
        <v>Tiffany Herrera</v>
      </c>
      <c r="O1817" s="8" t="str">
        <f t="array" ref="O1817">XLOOKUP(C1817,Customer_Dim!A:A,Customer_Dim!E:E,"Not Found")</f>
        <v>New Dianebury</v>
      </c>
      <c r="P1817" s="8" t="str">
        <f t="array" ref="P1817">XLOOKUP(D1817,Product_Dim!A:A,Product_Dim!B:B,"Not Found")</f>
        <v>Men's Hair Styling Gel</v>
      </c>
      <c r="Q1817" s="8" t="str">
        <f t="array" ref="Q1817">XLOOKUP(D1817,Product_Dim!A:A,Product_Dim!C:C,"Not Found")</f>
        <v>Beauty</v>
      </c>
      <c r="R1817" s="8" t="str">
        <f t="array" ref="R1817">XLOOKUP(E1817,Store_Dim!A:A,Store_Dim!B:B,"Not Found")</f>
        <v>South</v>
      </c>
      <c r="S1817" s="8" t="str">
        <f t="array" ref="S1817">XLOOKUP(E1817,Store_Dim!A:A,Store_Dim!D:D,"Not Found")</f>
        <v>Outlet</v>
      </c>
    </row>
    <row r="1818" ht="14.25" customHeight="1">
      <c r="A1818" s="8" t="s">
        <v>3771</v>
      </c>
      <c r="B1818" s="12">
        <v>47296.0</v>
      </c>
      <c r="C1818" s="8" t="s">
        <v>1262</v>
      </c>
      <c r="D1818" s="8" t="s">
        <v>1878</v>
      </c>
      <c r="E1818" s="8" t="s">
        <v>1906</v>
      </c>
      <c r="F1818" s="8">
        <v>4.0</v>
      </c>
      <c r="G1818" s="8">
        <v>827.09</v>
      </c>
      <c r="H1818" s="8">
        <v>0.3</v>
      </c>
      <c r="I1818" s="8">
        <f t="shared" si="1"/>
        <v>3308.36</v>
      </c>
      <c r="J1818" s="8">
        <f t="shared" si="2"/>
        <v>-992.208</v>
      </c>
      <c r="K1818" s="8" t="str">
        <f t="shared" si="3"/>
        <v>Jun</v>
      </c>
      <c r="L1818" s="8">
        <f t="shared" si="4"/>
        <v>2029</v>
      </c>
      <c r="N1818" s="8" t="str">
        <f t="array" ref="N1818">XLOOKUP(C1818,Customer_Dim!A:A,Customer_Dim!B:B,"Not Found")</f>
        <v>Mark Rogers</v>
      </c>
      <c r="O1818" s="8" t="str">
        <f t="array" ref="O1818">XLOOKUP(C1818,Customer_Dim!A:A,Customer_Dim!E:E,"Not Found")</f>
        <v>Bookertown</v>
      </c>
      <c r="P1818" s="8" t="str">
        <f t="array" ref="P1818">XLOOKUP(D1818,Product_Dim!A:A,Product_Dim!B:B,"Not Found")</f>
        <v>Women's Formal Blazer</v>
      </c>
      <c r="Q1818" s="8" t="str">
        <f t="array" ref="Q1818">XLOOKUP(D1818,Product_Dim!A:A,Product_Dim!C:C,"Not Found")</f>
        <v>Clothing</v>
      </c>
      <c r="R1818" s="8" t="str">
        <f t="array" ref="R1818">XLOOKUP(E1818,Store_Dim!A:A,Store_Dim!B:B,"Not Found")</f>
        <v>South</v>
      </c>
      <c r="S1818" s="8" t="str">
        <f t="array" ref="S1818">XLOOKUP(E1818,Store_Dim!A:A,Store_Dim!D:D,"Not Found")</f>
        <v>Outlet</v>
      </c>
    </row>
    <row r="1819" ht="14.25" customHeight="1">
      <c r="A1819" s="8" t="s">
        <v>3772</v>
      </c>
      <c r="B1819" s="12">
        <v>47297.0</v>
      </c>
      <c r="C1819" s="8" t="s">
        <v>696</v>
      </c>
      <c r="D1819" s="8" t="s">
        <v>1671</v>
      </c>
      <c r="E1819" s="8" t="s">
        <v>1912</v>
      </c>
      <c r="F1819" s="8">
        <v>2.0</v>
      </c>
      <c r="G1819" s="8">
        <v>823.36</v>
      </c>
      <c r="H1819" s="8">
        <v>0.23</v>
      </c>
      <c r="I1819" s="8">
        <f t="shared" si="1"/>
        <v>1646.72</v>
      </c>
      <c r="J1819" s="8">
        <f t="shared" si="2"/>
        <v>-378.5156</v>
      </c>
      <c r="K1819" s="8" t="str">
        <f t="shared" si="3"/>
        <v>Jun</v>
      </c>
      <c r="L1819" s="8">
        <f t="shared" si="4"/>
        <v>2029</v>
      </c>
      <c r="N1819" s="8" t="str">
        <f t="array" ref="N1819">XLOOKUP(C1819,Customer_Dim!A:A,Customer_Dim!B:B,"Not Found")</f>
        <v>Antonio Jones</v>
      </c>
      <c r="O1819" s="8" t="str">
        <f t="array" ref="O1819">XLOOKUP(C1819,Customer_Dim!A:A,Customer_Dim!E:E,"Not Found")</f>
        <v>Matthewborough</v>
      </c>
      <c r="P1819" s="8" t="str">
        <f t="array" ref="P1819">XLOOKUP(D1819,Product_Dim!A:A,Product_Dim!B:B,"Not Found")</f>
        <v>Fabric Sofa Throw Blanket</v>
      </c>
      <c r="Q1819" s="8" t="str">
        <f t="array" ref="Q1819">XLOOKUP(D1819,Product_Dim!A:A,Product_Dim!C:C,"Not Found")</f>
        <v>Home</v>
      </c>
      <c r="R1819" s="8" t="str">
        <f t="array" ref="R1819">XLOOKUP(E1819,Store_Dim!A:A,Store_Dim!B:B,"Not Found")</f>
        <v>South</v>
      </c>
      <c r="S1819" s="8" t="str">
        <f t="array" ref="S1819">XLOOKUP(E1819,Store_Dim!A:A,Store_Dim!D:D,"Not Found")</f>
        <v>Online</v>
      </c>
    </row>
    <row r="1820" ht="14.25" customHeight="1">
      <c r="A1820" s="8" t="s">
        <v>3773</v>
      </c>
      <c r="B1820" s="12">
        <v>47298.0</v>
      </c>
      <c r="C1820" s="8" t="s">
        <v>479</v>
      </c>
      <c r="D1820" s="8" t="s">
        <v>1662</v>
      </c>
      <c r="E1820" s="8" t="s">
        <v>1915</v>
      </c>
      <c r="F1820" s="8">
        <v>4.0</v>
      </c>
      <c r="G1820" s="8">
        <v>282.18</v>
      </c>
      <c r="H1820" s="8">
        <v>0.13</v>
      </c>
      <c r="I1820" s="8">
        <f t="shared" si="1"/>
        <v>1128.72</v>
      </c>
      <c r="J1820" s="8">
        <f t="shared" si="2"/>
        <v>-146.6036</v>
      </c>
      <c r="K1820" s="8" t="str">
        <f t="shared" si="3"/>
        <v>Jun</v>
      </c>
      <c r="L1820" s="8">
        <f t="shared" si="4"/>
        <v>2029</v>
      </c>
      <c r="N1820" s="8" t="str">
        <f t="array" ref="N1820">XLOOKUP(C1820,Customer_Dim!A:A,Customer_Dim!B:B,"Not Found")</f>
        <v>Rick Dominguez</v>
      </c>
      <c r="O1820" s="8" t="str">
        <f t="array" ref="O1820">XLOOKUP(C1820,Customer_Dim!A:A,Customer_Dim!E:E,"Not Found")</f>
        <v>North Johnbury</v>
      </c>
      <c r="P1820" s="8" t="str">
        <f t="array" ref="P1820">XLOOKUP(D1820,Product_Dim!A:A,Product_Dim!B:B,"Not Found")</f>
        <v>Wireless Bluetooth Speaker</v>
      </c>
      <c r="Q1820" s="8" t="str">
        <f t="array" ref="Q1820">XLOOKUP(D1820,Product_Dim!A:A,Product_Dim!C:C,"Not Found")</f>
        <v>Electronics</v>
      </c>
      <c r="R1820" s="8" t="str">
        <f t="array" ref="R1820">XLOOKUP(E1820,Store_Dim!A:A,Store_Dim!B:B,"Not Found")</f>
        <v>North</v>
      </c>
      <c r="S1820" s="8" t="str">
        <f t="array" ref="S1820">XLOOKUP(E1820,Store_Dim!A:A,Store_Dim!D:D,"Not Found")</f>
        <v>Outlet</v>
      </c>
    </row>
    <row r="1821" ht="14.25" customHeight="1">
      <c r="A1821" s="8" t="s">
        <v>3774</v>
      </c>
      <c r="B1821" s="12">
        <v>47299.0</v>
      </c>
      <c r="C1821" s="8" t="s">
        <v>583</v>
      </c>
      <c r="D1821" s="8" t="s">
        <v>1645</v>
      </c>
      <c r="E1821" s="8" t="s">
        <v>1903</v>
      </c>
      <c r="F1821" s="8">
        <v>1.0</v>
      </c>
      <c r="G1821" s="8">
        <v>486.39</v>
      </c>
      <c r="H1821" s="8">
        <v>0.09</v>
      </c>
      <c r="I1821" s="8">
        <f t="shared" si="1"/>
        <v>486.39</v>
      </c>
      <c r="J1821" s="8">
        <f t="shared" si="2"/>
        <v>-43.6851</v>
      </c>
      <c r="K1821" s="8" t="str">
        <f t="shared" si="3"/>
        <v>Jun</v>
      </c>
      <c r="L1821" s="8">
        <f t="shared" si="4"/>
        <v>2029</v>
      </c>
      <c r="N1821" s="8" t="str">
        <f t="array" ref="N1821">XLOOKUP(C1821,Customer_Dim!A:A,Customer_Dim!B:B,"Not Found")</f>
        <v>Thomas Rhodes</v>
      </c>
      <c r="O1821" s="8" t="str">
        <f t="array" ref="O1821">XLOOKUP(C1821,Customer_Dim!A:A,Customer_Dim!E:E,"Not Found")</f>
        <v>Port Richard</v>
      </c>
      <c r="P1821" s="8" t="str">
        <f t="array" ref="P1821">XLOOKUP(D1821,Product_Dim!A:A,Product_Dim!B:B,"Not Found")</f>
        <v>Multi-Purpose Storage Box</v>
      </c>
      <c r="Q1821" s="8" t="str">
        <f t="array" ref="Q1821">XLOOKUP(D1821,Product_Dim!A:A,Product_Dim!C:C,"Not Found")</f>
        <v>Home</v>
      </c>
      <c r="R1821" s="8" t="str">
        <f t="array" ref="R1821">XLOOKUP(E1821,Store_Dim!A:A,Store_Dim!B:B,"Not Found")</f>
        <v>North</v>
      </c>
      <c r="S1821" s="8" t="str">
        <f t="array" ref="S1821">XLOOKUP(E1821,Store_Dim!A:A,Store_Dim!D:D,"Not Found")</f>
        <v>Flagship</v>
      </c>
    </row>
    <row r="1822" ht="14.25" customHeight="1">
      <c r="A1822" s="8" t="s">
        <v>3775</v>
      </c>
      <c r="B1822" s="12">
        <v>47300.0</v>
      </c>
      <c r="C1822" s="8" t="s">
        <v>182</v>
      </c>
      <c r="D1822" s="8" t="s">
        <v>1635</v>
      </c>
      <c r="E1822" s="8" t="s">
        <v>1910</v>
      </c>
      <c r="F1822" s="8">
        <v>2.0</v>
      </c>
      <c r="G1822" s="8">
        <v>603.62</v>
      </c>
      <c r="H1822" s="8">
        <v>0.18</v>
      </c>
      <c r="I1822" s="8">
        <f t="shared" si="1"/>
        <v>1207.24</v>
      </c>
      <c r="J1822" s="8">
        <f t="shared" si="2"/>
        <v>-217.1232</v>
      </c>
      <c r="K1822" s="8" t="str">
        <f t="shared" si="3"/>
        <v>Jul</v>
      </c>
      <c r="L1822" s="8">
        <f t="shared" si="4"/>
        <v>2029</v>
      </c>
      <c r="N1822" s="8" t="str">
        <f t="array" ref="N1822">XLOOKUP(C1822,Customer_Dim!A:A,Customer_Dim!B:B,"Not Found")</f>
        <v>Denise Williams</v>
      </c>
      <c r="O1822" s="8" t="str">
        <f t="array" ref="O1822">XLOOKUP(C1822,Customer_Dim!A:A,Customer_Dim!E:E,"Not Found")</f>
        <v>Christianstad</v>
      </c>
      <c r="P1822" s="8" t="str">
        <f t="array" ref="P1822">XLOOKUP(D1822,Product_Dim!A:A,Product_Dim!B:B,"Not Found")</f>
        <v>Women's Denim Jeans</v>
      </c>
      <c r="Q1822" s="8" t="str">
        <f t="array" ref="Q1822">XLOOKUP(D1822,Product_Dim!A:A,Product_Dim!C:C,"Not Found")</f>
        <v>Clothing</v>
      </c>
      <c r="R1822" s="8" t="str">
        <f t="array" ref="R1822">XLOOKUP(E1822,Store_Dim!A:A,Store_Dim!B:B,"Not Found")</f>
        <v>North</v>
      </c>
      <c r="S1822" s="8" t="str">
        <f t="array" ref="S1822">XLOOKUP(E1822,Store_Dim!A:A,Store_Dim!D:D,"Not Found")</f>
        <v>Outlet</v>
      </c>
    </row>
    <row r="1823" ht="14.25" customHeight="1">
      <c r="A1823" s="8" t="s">
        <v>3776</v>
      </c>
      <c r="B1823" s="12">
        <v>47301.0</v>
      </c>
      <c r="C1823" s="8" t="s">
        <v>508</v>
      </c>
      <c r="D1823" s="8" t="s">
        <v>1696</v>
      </c>
      <c r="E1823" s="8" t="s">
        <v>1921</v>
      </c>
      <c r="F1823" s="8">
        <v>3.0</v>
      </c>
      <c r="G1823" s="8">
        <v>204.17</v>
      </c>
      <c r="H1823" s="8">
        <v>0.1</v>
      </c>
      <c r="I1823" s="8">
        <f t="shared" si="1"/>
        <v>612.51</v>
      </c>
      <c r="J1823" s="8">
        <f t="shared" si="2"/>
        <v>-61.151</v>
      </c>
      <c r="K1823" s="8" t="str">
        <f t="shared" si="3"/>
        <v>Jul</v>
      </c>
      <c r="L1823" s="8">
        <f t="shared" si="4"/>
        <v>2029</v>
      </c>
      <c r="N1823" s="8" t="str">
        <f t="array" ref="N1823">XLOOKUP(C1823,Customer_Dim!A:A,Customer_Dim!B:B,"Not Found")</f>
        <v>Rhonda Young</v>
      </c>
      <c r="O1823" s="8" t="str">
        <f t="array" ref="O1823">XLOOKUP(C1823,Customer_Dim!A:A,Customer_Dim!E:E,"Not Found")</f>
        <v>Lake Nathanfort</v>
      </c>
      <c r="P1823" s="8" t="str">
        <f t="array" ref="P1823">XLOOKUP(D1823,Product_Dim!A:A,Product_Dim!B:B,"Not Found")</f>
        <v>Men's Casual Sneakers</v>
      </c>
      <c r="Q1823" s="8" t="str">
        <f t="array" ref="Q1823">XLOOKUP(D1823,Product_Dim!A:A,Product_Dim!C:C,"Not Found")</f>
        <v>Clothing</v>
      </c>
      <c r="R1823" s="8" t="str">
        <f t="array" ref="R1823">XLOOKUP(E1823,Store_Dim!A:A,Store_Dim!B:B,"Not Found")</f>
        <v>West</v>
      </c>
      <c r="S1823" s="8" t="str">
        <f t="array" ref="S1823">XLOOKUP(E1823,Store_Dim!A:A,Store_Dim!D:D,"Not Found")</f>
        <v>Online</v>
      </c>
    </row>
    <row r="1824" ht="14.25" customHeight="1">
      <c r="A1824" s="8" t="s">
        <v>3777</v>
      </c>
      <c r="B1824" s="12">
        <v>47302.0</v>
      </c>
      <c r="C1824" s="8" t="s">
        <v>479</v>
      </c>
      <c r="D1824" s="8" t="s">
        <v>1597</v>
      </c>
      <c r="E1824" s="8" t="s">
        <v>1933</v>
      </c>
      <c r="F1824" s="8">
        <v>1.0</v>
      </c>
      <c r="G1824" s="8">
        <v>43.58</v>
      </c>
      <c r="H1824" s="8">
        <v>0.01</v>
      </c>
      <c r="I1824" s="8">
        <f t="shared" si="1"/>
        <v>43.58</v>
      </c>
      <c r="J1824" s="8">
        <f t="shared" si="2"/>
        <v>-0.4258</v>
      </c>
      <c r="K1824" s="8" t="str">
        <f t="shared" si="3"/>
        <v>Jul</v>
      </c>
      <c r="L1824" s="8">
        <f t="shared" si="4"/>
        <v>2029</v>
      </c>
      <c r="N1824" s="8" t="str">
        <f t="array" ref="N1824">XLOOKUP(C1824,Customer_Dim!A:A,Customer_Dim!B:B,"Not Found")</f>
        <v>Rick Dominguez</v>
      </c>
      <c r="O1824" s="8" t="str">
        <f t="array" ref="O1824">XLOOKUP(C1824,Customer_Dim!A:A,Customer_Dim!E:E,"Not Found")</f>
        <v>North Johnbury</v>
      </c>
      <c r="P1824" s="8" t="str">
        <f t="array" ref="P1824">XLOOKUP(D1824,Product_Dim!A:A,Product_Dim!B:B,"Not Found")</f>
        <v>Wireless Bluetooth Earbuds</v>
      </c>
      <c r="Q1824" s="8" t="str">
        <f t="array" ref="Q1824">XLOOKUP(D1824,Product_Dim!A:A,Product_Dim!C:C,"Not Found")</f>
        <v>Electronics</v>
      </c>
      <c r="R1824" s="8" t="str">
        <f t="array" ref="R1824">XLOOKUP(E1824,Store_Dim!A:A,Store_Dim!B:B,"Not Found")</f>
        <v>North</v>
      </c>
      <c r="S1824" s="8" t="str">
        <f t="array" ref="S1824">XLOOKUP(E1824,Store_Dim!A:A,Store_Dim!D:D,"Not Found")</f>
        <v>Flagship</v>
      </c>
    </row>
    <row r="1825" ht="14.25" customHeight="1">
      <c r="A1825" s="8" t="s">
        <v>3778</v>
      </c>
      <c r="B1825" s="12">
        <v>47303.0</v>
      </c>
      <c r="C1825" s="8" t="s">
        <v>1059</v>
      </c>
      <c r="D1825" s="8" t="s">
        <v>1728</v>
      </c>
      <c r="E1825" s="8" t="s">
        <v>1906</v>
      </c>
      <c r="F1825" s="8">
        <v>3.0</v>
      </c>
      <c r="G1825" s="8">
        <v>469.33</v>
      </c>
      <c r="H1825" s="8">
        <v>0.14</v>
      </c>
      <c r="I1825" s="8">
        <f t="shared" si="1"/>
        <v>1407.99</v>
      </c>
      <c r="J1825" s="8">
        <f t="shared" si="2"/>
        <v>-196.9786</v>
      </c>
      <c r="K1825" s="8" t="str">
        <f t="shared" si="3"/>
        <v>Jul</v>
      </c>
      <c r="L1825" s="8">
        <f t="shared" si="4"/>
        <v>2029</v>
      </c>
      <c r="N1825" s="8" t="str">
        <f t="array" ref="N1825">XLOOKUP(C1825,Customer_Dim!A:A,Customer_Dim!B:B,"Not Found")</f>
        <v>Dr. Lindsay Hanna</v>
      </c>
      <c r="O1825" s="8" t="str">
        <f t="array" ref="O1825">XLOOKUP(C1825,Customer_Dim!A:A,Customer_Dim!E:E,"Not Found")</f>
        <v>New Paulstad</v>
      </c>
      <c r="P1825" s="8" t="str">
        <f t="array" ref="P1825">XLOOKUP(D1825,Product_Dim!A:A,Product_Dim!B:B,"Not Found")</f>
        <v>Makeup Brush Set</v>
      </c>
      <c r="Q1825" s="8" t="str">
        <f t="array" ref="Q1825">XLOOKUP(D1825,Product_Dim!A:A,Product_Dim!C:C,"Not Found")</f>
        <v>Beauty</v>
      </c>
      <c r="R1825" s="8" t="str">
        <f t="array" ref="R1825">XLOOKUP(E1825,Store_Dim!A:A,Store_Dim!B:B,"Not Found")</f>
        <v>South</v>
      </c>
      <c r="S1825" s="8" t="str">
        <f t="array" ref="S1825">XLOOKUP(E1825,Store_Dim!A:A,Store_Dim!D:D,"Not Found")</f>
        <v>Outlet</v>
      </c>
    </row>
    <row r="1826" ht="14.25" customHeight="1">
      <c r="A1826" s="8" t="s">
        <v>3779</v>
      </c>
      <c r="B1826" s="12">
        <v>47304.0</v>
      </c>
      <c r="C1826" s="8" t="s">
        <v>693</v>
      </c>
      <c r="D1826" s="8" t="s">
        <v>1597</v>
      </c>
      <c r="E1826" s="8" t="s">
        <v>1921</v>
      </c>
      <c r="F1826" s="8">
        <v>4.0</v>
      </c>
      <c r="G1826" s="8">
        <v>836.23</v>
      </c>
      <c r="H1826" s="8">
        <v>0.12</v>
      </c>
      <c r="I1826" s="8">
        <f t="shared" si="1"/>
        <v>3344.92</v>
      </c>
      <c r="J1826" s="8">
        <f t="shared" si="2"/>
        <v>-401.2704</v>
      </c>
      <c r="K1826" s="8" t="str">
        <f t="shared" si="3"/>
        <v>Jul</v>
      </c>
      <c r="L1826" s="8">
        <f t="shared" si="4"/>
        <v>2029</v>
      </c>
      <c r="N1826" s="8" t="str">
        <f t="array" ref="N1826">XLOOKUP(C1826,Customer_Dim!A:A,Customer_Dim!B:B,"Not Found")</f>
        <v>Joan Johnson</v>
      </c>
      <c r="O1826" s="8" t="str">
        <f t="array" ref="O1826">XLOOKUP(C1826,Customer_Dim!A:A,Customer_Dim!E:E,"Not Found")</f>
        <v>Lake Josephport</v>
      </c>
      <c r="P1826" s="8" t="str">
        <f t="array" ref="P1826">XLOOKUP(D1826,Product_Dim!A:A,Product_Dim!B:B,"Not Found")</f>
        <v>Wireless Bluetooth Earbuds</v>
      </c>
      <c r="Q1826" s="8" t="str">
        <f t="array" ref="Q1826">XLOOKUP(D1826,Product_Dim!A:A,Product_Dim!C:C,"Not Found")</f>
        <v>Electronics</v>
      </c>
      <c r="R1826" s="8" t="str">
        <f t="array" ref="R1826">XLOOKUP(E1826,Store_Dim!A:A,Store_Dim!B:B,"Not Found")</f>
        <v>West</v>
      </c>
      <c r="S1826" s="8" t="str">
        <f t="array" ref="S1826">XLOOKUP(E1826,Store_Dim!A:A,Store_Dim!D:D,"Not Found")</f>
        <v>Online</v>
      </c>
    </row>
    <row r="1827" ht="14.25" customHeight="1">
      <c r="A1827" s="8" t="s">
        <v>3780</v>
      </c>
      <c r="B1827" s="12">
        <v>47305.0</v>
      </c>
      <c r="C1827" s="8" t="s">
        <v>601</v>
      </c>
      <c r="D1827" s="8" t="s">
        <v>1790</v>
      </c>
      <c r="E1827" s="8" t="s">
        <v>1941</v>
      </c>
      <c r="F1827" s="8">
        <v>2.0</v>
      </c>
      <c r="G1827" s="8">
        <v>661.53</v>
      </c>
      <c r="H1827" s="8">
        <v>0.2</v>
      </c>
      <c r="I1827" s="8">
        <f t="shared" si="1"/>
        <v>1323.06</v>
      </c>
      <c r="J1827" s="8">
        <f t="shared" si="2"/>
        <v>-264.412</v>
      </c>
      <c r="K1827" s="8" t="str">
        <f t="shared" si="3"/>
        <v>Jul</v>
      </c>
      <c r="L1827" s="8">
        <f t="shared" si="4"/>
        <v>2029</v>
      </c>
      <c r="N1827" s="8" t="str">
        <f t="array" ref="N1827">XLOOKUP(C1827,Customer_Dim!A:A,Customer_Dim!B:B,"Not Found")</f>
        <v>Michelle Myers</v>
      </c>
      <c r="O1827" s="8" t="str">
        <f t="array" ref="O1827">XLOOKUP(C1827,Customer_Dim!A:A,Customer_Dim!E:E,"Not Found")</f>
        <v>West Daniel</v>
      </c>
      <c r="P1827" s="8" t="str">
        <f t="array" ref="P1827">XLOOKUP(D1827,Product_Dim!A:A,Product_Dim!B:B,"Not Found")</f>
        <v>Smart LED Light Strip</v>
      </c>
      <c r="Q1827" s="8" t="str">
        <f t="array" ref="Q1827">XLOOKUP(D1827,Product_Dim!A:A,Product_Dim!C:C,"Not Found")</f>
        <v>Electronics</v>
      </c>
      <c r="R1827" s="8" t="str">
        <f t="array" ref="R1827">XLOOKUP(E1827,Store_Dim!A:A,Store_Dim!B:B,"Not Found")</f>
        <v>East</v>
      </c>
      <c r="S1827" s="8" t="str">
        <f t="array" ref="S1827">XLOOKUP(E1827,Store_Dim!A:A,Store_Dim!D:D,"Not Found")</f>
        <v>Online</v>
      </c>
    </row>
    <row r="1828" ht="14.25" customHeight="1">
      <c r="A1828" s="8" t="s">
        <v>3781</v>
      </c>
      <c r="B1828" s="12">
        <v>47306.0</v>
      </c>
      <c r="C1828" s="8" t="s">
        <v>421</v>
      </c>
      <c r="D1828" s="8" t="s">
        <v>1757</v>
      </c>
      <c r="E1828" s="8" t="s">
        <v>1935</v>
      </c>
      <c r="F1828" s="8">
        <v>3.0</v>
      </c>
      <c r="G1828" s="8">
        <v>753.47</v>
      </c>
      <c r="H1828" s="8">
        <v>0.25</v>
      </c>
      <c r="I1828" s="8">
        <f t="shared" si="1"/>
        <v>2260.41</v>
      </c>
      <c r="J1828" s="8">
        <f t="shared" si="2"/>
        <v>-564.8525</v>
      </c>
      <c r="K1828" s="8" t="str">
        <f t="shared" si="3"/>
        <v>Jul</v>
      </c>
      <c r="L1828" s="8">
        <f t="shared" si="4"/>
        <v>2029</v>
      </c>
      <c r="N1828" s="8" t="str">
        <f t="array" ref="N1828">XLOOKUP(C1828,Customer_Dim!A:A,Customer_Dim!B:B,"Not Found")</f>
        <v>Earl Allen</v>
      </c>
      <c r="O1828" s="8" t="str">
        <f t="array" ref="O1828">XLOOKUP(C1828,Customer_Dim!A:A,Customer_Dim!E:E,"Not Found")</f>
        <v>New Jenniferburgh</v>
      </c>
      <c r="P1828" s="8" t="str">
        <f t="array" ref="P1828">XLOOKUP(D1828,Product_Dim!A:A,Product_Dim!B:B,"Not Found")</f>
        <v>Premium Blanket Throw</v>
      </c>
      <c r="Q1828" s="8" t="str">
        <f t="array" ref="Q1828">XLOOKUP(D1828,Product_Dim!A:A,Product_Dim!C:C,"Not Found")</f>
        <v>Home</v>
      </c>
      <c r="R1828" s="8" t="str">
        <f t="array" ref="R1828">XLOOKUP(E1828,Store_Dim!A:A,Store_Dim!B:B,"Not Found")</f>
        <v>West</v>
      </c>
      <c r="S1828" s="8" t="str">
        <f t="array" ref="S1828">XLOOKUP(E1828,Store_Dim!A:A,Store_Dim!D:D,"Not Found")</f>
        <v>Flagship</v>
      </c>
    </row>
    <row r="1829" ht="14.25" customHeight="1">
      <c r="A1829" s="8" t="s">
        <v>3782</v>
      </c>
      <c r="B1829" s="12">
        <v>47307.0</v>
      </c>
      <c r="C1829" s="8" t="s">
        <v>535</v>
      </c>
      <c r="D1829" s="8" t="s">
        <v>1781</v>
      </c>
      <c r="E1829" s="8" t="s">
        <v>1899</v>
      </c>
      <c r="F1829" s="8">
        <v>3.0</v>
      </c>
      <c r="G1829" s="8">
        <v>713.95</v>
      </c>
      <c r="H1829" s="8">
        <v>0.0</v>
      </c>
      <c r="I1829" s="8">
        <f t="shared" si="1"/>
        <v>2141.85</v>
      </c>
      <c r="J1829" s="8">
        <f t="shared" si="2"/>
        <v>0</v>
      </c>
      <c r="K1829" s="8" t="str">
        <f t="shared" si="3"/>
        <v>Jul</v>
      </c>
      <c r="L1829" s="8">
        <f t="shared" si="4"/>
        <v>2029</v>
      </c>
      <c r="N1829" s="8" t="str">
        <f t="array" ref="N1829">XLOOKUP(C1829,Customer_Dim!A:A,Customer_Dim!B:B,"Not Found")</f>
        <v>Maria Sanchez</v>
      </c>
      <c r="O1829" s="8" t="str">
        <f t="array" ref="O1829">XLOOKUP(C1829,Customer_Dim!A:A,Customer_Dim!E:E,"Not Found")</f>
        <v>East Peterbury</v>
      </c>
      <c r="P1829" s="8" t="str">
        <f t="array" ref="P1829">XLOOKUP(D1829,Product_Dim!A:A,Product_Dim!B:B,"Not Found")</f>
        <v>Matte Lipstick Set</v>
      </c>
      <c r="Q1829" s="8" t="str">
        <f t="array" ref="Q1829">XLOOKUP(D1829,Product_Dim!A:A,Product_Dim!C:C,"Not Found")</f>
        <v>Beauty</v>
      </c>
      <c r="R1829" s="8" t="str">
        <f t="array" ref="R1829">XLOOKUP(E1829,Store_Dim!A:A,Store_Dim!B:B,"Not Found")</f>
        <v>East</v>
      </c>
      <c r="S1829" s="8" t="str">
        <f t="array" ref="S1829">XLOOKUP(E1829,Store_Dim!A:A,Store_Dim!D:D,"Not Found")</f>
        <v>Flagship</v>
      </c>
    </row>
    <row r="1830" ht="14.25" customHeight="1">
      <c r="A1830" s="8" t="s">
        <v>3783</v>
      </c>
      <c r="B1830" s="12">
        <v>47308.0</v>
      </c>
      <c r="C1830" s="8" t="s">
        <v>363</v>
      </c>
      <c r="D1830" s="8" t="s">
        <v>1610</v>
      </c>
      <c r="E1830" s="8" t="s">
        <v>1915</v>
      </c>
      <c r="F1830" s="8">
        <v>3.0</v>
      </c>
      <c r="G1830" s="8">
        <v>596.0</v>
      </c>
      <c r="H1830" s="8">
        <v>0.28</v>
      </c>
      <c r="I1830" s="8">
        <f t="shared" si="1"/>
        <v>1788</v>
      </c>
      <c r="J1830" s="8">
        <f t="shared" si="2"/>
        <v>-500.36</v>
      </c>
      <c r="K1830" s="8" t="str">
        <f t="shared" si="3"/>
        <v>Jul</v>
      </c>
      <c r="L1830" s="8">
        <f t="shared" si="4"/>
        <v>2029</v>
      </c>
      <c r="N1830" s="8" t="str">
        <f t="array" ref="N1830">XLOOKUP(C1830,Customer_Dim!A:A,Customer_Dim!B:B,"Not Found")</f>
        <v>Sheila Wilson</v>
      </c>
      <c r="O1830" s="8" t="str">
        <f t="array" ref="O1830">XLOOKUP(C1830,Customer_Dim!A:A,Customer_Dim!E:E,"Not Found")</f>
        <v>South Dustin</v>
      </c>
      <c r="P1830" s="8" t="str">
        <f t="array" ref="P1830">XLOOKUP(D1830,Product_Dim!A:A,Product_Dim!B:B,"Not Found")</f>
        <v>HD Smart TV Stick</v>
      </c>
      <c r="Q1830" s="8" t="str">
        <f t="array" ref="Q1830">XLOOKUP(D1830,Product_Dim!A:A,Product_Dim!C:C,"Not Found")</f>
        <v>Electronics</v>
      </c>
      <c r="R1830" s="8" t="str">
        <f t="array" ref="R1830">XLOOKUP(E1830,Store_Dim!A:A,Store_Dim!B:B,"Not Found")</f>
        <v>North</v>
      </c>
      <c r="S1830" s="8" t="str">
        <f t="array" ref="S1830">XLOOKUP(E1830,Store_Dim!A:A,Store_Dim!D:D,"Not Found")</f>
        <v>Outlet</v>
      </c>
    </row>
    <row r="1831" ht="14.25" customHeight="1">
      <c r="A1831" s="8" t="s">
        <v>3784</v>
      </c>
      <c r="B1831" s="12">
        <v>47309.0</v>
      </c>
      <c r="C1831" s="8" t="s">
        <v>1065</v>
      </c>
      <c r="D1831" s="8" t="s">
        <v>1601</v>
      </c>
      <c r="E1831" s="8" t="s">
        <v>1924</v>
      </c>
      <c r="F1831" s="8">
        <v>2.0</v>
      </c>
      <c r="G1831" s="8">
        <v>169.46</v>
      </c>
      <c r="H1831" s="8">
        <v>0.03</v>
      </c>
      <c r="I1831" s="8">
        <f t="shared" si="1"/>
        <v>338.92</v>
      </c>
      <c r="J1831" s="8">
        <f t="shared" si="2"/>
        <v>-10.1376</v>
      </c>
      <c r="K1831" s="8" t="str">
        <f t="shared" si="3"/>
        <v>Jul</v>
      </c>
      <c r="L1831" s="8">
        <f t="shared" si="4"/>
        <v>2029</v>
      </c>
      <c r="N1831" s="8" t="str">
        <f t="array" ref="N1831">XLOOKUP(C1831,Customer_Dim!A:A,Customer_Dim!B:B,"Not Found")</f>
        <v>Mr. Christopher Sims</v>
      </c>
      <c r="O1831" s="8" t="str">
        <f t="array" ref="O1831">XLOOKUP(C1831,Customer_Dim!A:A,Customer_Dim!E:E,"Not Found")</f>
        <v>Donaldsontown</v>
      </c>
      <c r="P1831" s="8" t="str">
        <f t="array" ref="P1831">XLOOKUP(D1831,Product_Dim!A:A,Product_Dim!B:B,"Not Found")</f>
        <v>Adjustable Dumbbell Set</v>
      </c>
      <c r="Q1831" s="8" t="str">
        <f t="array" ref="Q1831">XLOOKUP(D1831,Product_Dim!A:A,Product_Dim!C:C,"Not Found")</f>
        <v>Sports</v>
      </c>
      <c r="R1831" s="8" t="str">
        <f t="array" ref="R1831">XLOOKUP(E1831,Store_Dim!A:A,Store_Dim!B:B,"Not Found")</f>
        <v>South</v>
      </c>
      <c r="S1831" s="8" t="str">
        <f t="array" ref="S1831">XLOOKUP(E1831,Store_Dim!A:A,Store_Dim!D:D,"Not Found")</f>
        <v>Flagship</v>
      </c>
    </row>
    <row r="1832" ht="14.25" customHeight="1">
      <c r="A1832" s="8" t="s">
        <v>3785</v>
      </c>
      <c r="B1832" s="12">
        <v>47310.0</v>
      </c>
      <c r="C1832" s="8" t="s">
        <v>963</v>
      </c>
      <c r="D1832" s="8" t="s">
        <v>1784</v>
      </c>
      <c r="E1832" s="8" t="s">
        <v>1932</v>
      </c>
      <c r="F1832" s="8">
        <v>4.0</v>
      </c>
      <c r="G1832" s="8">
        <v>611.92</v>
      </c>
      <c r="H1832" s="8">
        <v>0.2</v>
      </c>
      <c r="I1832" s="8">
        <f t="shared" si="1"/>
        <v>2447.68</v>
      </c>
      <c r="J1832" s="8">
        <f t="shared" si="2"/>
        <v>-489.336</v>
      </c>
      <c r="K1832" s="8" t="str">
        <f t="shared" si="3"/>
        <v>Jul</v>
      </c>
      <c r="L1832" s="8">
        <f t="shared" si="4"/>
        <v>2029</v>
      </c>
      <c r="N1832" s="8" t="str">
        <f t="array" ref="N1832">XLOOKUP(C1832,Customer_Dim!A:A,Customer_Dim!B:B,"Not Found")</f>
        <v>Matthew Avery</v>
      </c>
      <c r="O1832" s="8" t="str">
        <f t="array" ref="O1832">XLOOKUP(C1832,Customer_Dim!A:A,Customer_Dim!E:E,"Not Found")</f>
        <v>Lake Melissashire</v>
      </c>
      <c r="P1832" s="8" t="str">
        <f t="array" ref="P1832">XLOOKUP(D1832,Product_Dim!A:A,Product_Dim!B:B,"Not Found")</f>
        <v>Adjustable Dumbbells 20kg</v>
      </c>
      <c r="Q1832" s="8" t="str">
        <f t="array" ref="Q1832">XLOOKUP(D1832,Product_Dim!A:A,Product_Dim!C:C,"Not Found")</f>
        <v>Sports</v>
      </c>
      <c r="R1832" s="8" t="str">
        <f t="array" ref="R1832">XLOOKUP(E1832,Store_Dim!A:A,Store_Dim!B:B,"Not Found")</f>
        <v>South</v>
      </c>
      <c r="S1832" s="8" t="str">
        <f t="array" ref="S1832">XLOOKUP(E1832,Store_Dim!A:A,Store_Dim!D:D,"Not Found")</f>
        <v>Outlet</v>
      </c>
    </row>
    <row r="1833" ht="14.25" customHeight="1">
      <c r="A1833" s="8" t="s">
        <v>3786</v>
      </c>
      <c r="B1833" s="12">
        <v>47311.0</v>
      </c>
      <c r="C1833" s="8" t="s">
        <v>30</v>
      </c>
      <c r="D1833" s="8" t="s">
        <v>1812</v>
      </c>
      <c r="E1833" s="8" t="s">
        <v>1933</v>
      </c>
      <c r="F1833" s="8">
        <v>2.0</v>
      </c>
      <c r="G1833" s="8">
        <v>25.3</v>
      </c>
      <c r="H1833" s="8">
        <v>0.21</v>
      </c>
      <c r="I1833" s="8">
        <f t="shared" si="1"/>
        <v>50.6</v>
      </c>
      <c r="J1833" s="8">
        <f t="shared" si="2"/>
        <v>-10.416</v>
      </c>
      <c r="K1833" s="8" t="str">
        <f t="shared" si="3"/>
        <v>Jul</v>
      </c>
      <c r="L1833" s="8">
        <f t="shared" si="4"/>
        <v>2029</v>
      </c>
      <c r="N1833" s="8" t="str">
        <f t="array" ref="N1833">XLOOKUP(C1833,Customer_Dim!A:A,Customer_Dim!B:B,"Not Found")</f>
        <v>jeremy harris</v>
      </c>
      <c r="O1833" s="8" t="str">
        <f t="array" ref="O1833">XLOOKUP(C1833,Customer_Dim!A:A,Customer_Dim!E:E,"Not Found")</f>
        <v>Thomastown</v>
      </c>
      <c r="P1833" s="8" t="str">
        <f t="array" ref="P1833">XLOOKUP(D1833,Product_Dim!A:A,Product_Dim!B:B,"Not Found")</f>
        <v>Bluetooth Car Audio System</v>
      </c>
      <c r="Q1833" s="8" t="str">
        <f t="array" ref="Q1833">XLOOKUP(D1833,Product_Dim!A:A,Product_Dim!C:C,"Not Found")</f>
        <v>Electronics</v>
      </c>
      <c r="R1833" s="8" t="str">
        <f t="array" ref="R1833">XLOOKUP(E1833,Store_Dim!A:A,Store_Dim!B:B,"Not Found")</f>
        <v>North</v>
      </c>
      <c r="S1833" s="8" t="str">
        <f t="array" ref="S1833">XLOOKUP(E1833,Store_Dim!A:A,Store_Dim!D:D,"Not Found")</f>
        <v>Flagship</v>
      </c>
    </row>
    <row r="1834" ht="14.25" customHeight="1">
      <c r="A1834" s="8" t="s">
        <v>3787</v>
      </c>
      <c r="B1834" s="12">
        <v>47312.0</v>
      </c>
      <c r="C1834" s="8" t="s">
        <v>1359</v>
      </c>
      <c r="D1834" s="8" t="s">
        <v>1809</v>
      </c>
      <c r="E1834" s="8" t="s">
        <v>1926</v>
      </c>
      <c r="F1834" s="8">
        <v>4.0</v>
      </c>
      <c r="G1834" s="8">
        <v>166.93</v>
      </c>
      <c r="H1834" s="8">
        <v>0.02</v>
      </c>
      <c r="I1834" s="8">
        <f t="shared" si="1"/>
        <v>667.72</v>
      </c>
      <c r="J1834" s="8">
        <f t="shared" si="2"/>
        <v>-13.3344</v>
      </c>
      <c r="K1834" s="8" t="str">
        <f t="shared" si="3"/>
        <v>Jul</v>
      </c>
      <c r="L1834" s="8">
        <f t="shared" si="4"/>
        <v>2029</v>
      </c>
      <c r="N1834" s="8" t="str">
        <f t="array" ref="N1834">XLOOKUP(C1834,Customer_Dim!A:A,Customer_Dim!B:B,"Not Found")</f>
        <v>Thomas Moore</v>
      </c>
      <c r="O1834" s="8" t="str">
        <f t="array" ref="O1834">XLOOKUP(C1834,Customer_Dim!A:A,Customer_Dim!E:E,"Not Found")</f>
        <v>Williamsberg</v>
      </c>
      <c r="P1834" s="8" t="str">
        <f t="array" ref="P1834">XLOOKUP(D1834,Product_Dim!A:A,Product_Dim!B:B,"Not Found")</f>
        <v>Shin Guards – Adult</v>
      </c>
      <c r="Q1834" s="8" t="str">
        <f t="array" ref="Q1834">XLOOKUP(D1834,Product_Dim!A:A,Product_Dim!C:C,"Not Found")</f>
        <v>Sports</v>
      </c>
      <c r="R1834" s="8" t="str">
        <f t="array" ref="R1834">XLOOKUP(E1834,Store_Dim!A:A,Store_Dim!B:B,"Not Found")</f>
        <v>East</v>
      </c>
      <c r="S1834" s="8" t="str">
        <f t="array" ref="S1834">XLOOKUP(E1834,Store_Dim!A:A,Store_Dim!D:D,"Not Found")</f>
        <v>Online</v>
      </c>
    </row>
    <row r="1835" ht="14.25" customHeight="1">
      <c r="A1835" s="8" t="s">
        <v>3788</v>
      </c>
      <c r="B1835" s="12">
        <v>47313.0</v>
      </c>
      <c r="C1835" s="8" t="s">
        <v>905</v>
      </c>
      <c r="D1835" s="8" t="s">
        <v>1769</v>
      </c>
      <c r="E1835" s="8" t="s">
        <v>1928</v>
      </c>
      <c r="F1835" s="8">
        <v>4.0</v>
      </c>
      <c r="G1835" s="8">
        <v>861.55</v>
      </c>
      <c r="H1835" s="8">
        <v>0.12</v>
      </c>
      <c r="I1835" s="8">
        <f t="shared" si="1"/>
        <v>3446.2</v>
      </c>
      <c r="J1835" s="8">
        <f t="shared" si="2"/>
        <v>-413.424</v>
      </c>
      <c r="K1835" s="8" t="str">
        <f t="shared" si="3"/>
        <v>Jul</v>
      </c>
      <c r="L1835" s="8">
        <f t="shared" si="4"/>
        <v>2029</v>
      </c>
      <c r="N1835" s="8" t="str">
        <f t="array" ref="N1835">XLOOKUP(C1835,Customer_Dim!A:A,Customer_Dim!B:B,"Not Found")</f>
        <v>Antonio Leon</v>
      </c>
      <c r="O1835" s="8" t="str">
        <f t="array" ref="O1835">XLOOKUP(C1835,Customer_Dim!A:A,Customer_Dim!E:E,"Not Found")</f>
        <v>Morrisville</v>
      </c>
      <c r="P1835" s="8" t="str">
        <f t="array" ref="P1835">XLOOKUP(D1835,Product_Dim!A:A,Product_Dim!B:B,"Not Found")</f>
        <v>Luxury Perfume Spray</v>
      </c>
      <c r="Q1835" s="8" t="str">
        <f t="array" ref="Q1835">XLOOKUP(D1835,Product_Dim!A:A,Product_Dim!C:C,"Not Found")</f>
        <v>Beauty</v>
      </c>
      <c r="R1835" s="8" t="str">
        <f t="array" ref="R1835">XLOOKUP(E1835,Store_Dim!A:A,Store_Dim!B:B,"Not Found")</f>
        <v>South</v>
      </c>
      <c r="S1835" s="8" t="str">
        <f t="array" ref="S1835">XLOOKUP(E1835,Store_Dim!A:A,Store_Dim!D:D,"Not Found")</f>
        <v>Online</v>
      </c>
    </row>
    <row r="1836" ht="14.25" customHeight="1">
      <c r="A1836" s="8" t="s">
        <v>3789</v>
      </c>
      <c r="B1836" s="12">
        <v>47314.0</v>
      </c>
      <c r="C1836" s="8" t="s">
        <v>1143</v>
      </c>
      <c r="D1836" s="8" t="s">
        <v>1716</v>
      </c>
      <c r="E1836" s="8" t="s">
        <v>1915</v>
      </c>
      <c r="F1836" s="8">
        <v>3.0</v>
      </c>
      <c r="G1836" s="8">
        <v>56.17</v>
      </c>
      <c r="H1836" s="8">
        <v>0.01</v>
      </c>
      <c r="I1836" s="8">
        <f t="shared" si="1"/>
        <v>168.51</v>
      </c>
      <c r="J1836" s="8">
        <f t="shared" si="2"/>
        <v>-1.6751</v>
      </c>
      <c r="K1836" s="8" t="str">
        <f t="shared" si="3"/>
        <v>Jul</v>
      </c>
      <c r="L1836" s="8">
        <f t="shared" si="4"/>
        <v>2029</v>
      </c>
      <c r="N1836" s="8" t="str">
        <f t="array" ref="N1836">XLOOKUP(C1836,Customer_Dim!A:A,Customer_Dim!B:B,"Not Found")</f>
        <v>Denise Tate</v>
      </c>
      <c r="O1836" s="8" t="str">
        <f t="array" ref="O1836">XLOOKUP(C1836,Customer_Dim!A:A,Customer_Dim!E:E,"Not Found")</f>
        <v>Andersonside</v>
      </c>
      <c r="P1836" s="8" t="str">
        <f t="array" ref="P1836">XLOOKUP(D1836,Product_Dim!A:A,Product_Dim!B:B,"Not Found")</f>
        <v>USB External Hard Drive</v>
      </c>
      <c r="Q1836" s="8" t="str">
        <f t="array" ref="Q1836">XLOOKUP(D1836,Product_Dim!A:A,Product_Dim!C:C,"Not Found")</f>
        <v>Electronics</v>
      </c>
      <c r="R1836" s="8" t="str">
        <f t="array" ref="R1836">XLOOKUP(E1836,Store_Dim!A:A,Store_Dim!B:B,"Not Found")</f>
        <v>North</v>
      </c>
      <c r="S1836" s="8" t="str">
        <f t="array" ref="S1836">XLOOKUP(E1836,Store_Dim!A:A,Store_Dim!D:D,"Not Found")</f>
        <v>Outlet</v>
      </c>
    </row>
    <row r="1837" ht="14.25" customHeight="1">
      <c r="A1837" s="8" t="s">
        <v>3790</v>
      </c>
      <c r="B1837" s="12">
        <v>47315.0</v>
      </c>
      <c r="C1837" s="8" t="s">
        <v>864</v>
      </c>
      <c r="D1837" s="8" t="s">
        <v>1624</v>
      </c>
      <c r="E1837" s="8" t="s">
        <v>1941</v>
      </c>
      <c r="F1837" s="8">
        <v>1.0</v>
      </c>
      <c r="G1837" s="8">
        <v>582.29</v>
      </c>
      <c r="H1837" s="8">
        <v>0.2</v>
      </c>
      <c r="I1837" s="8">
        <f t="shared" si="1"/>
        <v>582.29</v>
      </c>
      <c r="J1837" s="8">
        <f t="shared" si="2"/>
        <v>-116.258</v>
      </c>
      <c r="K1837" s="8" t="str">
        <f t="shared" si="3"/>
        <v>Jul</v>
      </c>
      <c r="L1837" s="8">
        <f t="shared" si="4"/>
        <v>2029</v>
      </c>
      <c r="N1837" s="8" t="str">
        <f t="array" ref="N1837">XLOOKUP(C1837,Customer_Dim!A:A,Customer_Dim!B:B,"Not Found")</f>
        <v>Cynthia Payne</v>
      </c>
      <c r="O1837" s="8" t="str">
        <f t="array" ref="O1837">XLOOKUP(C1837,Customer_Dim!A:A,Customer_Dim!E:E,"Not Found")</f>
        <v>South Gina</v>
      </c>
      <c r="P1837" s="8" t="str">
        <f t="array" ref="P1837">XLOOKUP(D1837,Product_Dim!A:A,Product_Dim!B:B,"Not Found")</f>
        <v>4K Home Projector</v>
      </c>
      <c r="Q1837" s="8" t="str">
        <f t="array" ref="Q1837">XLOOKUP(D1837,Product_Dim!A:A,Product_Dim!C:C,"Not Found")</f>
        <v>Electronics</v>
      </c>
      <c r="R1837" s="8" t="str">
        <f t="array" ref="R1837">XLOOKUP(E1837,Store_Dim!A:A,Store_Dim!B:B,"Not Found")</f>
        <v>East</v>
      </c>
      <c r="S1837" s="8" t="str">
        <f t="array" ref="S1837">XLOOKUP(E1837,Store_Dim!A:A,Store_Dim!D:D,"Not Found")</f>
        <v>Online</v>
      </c>
    </row>
    <row r="1838" ht="14.25" customHeight="1">
      <c r="A1838" s="8" t="s">
        <v>3791</v>
      </c>
      <c r="B1838" s="12">
        <v>47316.0</v>
      </c>
      <c r="C1838" s="8" t="s">
        <v>848</v>
      </c>
      <c r="D1838" s="8" t="s">
        <v>1839</v>
      </c>
      <c r="E1838" s="8" t="s">
        <v>1899</v>
      </c>
      <c r="F1838" s="8">
        <v>3.0</v>
      </c>
      <c r="G1838" s="8">
        <v>63.96</v>
      </c>
      <c r="H1838" s="8">
        <v>0.02</v>
      </c>
      <c r="I1838" s="8">
        <f t="shared" si="1"/>
        <v>191.88</v>
      </c>
      <c r="J1838" s="8">
        <f t="shared" si="2"/>
        <v>-3.8176</v>
      </c>
      <c r="K1838" s="8" t="str">
        <f t="shared" si="3"/>
        <v>Jul</v>
      </c>
      <c r="L1838" s="8">
        <f t="shared" si="4"/>
        <v>2029</v>
      </c>
      <c r="N1838" s="8" t="str">
        <f t="array" ref="N1838">XLOOKUP(C1838,Customer_Dim!A:A,Customer_Dim!B:B,"Not Found")</f>
        <v>Carol Bishop</v>
      </c>
      <c r="O1838" s="8" t="str">
        <f t="array" ref="O1838">XLOOKUP(C1838,Customer_Dim!A:A,Customer_Dim!E:E,"Not Found")</f>
        <v>Lake Saramouth</v>
      </c>
      <c r="P1838" s="8" t="str">
        <f t="array" ref="P1838">XLOOKUP(D1838,Product_Dim!A:A,Product_Dim!B:B,"Not Found")</f>
        <v>Hydrating Face Cleanser</v>
      </c>
      <c r="Q1838" s="8" t="str">
        <f t="array" ref="Q1838">XLOOKUP(D1838,Product_Dim!A:A,Product_Dim!C:C,"Not Found")</f>
        <v>Beauty</v>
      </c>
      <c r="R1838" s="8" t="str">
        <f t="array" ref="R1838">XLOOKUP(E1838,Store_Dim!A:A,Store_Dim!B:B,"Not Found")</f>
        <v>East</v>
      </c>
      <c r="S1838" s="8" t="str">
        <f t="array" ref="S1838">XLOOKUP(E1838,Store_Dim!A:A,Store_Dim!D:D,"Not Found")</f>
        <v>Flagship</v>
      </c>
    </row>
    <row r="1839" ht="14.25" customHeight="1">
      <c r="A1839" s="8" t="s">
        <v>3792</v>
      </c>
      <c r="B1839" s="12">
        <v>47317.0</v>
      </c>
      <c r="C1839" s="8" t="s">
        <v>251</v>
      </c>
      <c r="D1839" s="8" t="s">
        <v>1601</v>
      </c>
      <c r="E1839" s="8" t="s">
        <v>1929</v>
      </c>
      <c r="F1839" s="8">
        <v>1.0</v>
      </c>
      <c r="G1839" s="8">
        <v>829.83</v>
      </c>
      <c r="H1839" s="8">
        <v>0.26</v>
      </c>
      <c r="I1839" s="8">
        <f t="shared" si="1"/>
        <v>829.83</v>
      </c>
      <c r="J1839" s="8">
        <f t="shared" si="2"/>
        <v>-215.4958</v>
      </c>
      <c r="K1839" s="8" t="str">
        <f t="shared" si="3"/>
        <v>Jul</v>
      </c>
      <c r="L1839" s="8">
        <f t="shared" si="4"/>
        <v>2029</v>
      </c>
      <c r="N1839" s="8" t="str">
        <f t="array" ref="N1839">XLOOKUP(C1839,Customer_Dim!A:A,Customer_Dim!B:B,"Not Found")</f>
        <v>Michael Thomas</v>
      </c>
      <c r="O1839" s="8" t="str">
        <f t="array" ref="O1839">XLOOKUP(C1839,Customer_Dim!A:A,Customer_Dim!E:E,"Not Found")</f>
        <v>Woodmouth</v>
      </c>
      <c r="P1839" s="8" t="str">
        <f t="array" ref="P1839">XLOOKUP(D1839,Product_Dim!A:A,Product_Dim!B:B,"Not Found")</f>
        <v>Adjustable Dumbbell Set</v>
      </c>
      <c r="Q1839" s="8" t="str">
        <f t="array" ref="Q1839">XLOOKUP(D1839,Product_Dim!A:A,Product_Dim!C:C,"Not Found")</f>
        <v>Sports</v>
      </c>
      <c r="R1839" s="8" t="str">
        <f t="array" ref="R1839">XLOOKUP(E1839,Store_Dim!A:A,Store_Dim!B:B,"Not Found")</f>
        <v>North</v>
      </c>
      <c r="S1839" s="8" t="str">
        <f t="array" ref="S1839">XLOOKUP(E1839,Store_Dim!A:A,Store_Dim!D:D,"Not Found")</f>
        <v>Online</v>
      </c>
    </row>
    <row r="1840" ht="14.25" customHeight="1">
      <c r="A1840" s="8" t="s">
        <v>3793</v>
      </c>
      <c r="B1840" s="12">
        <v>47318.0</v>
      </c>
      <c r="C1840" s="8" t="s">
        <v>1173</v>
      </c>
      <c r="D1840" s="8" t="s">
        <v>1687</v>
      </c>
      <c r="E1840" s="8" t="s">
        <v>1935</v>
      </c>
      <c r="F1840" s="8">
        <v>2.0</v>
      </c>
      <c r="G1840" s="8">
        <v>858.15</v>
      </c>
      <c r="H1840" s="8">
        <v>0.03</v>
      </c>
      <c r="I1840" s="8">
        <f t="shared" si="1"/>
        <v>1716.3</v>
      </c>
      <c r="J1840" s="8">
        <f t="shared" si="2"/>
        <v>-51.459</v>
      </c>
      <c r="K1840" s="8" t="str">
        <f t="shared" si="3"/>
        <v>Jul</v>
      </c>
      <c r="L1840" s="8">
        <f t="shared" si="4"/>
        <v>2029</v>
      </c>
      <c r="N1840" s="8" t="str">
        <f t="array" ref="N1840">XLOOKUP(C1840,Customer_Dim!A:A,Customer_Dim!B:B,"Not Found")</f>
        <v>James Holloway Jr.</v>
      </c>
      <c r="O1840" s="8" t="str">
        <f t="array" ref="O1840">XLOOKUP(C1840,Customer_Dim!A:A,Customer_Dim!E:E,"Not Found")</f>
        <v>Millston</v>
      </c>
      <c r="P1840" s="8" t="str">
        <f t="array" ref="P1840">XLOOKUP(D1840,Product_Dim!A:A,Product_Dim!B:B,"Not Found")</f>
        <v>Gaming Mechanical Keyboard</v>
      </c>
      <c r="Q1840" s="8" t="str">
        <f t="array" ref="Q1840">XLOOKUP(D1840,Product_Dim!A:A,Product_Dim!C:C,"Not Found")</f>
        <v>Electronics</v>
      </c>
      <c r="R1840" s="8" t="str">
        <f t="array" ref="R1840">XLOOKUP(E1840,Store_Dim!A:A,Store_Dim!B:B,"Not Found")</f>
        <v>West</v>
      </c>
      <c r="S1840" s="8" t="str">
        <f t="array" ref="S1840">XLOOKUP(E1840,Store_Dim!A:A,Store_Dim!D:D,"Not Found")</f>
        <v>Flagship</v>
      </c>
    </row>
    <row r="1841" ht="14.25" customHeight="1">
      <c r="A1841" s="8" t="s">
        <v>3794</v>
      </c>
      <c r="B1841" s="12">
        <v>47319.0</v>
      </c>
      <c r="C1841" s="8" t="s">
        <v>1140</v>
      </c>
      <c r="D1841" s="8" t="s">
        <v>1809</v>
      </c>
      <c r="E1841" s="8" t="s">
        <v>1931</v>
      </c>
      <c r="F1841" s="8">
        <v>3.0</v>
      </c>
      <c r="G1841" s="8">
        <v>717.32</v>
      </c>
      <c r="H1841" s="8">
        <v>0.23</v>
      </c>
      <c r="I1841" s="8">
        <f t="shared" si="1"/>
        <v>2151.96</v>
      </c>
      <c r="J1841" s="8">
        <f t="shared" si="2"/>
        <v>-494.7208</v>
      </c>
      <c r="K1841" s="8" t="str">
        <f t="shared" si="3"/>
        <v>Jul</v>
      </c>
      <c r="L1841" s="8">
        <f t="shared" si="4"/>
        <v>2029</v>
      </c>
      <c r="N1841" s="8" t="str">
        <f t="array" ref="N1841">XLOOKUP(C1841,Customer_Dim!A:A,Customer_Dim!B:B,"Not Found")</f>
        <v>Melanie Lam</v>
      </c>
      <c r="O1841" s="8" t="str">
        <f t="array" ref="O1841">XLOOKUP(C1841,Customer_Dim!A:A,Customer_Dim!E:E,"Not Found")</f>
        <v>East Michaelton</v>
      </c>
      <c r="P1841" s="8" t="str">
        <f t="array" ref="P1841">XLOOKUP(D1841,Product_Dim!A:A,Product_Dim!B:B,"Not Found")</f>
        <v>Shin Guards – Adult</v>
      </c>
      <c r="Q1841" s="8" t="str">
        <f t="array" ref="Q1841">XLOOKUP(D1841,Product_Dim!A:A,Product_Dim!C:C,"Not Found")</f>
        <v>Sports</v>
      </c>
      <c r="R1841" s="8" t="str">
        <f t="array" ref="R1841">XLOOKUP(E1841,Store_Dim!A:A,Store_Dim!B:B,"Not Found")</f>
        <v>East</v>
      </c>
      <c r="S1841" s="8" t="str">
        <f t="array" ref="S1841">XLOOKUP(E1841,Store_Dim!A:A,Store_Dim!D:D,"Not Found")</f>
        <v>Flagship</v>
      </c>
    </row>
    <row r="1842" ht="14.25" customHeight="1">
      <c r="A1842" s="8" t="s">
        <v>3795</v>
      </c>
      <c r="B1842" s="12">
        <v>47320.0</v>
      </c>
      <c r="C1842" s="8" t="s">
        <v>1344</v>
      </c>
      <c r="D1842" s="8" t="s">
        <v>1839</v>
      </c>
      <c r="E1842" s="8" t="s">
        <v>1929</v>
      </c>
      <c r="F1842" s="8">
        <v>1.0</v>
      </c>
      <c r="G1842" s="8">
        <v>163.2</v>
      </c>
      <c r="H1842" s="8">
        <v>0.22</v>
      </c>
      <c r="I1842" s="8">
        <f t="shared" si="1"/>
        <v>163.2</v>
      </c>
      <c r="J1842" s="8">
        <f t="shared" si="2"/>
        <v>-35.684</v>
      </c>
      <c r="K1842" s="8" t="str">
        <f t="shared" si="3"/>
        <v>Jul</v>
      </c>
      <c r="L1842" s="8">
        <f t="shared" si="4"/>
        <v>2029</v>
      </c>
      <c r="N1842" s="8" t="str">
        <f t="array" ref="N1842">XLOOKUP(C1842,Customer_Dim!A:A,Customer_Dim!B:B,"Not Found")</f>
        <v>Samuel Mullins</v>
      </c>
      <c r="O1842" s="8" t="str">
        <f t="array" ref="O1842">XLOOKUP(C1842,Customer_Dim!A:A,Customer_Dim!E:E,"Not Found")</f>
        <v>Hartmouth</v>
      </c>
      <c r="P1842" s="8" t="str">
        <f t="array" ref="P1842">XLOOKUP(D1842,Product_Dim!A:A,Product_Dim!B:B,"Not Found")</f>
        <v>Hydrating Face Cleanser</v>
      </c>
      <c r="Q1842" s="8" t="str">
        <f t="array" ref="Q1842">XLOOKUP(D1842,Product_Dim!A:A,Product_Dim!C:C,"Not Found")</f>
        <v>Beauty</v>
      </c>
      <c r="R1842" s="8" t="str">
        <f t="array" ref="R1842">XLOOKUP(E1842,Store_Dim!A:A,Store_Dim!B:B,"Not Found")</f>
        <v>North</v>
      </c>
      <c r="S1842" s="8" t="str">
        <f t="array" ref="S1842">XLOOKUP(E1842,Store_Dim!A:A,Store_Dim!D:D,"Not Found")</f>
        <v>Online</v>
      </c>
    </row>
    <row r="1843" ht="14.25" customHeight="1">
      <c r="A1843" s="8" t="s">
        <v>3796</v>
      </c>
      <c r="B1843" s="12">
        <v>47321.0</v>
      </c>
      <c r="C1843" s="8" t="s">
        <v>446</v>
      </c>
      <c r="D1843" s="8" t="s">
        <v>1833</v>
      </c>
      <c r="E1843" s="8" t="s">
        <v>1929</v>
      </c>
      <c r="F1843" s="8">
        <v>2.0</v>
      </c>
      <c r="G1843" s="8">
        <v>966.71</v>
      </c>
      <c r="H1843" s="8">
        <v>0.11</v>
      </c>
      <c r="I1843" s="8">
        <f t="shared" si="1"/>
        <v>1933.42</v>
      </c>
      <c r="J1843" s="8">
        <f t="shared" si="2"/>
        <v>-212.5662</v>
      </c>
      <c r="K1843" s="8" t="str">
        <f t="shared" si="3"/>
        <v>Jul</v>
      </c>
      <c r="L1843" s="8">
        <f t="shared" si="4"/>
        <v>2029</v>
      </c>
      <c r="N1843" s="8" t="str">
        <f t="array" ref="N1843">XLOOKUP(C1843,Customer_Dim!A:A,Customer_Dim!B:B,"Not Found")</f>
        <v>James Wolfe</v>
      </c>
      <c r="O1843" s="8" t="str">
        <f t="array" ref="O1843">XLOOKUP(C1843,Customer_Dim!A:A,Customer_Dim!E:E,"Not Found")</f>
        <v>Benjaminton</v>
      </c>
      <c r="P1843" s="8" t="str">
        <f t="array" ref="P1843">XLOOKUP(D1843,Product_Dim!A:A,Product_Dim!B:B,"Not Found")</f>
        <v>Badminton Racket Set</v>
      </c>
      <c r="Q1843" s="8" t="str">
        <f t="array" ref="Q1843">XLOOKUP(D1843,Product_Dim!A:A,Product_Dim!C:C,"Not Found")</f>
        <v>Sports</v>
      </c>
      <c r="R1843" s="8" t="str">
        <f t="array" ref="R1843">XLOOKUP(E1843,Store_Dim!A:A,Store_Dim!B:B,"Not Found")</f>
        <v>North</v>
      </c>
      <c r="S1843" s="8" t="str">
        <f t="array" ref="S1843">XLOOKUP(E1843,Store_Dim!A:A,Store_Dim!D:D,"Not Found")</f>
        <v>Online</v>
      </c>
    </row>
    <row r="1844" ht="14.25" customHeight="1">
      <c r="A1844" s="8" t="s">
        <v>3797</v>
      </c>
      <c r="B1844" s="12">
        <v>47322.0</v>
      </c>
      <c r="C1844" s="8" t="s">
        <v>1107</v>
      </c>
      <c r="D1844" s="8" t="s">
        <v>1690</v>
      </c>
      <c r="E1844" s="8" t="s">
        <v>1931</v>
      </c>
      <c r="F1844" s="8">
        <v>2.0</v>
      </c>
      <c r="G1844" s="8">
        <v>873.94</v>
      </c>
      <c r="H1844" s="8">
        <v>0.14</v>
      </c>
      <c r="I1844" s="8">
        <f t="shared" si="1"/>
        <v>1747.88</v>
      </c>
      <c r="J1844" s="8">
        <f t="shared" si="2"/>
        <v>-244.5632</v>
      </c>
      <c r="K1844" s="8" t="str">
        <f t="shared" si="3"/>
        <v>Jul</v>
      </c>
      <c r="L1844" s="8">
        <f t="shared" si="4"/>
        <v>2029</v>
      </c>
      <c r="N1844" s="8" t="str">
        <f t="array" ref="N1844">XLOOKUP(C1844,Customer_Dim!A:A,Customer_Dim!B:B,"Not Found")</f>
        <v>Sherry Cabrera</v>
      </c>
      <c r="O1844" s="8" t="str">
        <f t="array" ref="O1844">XLOOKUP(C1844,Customer_Dim!A:A,Customer_Dim!E:E,"Not Found")</f>
        <v>Shannonview</v>
      </c>
      <c r="P1844" s="8" t="str">
        <f t="array" ref="P1844">XLOOKUP(D1844,Product_Dim!A:A,Product_Dim!B:B,"Not Found")</f>
        <v>Bedroom Table Lamp</v>
      </c>
      <c r="Q1844" s="8" t="str">
        <f t="array" ref="Q1844">XLOOKUP(D1844,Product_Dim!A:A,Product_Dim!C:C,"Not Found")</f>
        <v>Home</v>
      </c>
      <c r="R1844" s="8" t="str">
        <f t="array" ref="R1844">XLOOKUP(E1844,Store_Dim!A:A,Store_Dim!B:B,"Not Found")</f>
        <v>East</v>
      </c>
      <c r="S1844" s="8" t="str">
        <f t="array" ref="S1844">XLOOKUP(E1844,Store_Dim!A:A,Store_Dim!D:D,"Not Found")</f>
        <v>Flagship</v>
      </c>
    </row>
    <row r="1845" ht="14.25" customHeight="1">
      <c r="A1845" s="8" t="s">
        <v>3798</v>
      </c>
      <c r="B1845" s="12">
        <v>47323.0</v>
      </c>
      <c r="C1845" s="8" t="s">
        <v>514</v>
      </c>
      <c r="D1845" s="8" t="s">
        <v>1562</v>
      </c>
      <c r="E1845" s="8" t="s">
        <v>1910</v>
      </c>
      <c r="F1845" s="8">
        <v>1.0</v>
      </c>
      <c r="G1845" s="8">
        <v>140.24</v>
      </c>
      <c r="H1845" s="8">
        <v>0.27</v>
      </c>
      <c r="I1845" s="8">
        <f t="shared" si="1"/>
        <v>140.24</v>
      </c>
      <c r="J1845" s="8">
        <f t="shared" si="2"/>
        <v>-37.5948</v>
      </c>
      <c r="K1845" s="8" t="str">
        <f t="shared" si="3"/>
        <v>Jul</v>
      </c>
      <c r="L1845" s="8">
        <f t="shared" si="4"/>
        <v>2029</v>
      </c>
      <c r="N1845" s="8" t="str">
        <f t="array" ref="N1845">XLOOKUP(C1845,Customer_Dim!A:A,Customer_Dim!B:B,"Not Found")</f>
        <v>Denise Griffin</v>
      </c>
      <c r="O1845" s="8" t="str">
        <f t="array" ref="O1845">XLOOKUP(C1845,Customer_Dim!A:A,Customer_Dim!E:E,"Not Found")</f>
        <v>West Markhaven</v>
      </c>
      <c r="P1845" s="8" t="str">
        <f t="array" ref="P1845">XLOOKUP(D1845,Product_Dim!A:A,Product_Dim!B:B,"Not Found")</f>
        <v>Brother Laser Printer</v>
      </c>
      <c r="Q1845" s="8" t="str">
        <f t="array" ref="Q1845">XLOOKUP(D1845,Product_Dim!A:A,Product_Dim!C:C,"Not Found")</f>
        <v>Electronics</v>
      </c>
      <c r="R1845" s="8" t="str">
        <f t="array" ref="R1845">XLOOKUP(E1845,Store_Dim!A:A,Store_Dim!B:B,"Not Found")</f>
        <v>North</v>
      </c>
      <c r="S1845" s="8" t="str">
        <f t="array" ref="S1845">XLOOKUP(E1845,Store_Dim!A:A,Store_Dim!D:D,"Not Found")</f>
        <v>Outlet</v>
      </c>
    </row>
    <row r="1846" ht="14.25" customHeight="1">
      <c r="A1846" s="8" t="s">
        <v>3799</v>
      </c>
      <c r="B1846" s="12">
        <v>47324.0</v>
      </c>
      <c r="C1846" s="8" t="s">
        <v>669</v>
      </c>
      <c r="D1846" s="8" t="s">
        <v>1716</v>
      </c>
      <c r="E1846" s="8" t="s">
        <v>1915</v>
      </c>
      <c r="F1846" s="8">
        <v>2.0</v>
      </c>
      <c r="G1846" s="8">
        <v>549.92</v>
      </c>
      <c r="H1846" s="8">
        <v>0.28</v>
      </c>
      <c r="I1846" s="8">
        <f t="shared" si="1"/>
        <v>1099.84</v>
      </c>
      <c r="J1846" s="8">
        <f t="shared" si="2"/>
        <v>-307.6752</v>
      </c>
      <c r="K1846" s="8" t="str">
        <f t="shared" si="3"/>
        <v>Jul</v>
      </c>
      <c r="L1846" s="8">
        <f t="shared" si="4"/>
        <v>2029</v>
      </c>
      <c r="N1846" s="8" t="str">
        <f t="array" ref="N1846">XLOOKUP(C1846,Customer_Dim!A:A,Customer_Dim!B:B,"Not Found")</f>
        <v>Mary Boyd</v>
      </c>
      <c r="O1846" s="8" t="str">
        <f t="array" ref="O1846">XLOOKUP(C1846,Customer_Dim!A:A,Customer_Dim!E:E,"Not Found")</f>
        <v>New Logan</v>
      </c>
      <c r="P1846" s="8" t="str">
        <f t="array" ref="P1846">XLOOKUP(D1846,Product_Dim!A:A,Product_Dim!B:B,"Not Found")</f>
        <v>USB External Hard Drive</v>
      </c>
      <c r="Q1846" s="8" t="str">
        <f t="array" ref="Q1846">XLOOKUP(D1846,Product_Dim!A:A,Product_Dim!C:C,"Not Found")</f>
        <v>Electronics</v>
      </c>
      <c r="R1846" s="8" t="str">
        <f t="array" ref="R1846">XLOOKUP(E1846,Store_Dim!A:A,Store_Dim!B:B,"Not Found")</f>
        <v>North</v>
      </c>
      <c r="S1846" s="8" t="str">
        <f t="array" ref="S1846">XLOOKUP(E1846,Store_Dim!A:A,Store_Dim!D:D,"Not Found")</f>
        <v>Outlet</v>
      </c>
    </row>
    <row r="1847" ht="14.25" customHeight="1">
      <c r="A1847" s="8" t="s">
        <v>3800</v>
      </c>
      <c r="B1847" s="12">
        <v>47325.0</v>
      </c>
      <c r="C1847" s="8" t="s">
        <v>400</v>
      </c>
      <c r="D1847" s="8" t="s">
        <v>1632</v>
      </c>
      <c r="E1847" s="8" t="s">
        <v>1915</v>
      </c>
      <c r="F1847" s="8">
        <v>4.0</v>
      </c>
      <c r="G1847" s="8">
        <v>715.88</v>
      </c>
      <c r="H1847" s="8">
        <v>0.19</v>
      </c>
      <c r="I1847" s="8">
        <f t="shared" si="1"/>
        <v>2863.52</v>
      </c>
      <c r="J1847" s="8">
        <f t="shared" si="2"/>
        <v>-543.8788</v>
      </c>
      <c r="K1847" s="8" t="str">
        <f t="shared" si="3"/>
        <v>Jul</v>
      </c>
      <c r="L1847" s="8">
        <f t="shared" si="4"/>
        <v>2029</v>
      </c>
      <c r="N1847" s="8" t="str">
        <f t="array" ref="N1847">XLOOKUP(C1847,Customer_Dim!A:A,Customer_Dim!B:B,"Not Found")</f>
        <v>Julie Farmer</v>
      </c>
      <c r="O1847" s="8" t="str">
        <f t="array" ref="O1847">XLOOKUP(C1847,Customer_Dim!A:A,Customer_Dim!E:E,"Not Found")</f>
        <v>Rodriguezmouth</v>
      </c>
      <c r="P1847" s="8" t="str">
        <f t="array" ref="P1847">XLOOKUP(D1847,Product_Dim!A:A,Product_Dim!B:B,"Not Found")</f>
        <v>Soccer Training Cone Set</v>
      </c>
      <c r="Q1847" s="8" t="str">
        <f t="array" ref="Q1847">XLOOKUP(D1847,Product_Dim!A:A,Product_Dim!C:C,"Not Found")</f>
        <v>Sports</v>
      </c>
      <c r="R1847" s="8" t="str">
        <f t="array" ref="R1847">XLOOKUP(E1847,Store_Dim!A:A,Store_Dim!B:B,"Not Found")</f>
        <v>North</v>
      </c>
      <c r="S1847" s="8" t="str">
        <f t="array" ref="S1847">XLOOKUP(E1847,Store_Dim!A:A,Store_Dim!D:D,"Not Found")</f>
        <v>Outlet</v>
      </c>
    </row>
    <row r="1848" ht="14.25" customHeight="1">
      <c r="A1848" s="8" t="s">
        <v>3801</v>
      </c>
      <c r="B1848" s="12">
        <v>47326.0</v>
      </c>
      <c r="C1848" s="8" t="s">
        <v>1176</v>
      </c>
      <c r="D1848" s="8" t="s">
        <v>1572</v>
      </c>
      <c r="E1848" s="8" t="s">
        <v>1921</v>
      </c>
      <c r="F1848" s="8">
        <v>3.0</v>
      </c>
      <c r="G1848" s="8">
        <v>591.9</v>
      </c>
      <c r="H1848" s="8">
        <v>0.27</v>
      </c>
      <c r="I1848" s="8">
        <f t="shared" si="1"/>
        <v>1775.7</v>
      </c>
      <c r="J1848" s="8">
        <f t="shared" si="2"/>
        <v>-479.169</v>
      </c>
      <c r="K1848" s="8" t="str">
        <f t="shared" si="3"/>
        <v>Jul</v>
      </c>
      <c r="L1848" s="8">
        <f t="shared" si="4"/>
        <v>2029</v>
      </c>
      <c r="N1848" s="8" t="str">
        <f t="array" ref="N1848">XLOOKUP(C1848,Customer_Dim!A:A,Customer_Dim!B:B,"Not Found")</f>
        <v>Michael Garner</v>
      </c>
      <c r="O1848" s="8" t="str">
        <f t="array" ref="O1848">XLOOKUP(C1848,Customer_Dim!A:A,Customer_Dim!E:E,"Not Found")</f>
        <v>Port Crystal</v>
      </c>
      <c r="P1848" s="8" t="str">
        <f t="array" ref="P1848">XLOOKUP(D1848,Product_Dim!A:A,Product_Dim!B:B,"Not Found")</f>
        <v>Women's Casual Hoodie</v>
      </c>
      <c r="Q1848" s="8" t="str">
        <f t="array" ref="Q1848">XLOOKUP(D1848,Product_Dim!A:A,Product_Dim!C:C,"Not Found")</f>
        <v>Clothing</v>
      </c>
      <c r="R1848" s="8" t="str">
        <f t="array" ref="R1848">XLOOKUP(E1848,Store_Dim!A:A,Store_Dim!B:B,"Not Found")</f>
        <v>West</v>
      </c>
      <c r="S1848" s="8" t="str">
        <f t="array" ref="S1848">XLOOKUP(E1848,Store_Dim!A:A,Store_Dim!D:D,"Not Found")</f>
        <v>Online</v>
      </c>
    </row>
    <row r="1849" ht="14.25" customHeight="1">
      <c r="A1849" s="8" t="s">
        <v>3802</v>
      </c>
      <c r="B1849" s="12">
        <v>47327.0</v>
      </c>
      <c r="C1849" s="8" t="s">
        <v>1188</v>
      </c>
      <c r="D1849" s="8" t="s">
        <v>1649</v>
      </c>
      <c r="E1849" s="8" t="s">
        <v>1926</v>
      </c>
      <c r="F1849" s="8">
        <v>2.0</v>
      </c>
      <c r="G1849" s="8">
        <v>523.14</v>
      </c>
      <c r="H1849" s="8">
        <v>0.13</v>
      </c>
      <c r="I1849" s="8">
        <f t="shared" si="1"/>
        <v>1046.28</v>
      </c>
      <c r="J1849" s="8">
        <f t="shared" si="2"/>
        <v>-135.8864</v>
      </c>
      <c r="K1849" s="8" t="str">
        <f t="shared" si="3"/>
        <v>Jul</v>
      </c>
      <c r="L1849" s="8">
        <f t="shared" si="4"/>
        <v>2029</v>
      </c>
      <c r="N1849" s="8" t="str">
        <f t="array" ref="N1849">XLOOKUP(C1849,Customer_Dim!A:A,Customer_Dim!B:B,"Not Found")</f>
        <v>Joshua Bell</v>
      </c>
      <c r="O1849" s="8" t="str">
        <f t="array" ref="O1849">XLOOKUP(C1849,Customer_Dim!A:A,Customer_Dim!E:E,"Not Found")</f>
        <v>Port Richardshire</v>
      </c>
      <c r="P1849" s="8" t="str">
        <f t="array" ref="P1849">XLOOKUP(D1849,Product_Dim!A:A,Product_Dim!B:B,"Not Found")</f>
        <v>Carbon Fiber Tennis Racket</v>
      </c>
      <c r="Q1849" s="8" t="str">
        <f t="array" ref="Q1849">XLOOKUP(D1849,Product_Dim!A:A,Product_Dim!C:C,"Not Found")</f>
        <v>Sports</v>
      </c>
      <c r="R1849" s="8" t="str">
        <f t="array" ref="R1849">XLOOKUP(E1849,Store_Dim!A:A,Store_Dim!B:B,"Not Found")</f>
        <v>East</v>
      </c>
      <c r="S1849" s="8" t="str">
        <f t="array" ref="S1849">XLOOKUP(E1849,Store_Dim!A:A,Store_Dim!D:D,"Not Found")</f>
        <v>Online</v>
      </c>
    </row>
    <row r="1850" ht="14.25" customHeight="1">
      <c r="A1850" s="8" t="s">
        <v>3803</v>
      </c>
      <c r="B1850" s="12">
        <v>47328.0</v>
      </c>
      <c r="C1850" s="8" t="s">
        <v>745</v>
      </c>
      <c r="D1850" s="8" t="s">
        <v>1797</v>
      </c>
      <c r="E1850" s="8" t="s">
        <v>1932</v>
      </c>
      <c r="F1850" s="8">
        <v>2.0</v>
      </c>
      <c r="G1850" s="8">
        <v>478.62</v>
      </c>
      <c r="H1850" s="8">
        <v>0.17</v>
      </c>
      <c r="I1850" s="8">
        <f t="shared" si="1"/>
        <v>957.24</v>
      </c>
      <c r="J1850" s="8">
        <f t="shared" si="2"/>
        <v>-162.5608</v>
      </c>
      <c r="K1850" s="8" t="str">
        <f t="shared" si="3"/>
        <v>Jul</v>
      </c>
      <c r="L1850" s="8">
        <f t="shared" si="4"/>
        <v>2029</v>
      </c>
      <c r="N1850" s="8" t="str">
        <f t="array" ref="N1850">XLOOKUP(C1850,Customer_Dim!A:A,Customer_Dim!B:B,"Not Found")</f>
        <v>Alexis Castaneda</v>
      </c>
      <c r="O1850" s="8" t="str">
        <f t="array" ref="O1850">XLOOKUP(C1850,Customer_Dim!A:A,Customer_Dim!E:E,"Not Found")</f>
        <v>Morrisbury</v>
      </c>
      <c r="P1850" s="8" t="str">
        <f t="array" ref="P1850">XLOOKUP(D1850,Product_Dim!A:A,Product_Dim!B:B,"Not Found")</f>
        <v>Men's Sports Shorts</v>
      </c>
      <c r="Q1850" s="8" t="str">
        <f t="array" ref="Q1850">XLOOKUP(D1850,Product_Dim!A:A,Product_Dim!C:C,"Not Found")</f>
        <v>Clothing</v>
      </c>
      <c r="R1850" s="8" t="str">
        <f t="array" ref="R1850">XLOOKUP(E1850,Store_Dim!A:A,Store_Dim!B:B,"Not Found")</f>
        <v>South</v>
      </c>
      <c r="S1850" s="8" t="str">
        <f t="array" ref="S1850">XLOOKUP(E1850,Store_Dim!A:A,Store_Dim!D:D,"Not Found")</f>
        <v>Outlet</v>
      </c>
    </row>
    <row r="1851" ht="14.25" customHeight="1">
      <c r="A1851" s="8" t="s">
        <v>3804</v>
      </c>
      <c r="B1851" s="12">
        <v>47329.0</v>
      </c>
      <c r="C1851" s="8" t="s">
        <v>960</v>
      </c>
      <c r="D1851" s="8" t="s">
        <v>1836</v>
      </c>
      <c r="E1851" s="8" t="s">
        <v>1903</v>
      </c>
      <c r="F1851" s="8">
        <v>4.0</v>
      </c>
      <c r="G1851" s="8">
        <v>740.5</v>
      </c>
      <c r="H1851" s="8">
        <v>0.17</v>
      </c>
      <c r="I1851" s="8">
        <f t="shared" si="1"/>
        <v>2962</v>
      </c>
      <c r="J1851" s="8">
        <f t="shared" si="2"/>
        <v>-503.37</v>
      </c>
      <c r="K1851" s="8" t="str">
        <f t="shared" si="3"/>
        <v>Jul</v>
      </c>
      <c r="L1851" s="8">
        <f t="shared" si="4"/>
        <v>2029</v>
      </c>
      <c r="N1851" s="8" t="str">
        <f t="array" ref="N1851">XLOOKUP(C1851,Customer_Dim!A:A,Customer_Dim!B:B,"Not Found")</f>
        <v>Stephanie Jacobs</v>
      </c>
      <c r="O1851" s="8" t="str">
        <f t="array" ref="O1851">XLOOKUP(C1851,Customer_Dim!A:A,Customer_Dim!E:E,"Not Found")</f>
        <v>West Robinmouth</v>
      </c>
      <c r="P1851" s="8" t="str">
        <f t="array" ref="P1851">XLOOKUP(D1851,Product_Dim!A:A,Product_Dim!B:B,"Not Found")</f>
        <v>Fitness Resistance Bands</v>
      </c>
      <c r="Q1851" s="8" t="str">
        <f t="array" ref="Q1851">XLOOKUP(D1851,Product_Dim!A:A,Product_Dim!C:C,"Not Found")</f>
        <v>Sports</v>
      </c>
      <c r="R1851" s="8" t="str">
        <f t="array" ref="R1851">XLOOKUP(E1851,Store_Dim!A:A,Store_Dim!B:B,"Not Found")</f>
        <v>North</v>
      </c>
      <c r="S1851" s="8" t="str">
        <f t="array" ref="S1851">XLOOKUP(E1851,Store_Dim!A:A,Store_Dim!D:D,"Not Found")</f>
        <v>Flagship</v>
      </c>
    </row>
    <row r="1852" ht="14.25" customHeight="1">
      <c r="A1852" s="8" t="s">
        <v>3805</v>
      </c>
      <c r="B1852" s="12">
        <v>47330.0</v>
      </c>
      <c r="C1852" s="8" t="s">
        <v>403</v>
      </c>
      <c r="D1852" s="8" t="s">
        <v>1725</v>
      </c>
      <c r="E1852" s="8" t="s">
        <v>1906</v>
      </c>
      <c r="F1852" s="8">
        <v>1.0</v>
      </c>
      <c r="G1852" s="8">
        <v>780.24</v>
      </c>
      <c r="H1852" s="8">
        <v>0.04</v>
      </c>
      <c r="I1852" s="8">
        <f t="shared" si="1"/>
        <v>780.24</v>
      </c>
      <c r="J1852" s="8">
        <f t="shared" si="2"/>
        <v>-31.1696</v>
      </c>
      <c r="K1852" s="8" t="str">
        <f t="shared" si="3"/>
        <v>Jul</v>
      </c>
      <c r="L1852" s="8">
        <f t="shared" si="4"/>
        <v>2029</v>
      </c>
      <c r="N1852" s="8" t="str">
        <f t="array" ref="N1852">XLOOKUP(C1852,Customer_Dim!A:A,Customer_Dim!B:B,"Not Found")</f>
        <v>David Cole</v>
      </c>
      <c r="O1852" s="8" t="str">
        <f t="array" ref="O1852">XLOOKUP(C1852,Customer_Dim!A:A,Customer_Dim!E:E,"Not Found")</f>
        <v>Lake Michael</v>
      </c>
      <c r="P1852" s="8" t="str">
        <f t="array" ref="P1852">XLOOKUP(D1852,Product_Dim!A:A,Product_Dim!B:B,"Not Found")</f>
        <v>Men's Winter Jacket</v>
      </c>
      <c r="Q1852" s="8" t="str">
        <f t="array" ref="Q1852">XLOOKUP(D1852,Product_Dim!A:A,Product_Dim!C:C,"Not Found")</f>
        <v>Clothing</v>
      </c>
      <c r="R1852" s="8" t="str">
        <f t="array" ref="R1852">XLOOKUP(E1852,Store_Dim!A:A,Store_Dim!B:B,"Not Found")</f>
        <v>South</v>
      </c>
      <c r="S1852" s="8" t="str">
        <f t="array" ref="S1852">XLOOKUP(E1852,Store_Dim!A:A,Store_Dim!D:D,"Not Found")</f>
        <v>Outlet</v>
      </c>
    </row>
    <row r="1853" ht="14.25" customHeight="1">
      <c r="A1853" s="8" t="s">
        <v>3806</v>
      </c>
      <c r="B1853" s="12">
        <v>47331.0</v>
      </c>
      <c r="C1853" s="8" t="s">
        <v>388</v>
      </c>
      <c r="D1853" s="8" t="s">
        <v>1800</v>
      </c>
      <c r="E1853" s="8" t="s">
        <v>1935</v>
      </c>
      <c r="F1853" s="8">
        <v>4.0</v>
      </c>
      <c r="G1853" s="8">
        <v>579.24</v>
      </c>
      <c r="H1853" s="8">
        <v>0.04</v>
      </c>
      <c r="I1853" s="8">
        <f t="shared" si="1"/>
        <v>2316.96</v>
      </c>
      <c r="J1853" s="8">
        <f t="shared" si="2"/>
        <v>-92.6384</v>
      </c>
      <c r="K1853" s="8" t="str">
        <f t="shared" si="3"/>
        <v>Aug</v>
      </c>
      <c r="L1853" s="8">
        <f t="shared" si="4"/>
        <v>2029</v>
      </c>
      <c r="N1853" s="8" t="str">
        <f t="array" ref="N1853">XLOOKUP(C1853,Customer_Dim!A:A,Customer_Dim!B:B,"Not Found")</f>
        <v>Erica Carney</v>
      </c>
      <c r="O1853" s="8" t="str">
        <f t="array" ref="O1853">XLOOKUP(C1853,Customer_Dim!A:A,Customer_Dim!E:E,"Not Found")</f>
        <v>North Justin</v>
      </c>
      <c r="P1853" s="8" t="str">
        <f t="array" ref="P1853">XLOOKUP(D1853,Product_Dim!A:A,Product_Dim!B:B,"Not Found")</f>
        <v>Kitchen Storage Rack</v>
      </c>
      <c r="Q1853" s="8" t="str">
        <f t="array" ref="Q1853">XLOOKUP(D1853,Product_Dim!A:A,Product_Dim!C:C,"Not Found")</f>
        <v>Home</v>
      </c>
      <c r="R1853" s="8" t="str">
        <f t="array" ref="R1853">XLOOKUP(E1853,Store_Dim!A:A,Store_Dim!B:B,"Not Found")</f>
        <v>West</v>
      </c>
      <c r="S1853" s="8" t="str">
        <f t="array" ref="S1853">XLOOKUP(E1853,Store_Dim!A:A,Store_Dim!D:D,"Not Found")</f>
        <v>Flagship</v>
      </c>
    </row>
    <row r="1854" ht="14.25" customHeight="1">
      <c r="A1854" s="8" t="s">
        <v>3807</v>
      </c>
      <c r="B1854" s="12">
        <v>47332.0</v>
      </c>
      <c r="C1854" s="8" t="s">
        <v>1176</v>
      </c>
      <c r="D1854" s="8" t="s">
        <v>1567</v>
      </c>
      <c r="E1854" s="8" t="s">
        <v>1906</v>
      </c>
      <c r="F1854" s="8">
        <v>3.0</v>
      </c>
      <c r="G1854" s="8">
        <v>268.95</v>
      </c>
      <c r="H1854" s="8">
        <v>0.04</v>
      </c>
      <c r="I1854" s="8">
        <f t="shared" si="1"/>
        <v>806.85</v>
      </c>
      <c r="J1854" s="8">
        <f t="shared" si="2"/>
        <v>-32.234</v>
      </c>
      <c r="K1854" s="8" t="str">
        <f t="shared" si="3"/>
        <v>Aug</v>
      </c>
      <c r="L1854" s="8">
        <f t="shared" si="4"/>
        <v>2029</v>
      </c>
      <c r="N1854" s="8" t="str">
        <f t="array" ref="N1854">XLOOKUP(C1854,Customer_Dim!A:A,Customer_Dim!B:B,"Not Found")</f>
        <v>Michael Garner</v>
      </c>
      <c r="O1854" s="8" t="str">
        <f t="array" ref="O1854">XLOOKUP(C1854,Customer_Dim!A:A,Customer_Dim!E:E,"Not Found")</f>
        <v>Port Crystal</v>
      </c>
      <c r="P1854" s="8" t="str">
        <f t="array" ref="P1854">XLOOKUP(D1854,Product_Dim!A:A,Product_Dim!B:B,"Not Found")</f>
        <v>Men's Graphic T-Shirt</v>
      </c>
      <c r="Q1854" s="8" t="str">
        <f t="array" ref="Q1854">XLOOKUP(D1854,Product_Dim!A:A,Product_Dim!C:C,"Not Found")</f>
        <v>Clothing</v>
      </c>
      <c r="R1854" s="8" t="str">
        <f t="array" ref="R1854">XLOOKUP(E1854,Store_Dim!A:A,Store_Dim!B:B,"Not Found")</f>
        <v>South</v>
      </c>
      <c r="S1854" s="8" t="str">
        <f t="array" ref="S1854">XLOOKUP(E1854,Store_Dim!A:A,Store_Dim!D:D,"Not Found")</f>
        <v>Outlet</v>
      </c>
    </row>
    <row r="1855" ht="14.25" customHeight="1">
      <c r="A1855" s="8" t="s">
        <v>3808</v>
      </c>
      <c r="B1855" s="12">
        <v>47333.0</v>
      </c>
      <c r="C1855" s="8" t="s">
        <v>978</v>
      </c>
      <c r="D1855" s="8" t="s">
        <v>1583</v>
      </c>
      <c r="E1855" s="8" t="s">
        <v>1912</v>
      </c>
      <c r="F1855" s="8">
        <v>1.0</v>
      </c>
      <c r="G1855" s="8">
        <v>47.47</v>
      </c>
      <c r="H1855" s="8">
        <v>0.28</v>
      </c>
      <c r="I1855" s="8">
        <f t="shared" si="1"/>
        <v>47.47</v>
      </c>
      <c r="J1855" s="8">
        <f t="shared" si="2"/>
        <v>-13.0116</v>
      </c>
      <c r="K1855" s="8" t="str">
        <f t="shared" si="3"/>
        <v>Aug</v>
      </c>
      <c r="L1855" s="8">
        <f t="shared" si="4"/>
        <v>2029</v>
      </c>
      <c r="N1855" s="8" t="str">
        <f t="array" ref="N1855">XLOOKUP(C1855,Customer_Dim!A:A,Customer_Dim!B:B,"Not Found")</f>
        <v>Roberta Green</v>
      </c>
      <c r="O1855" s="8" t="str">
        <f t="array" ref="O1855">XLOOKUP(C1855,Customer_Dim!A:A,Customer_Dim!E:E,"Not Found")</f>
        <v>West Joseph</v>
      </c>
      <c r="P1855" s="8" t="str">
        <f t="array" ref="P1855">XLOOKUP(D1855,Product_Dim!A:A,Product_Dim!B:B,"Not Found")</f>
        <v>Men's Leather Belt</v>
      </c>
      <c r="Q1855" s="8" t="str">
        <f t="array" ref="Q1855">XLOOKUP(D1855,Product_Dim!A:A,Product_Dim!C:C,"Not Found")</f>
        <v>Clothing</v>
      </c>
      <c r="R1855" s="8" t="str">
        <f t="array" ref="R1855">XLOOKUP(E1855,Store_Dim!A:A,Store_Dim!B:B,"Not Found")</f>
        <v>South</v>
      </c>
      <c r="S1855" s="8" t="str">
        <f t="array" ref="S1855">XLOOKUP(E1855,Store_Dim!A:A,Store_Dim!D:D,"Not Found")</f>
        <v>Online</v>
      </c>
    </row>
    <row r="1856" ht="14.25" customHeight="1">
      <c r="A1856" s="8" t="s">
        <v>3809</v>
      </c>
      <c r="B1856" s="12">
        <v>47334.0</v>
      </c>
      <c r="C1856" s="8" t="s">
        <v>836</v>
      </c>
      <c r="D1856" s="8" t="s">
        <v>1684</v>
      </c>
      <c r="E1856" s="8" t="s">
        <v>1937</v>
      </c>
      <c r="F1856" s="8">
        <v>3.0</v>
      </c>
      <c r="G1856" s="8">
        <v>858.81</v>
      </c>
      <c r="H1856" s="8">
        <v>0.07</v>
      </c>
      <c r="I1856" s="8">
        <f t="shared" si="1"/>
        <v>2576.43</v>
      </c>
      <c r="J1856" s="8">
        <f t="shared" si="2"/>
        <v>-180.2801</v>
      </c>
      <c r="K1856" s="8" t="str">
        <f t="shared" si="3"/>
        <v>Aug</v>
      </c>
      <c r="L1856" s="8">
        <f t="shared" si="4"/>
        <v>2029</v>
      </c>
      <c r="N1856" s="8" t="str">
        <f t="array" ref="N1856">XLOOKUP(C1856,Customer_Dim!A:A,Customer_Dim!B:B,"Not Found")</f>
        <v>Christopher David</v>
      </c>
      <c r="O1856" s="8" t="str">
        <f t="array" ref="O1856">XLOOKUP(C1856,Customer_Dim!A:A,Customer_Dim!E:E,"Not Found")</f>
        <v>Karenmouth</v>
      </c>
      <c r="P1856" s="8" t="str">
        <f t="array" ref="P1856">XLOOKUP(D1856,Product_Dim!A:A,Product_Dim!B:B,"Not Found")</f>
        <v>Modern Wall Clock</v>
      </c>
      <c r="Q1856" s="8" t="str">
        <f t="array" ref="Q1856">XLOOKUP(D1856,Product_Dim!A:A,Product_Dim!C:C,"Not Found")</f>
        <v>Home</v>
      </c>
      <c r="R1856" s="8" t="str">
        <f t="array" ref="R1856">XLOOKUP(E1856,Store_Dim!A:A,Store_Dim!B:B,"Not Found")</f>
        <v>North</v>
      </c>
      <c r="S1856" s="8" t="str">
        <f t="array" ref="S1856">XLOOKUP(E1856,Store_Dim!A:A,Store_Dim!D:D,"Not Found")</f>
        <v>Flagship</v>
      </c>
    </row>
    <row r="1857" ht="14.25" customHeight="1">
      <c r="A1857" s="8" t="s">
        <v>3810</v>
      </c>
      <c r="B1857" s="12">
        <v>47335.0</v>
      </c>
      <c r="C1857" s="8" t="s">
        <v>993</v>
      </c>
      <c r="D1857" s="8" t="s">
        <v>1638</v>
      </c>
      <c r="E1857" s="8" t="s">
        <v>1926</v>
      </c>
      <c r="F1857" s="8">
        <v>3.0</v>
      </c>
      <c r="G1857" s="8">
        <v>569.98</v>
      </c>
      <c r="H1857" s="8">
        <v>0.05</v>
      </c>
      <c r="I1857" s="8">
        <f t="shared" si="1"/>
        <v>1709.94</v>
      </c>
      <c r="J1857" s="8">
        <f t="shared" si="2"/>
        <v>-85.447</v>
      </c>
      <c r="K1857" s="8" t="str">
        <f t="shared" si="3"/>
        <v>Aug</v>
      </c>
      <c r="L1857" s="8">
        <f t="shared" si="4"/>
        <v>2029</v>
      </c>
      <c r="N1857" s="8" t="str">
        <f t="array" ref="N1857">XLOOKUP(C1857,Customer_Dim!A:A,Customer_Dim!B:B,"Not Found")</f>
        <v>Kara Dodson</v>
      </c>
      <c r="O1857" s="8" t="str">
        <f t="array" ref="O1857">XLOOKUP(C1857,Customer_Dim!A:A,Customer_Dim!E:E,"Not Found")</f>
        <v>Joelside</v>
      </c>
      <c r="P1857" s="8" t="str">
        <f t="array" ref="P1857">XLOOKUP(D1857,Product_Dim!A:A,Product_Dim!B:B,"Not Found")</f>
        <v>Knee Support Brace</v>
      </c>
      <c r="Q1857" s="8" t="str">
        <f t="array" ref="Q1857">XLOOKUP(D1857,Product_Dim!A:A,Product_Dim!C:C,"Not Found")</f>
        <v>Sports</v>
      </c>
      <c r="R1857" s="8" t="str">
        <f t="array" ref="R1857">XLOOKUP(E1857,Store_Dim!A:A,Store_Dim!B:B,"Not Found")</f>
        <v>East</v>
      </c>
      <c r="S1857" s="8" t="str">
        <f t="array" ref="S1857">XLOOKUP(E1857,Store_Dim!A:A,Store_Dim!D:D,"Not Found")</f>
        <v>Online</v>
      </c>
    </row>
    <row r="1858" ht="14.25" customHeight="1">
      <c r="A1858" s="8" t="s">
        <v>3811</v>
      </c>
      <c r="B1858" s="12">
        <v>47336.0</v>
      </c>
      <c r="C1858" s="8" t="s">
        <v>1044</v>
      </c>
      <c r="D1858" s="8" t="s">
        <v>1812</v>
      </c>
      <c r="E1858" s="8" t="s">
        <v>1929</v>
      </c>
      <c r="F1858" s="8">
        <v>3.0</v>
      </c>
      <c r="G1858" s="8">
        <v>306.52</v>
      </c>
      <c r="H1858" s="8">
        <v>0.01</v>
      </c>
      <c r="I1858" s="8">
        <f t="shared" si="1"/>
        <v>919.56</v>
      </c>
      <c r="J1858" s="8">
        <f t="shared" si="2"/>
        <v>-9.1856</v>
      </c>
      <c r="K1858" s="8" t="str">
        <f t="shared" si="3"/>
        <v>Aug</v>
      </c>
      <c r="L1858" s="8">
        <f t="shared" si="4"/>
        <v>2029</v>
      </c>
      <c r="N1858" s="8" t="str">
        <f t="array" ref="N1858">XLOOKUP(C1858,Customer_Dim!A:A,Customer_Dim!B:B,"Not Found")</f>
        <v>Reginald Willis</v>
      </c>
      <c r="O1858" s="8" t="str">
        <f t="array" ref="O1858">XLOOKUP(C1858,Customer_Dim!A:A,Customer_Dim!E:E,"Not Found")</f>
        <v>Kellybury</v>
      </c>
      <c r="P1858" s="8" t="str">
        <f t="array" ref="P1858">XLOOKUP(D1858,Product_Dim!A:A,Product_Dim!B:B,"Not Found")</f>
        <v>Bluetooth Car Audio System</v>
      </c>
      <c r="Q1858" s="8" t="str">
        <f t="array" ref="Q1858">XLOOKUP(D1858,Product_Dim!A:A,Product_Dim!C:C,"Not Found")</f>
        <v>Electronics</v>
      </c>
      <c r="R1858" s="8" t="str">
        <f t="array" ref="R1858">XLOOKUP(E1858,Store_Dim!A:A,Store_Dim!B:B,"Not Found")</f>
        <v>North</v>
      </c>
      <c r="S1858" s="8" t="str">
        <f t="array" ref="S1858">XLOOKUP(E1858,Store_Dim!A:A,Store_Dim!D:D,"Not Found")</f>
        <v>Online</v>
      </c>
    </row>
    <row r="1859" ht="14.25" customHeight="1">
      <c r="A1859" s="8" t="s">
        <v>3812</v>
      </c>
      <c r="B1859" s="12">
        <v>47337.0</v>
      </c>
      <c r="C1859" s="8" t="s">
        <v>248</v>
      </c>
      <c r="D1859" s="8" t="s">
        <v>1757</v>
      </c>
      <c r="E1859" s="8" t="s">
        <v>1931</v>
      </c>
      <c r="F1859" s="8">
        <v>3.0</v>
      </c>
      <c r="G1859" s="8">
        <v>184.67</v>
      </c>
      <c r="H1859" s="8">
        <v>0.03</v>
      </c>
      <c r="I1859" s="8">
        <f t="shared" si="1"/>
        <v>554.01</v>
      </c>
      <c r="J1859" s="8">
        <f t="shared" si="2"/>
        <v>-16.5903</v>
      </c>
      <c r="K1859" s="8" t="str">
        <f t="shared" si="3"/>
        <v>Aug</v>
      </c>
      <c r="L1859" s="8">
        <f t="shared" si="4"/>
        <v>2029</v>
      </c>
      <c r="N1859" s="8" t="str">
        <f t="array" ref="N1859">XLOOKUP(C1859,Customer_Dim!A:A,Customer_Dim!B:B,"Not Found")</f>
        <v>Mr. Mason Butler</v>
      </c>
      <c r="O1859" s="8" t="str">
        <f t="array" ref="O1859">XLOOKUP(C1859,Customer_Dim!A:A,Customer_Dim!E:E,"Not Found")</f>
        <v>Port Kathrynhaven</v>
      </c>
      <c r="P1859" s="8" t="str">
        <f t="array" ref="P1859">XLOOKUP(D1859,Product_Dim!A:A,Product_Dim!B:B,"Not Found")</f>
        <v>Premium Blanket Throw</v>
      </c>
      <c r="Q1859" s="8" t="str">
        <f t="array" ref="Q1859">XLOOKUP(D1859,Product_Dim!A:A,Product_Dim!C:C,"Not Found")</f>
        <v>Home</v>
      </c>
      <c r="R1859" s="8" t="str">
        <f t="array" ref="R1859">XLOOKUP(E1859,Store_Dim!A:A,Store_Dim!B:B,"Not Found")</f>
        <v>East</v>
      </c>
      <c r="S1859" s="8" t="str">
        <f t="array" ref="S1859">XLOOKUP(E1859,Store_Dim!A:A,Store_Dim!D:D,"Not Found")</f>
        <v>Flagship</v>
      </c>
    </row>
    <row r="1860" ht="14.25" customHeight="1">
      <c r="A1860" s="8" t="s">
        <v>3813</v>
      </c>
      <c r="B1860" s="12">
        <v>47338.0</v>
      </c>
      <c r="C1860" s="8" t="s">
        <v>1500</v>
      </c>
      <c r="D1860" s="8" t="s">
        <v>1662</v>
      </c>
      <c r="E1860" s="8" t="s">
        <v>1915</v>
      </c>
      <c r="F1860" s="8">
        <v>4.0</v>
      </c>
      <c r="G1860" s="8">
        <v>189.56</v>
      </c>
      <c r="H1860" s="8">
        <v>0.0</v>
      </c>
      <c r="I1860" s="8">
        <f t="shared" si="1"/>
        <v>758.24</v>
      </c>
      <c r="J1860" s="8">
        <f t="shared" si="2"/>
        <v>0</v>
      </c>
      <c r="K1860" s="8" t="str">
        <f t="shared" si="3"/>
        <v>Aug</v>
      </c>
      <c r="L1860" s="8">
        <f t="shared" si="4"/>
        <v>2029</v>
      </c>
      <c r="N1860" s="8" t="str">
        <f t="array" ref="N1860">XLOOKUP(C1860,Customer_Dim!A:A,Customer_Dim!B:B,"Not Found")</f>
        <v>Sheri Joyce</v>
      </c>
      <c r="O1860" s="8" t="str">
        <f t="array" ref="O1860">XLOOKUP(C1860,Customer_Dim!A:A,Customer_Dim!E:E,"Not Found")</f>
        <v>West Tylerfort</v>
      </c>
      <c r="P1860" s="8" t="str">
        <f t="array" ref="P1860">XLOOKUP(D1860,Product_Dim!A:A,Product_Dim!B:B,"Not Found")</f>
        <v>Wireless Bluetooth Speaker</v>
      </c>
      <c r="Q1860" s="8" t="str">
        <f t="array" ref="Q1860">XLOOKUP(D1860,Product_Dim!A:A,Product_Dim!C:C,"Not Found")</f>
        <v>Electronics</v>
      </c>
      <c r="R1860" s="8" t="str">
        <f t="array" ref="R1860">XLOOKUP(E1860,Store_Dim!A:A,Store_Dim!B:B,"Not Found")</f>
        <v>North</v>
      </c>
      <c r="S1860" s="8" t="str">
        <f t="array" ref="S1860">XLOOKUP(E1860,Store_Dim!A:A,Store_Dim!D:D,"Not Found")</f>
        <v>Outlet</v>
      </c>
    </row>
    <row r="1861" ht="14.25" customHeight="1">
      <c r="A1861" s="8" t="s">
        <v>3814</v>
      </c>
      <c r="B1861" s="12">
        <v>47339.0</v>
      </c>
      <c r="C1861" s="8" t="s">
        <v>690</v>
      </c>
      <c r="D1861" s="8" t="s">
        <v>1815</v>
      </c>
      <c r="E1861" s="8" t="s">
        <v>1915</v>
      </c>
      <c r="F1861" s="8">
        <v>1.0</v>
      </c>
      <c r="G1861" s="8">
        <v>805.24</v>
      </c>
      <c r="H1861" s="8">
        <v>0.04</v>
      </c>
      <c r="I1861" s="8">
        <f t="shared" si="1"/>
        <v>805.24</v>
      </c>
      <c r="J1861" s="8">
        <f t="shared" si="2"/>
        <v>-32.1696</v>
      </c>
      <c r="K1861" s="8" t="str">
        <f t="shared" si="3"/>
        <v>Aug</v>
      </c>
      <c r="L1861" s="8">
        <f t="shared" si="4"/>
        <v>2029</v>
      </c>
      <c r="N1861" s="8" t="str">
        <f t="array" ref="N1861">XLOOKUP(C1861,Customer_Dim!A:A,Customer_Dim!B:B,"Not Found")</f>
        <v>John Perez</v>
      </c>
      <c r="O1861" s="8" t="str">
        <f t="array" ref="O1861">XLOOKUP(C1861,Customer_Dim!A:A,Customer_Dim!E:E,"Not Found")</f>
        <v>Kathrynview</v>
      </c>
      <c r="P1861" s="8" t="str">
        <f t="array" ref="P1861">XLOOKUP(D1861,Product_Dim!A:A,Product_Dim!B:B,"Not Found")</f>
        <v>Women's Ankle Boots</v>
      </c>
      <c r="Q1861" s="8" t="str">
        <f t="array" ref="Q1861">XLOOKUP(D1861,Product_Dim!A:A,Product_Dim!C:C,"Not Found")</f>
        <v>Clothing</v>
      </c>
      <c r="R1861" s="8" t="str">
        <f t="array" ref="R1861">XLOOKUP(E1861,Store_Dim!A:A,Store_Dim!B:B,"Not Found")</f>
        <v>North</v>
      </c>
      <c r="S1861" s="8" t="str">
        <f t="array" ref="S1861">XLOOKUP(E1861,Store_Dim!A:A,Store_Dim!D:D,"Not Found")</f>
        <v>Outlet</v>
      </c>
    </row>
    <row r="1862" ht="14.25" customHeight="1">
      <c r="A1862" s="8" t="s">
        <v>3815</v>
      </c>
      <c r="B1862" s="12">
        <v>47340.0</v>
      </c>
      <c r="C1862" s="8" t="s">
        <v>631</v>
      </c>
      <c r="D1862" s="8" t="s">
        <v>1751</v>
      </c>
      <c r="E1862" s="8" t="s">
        <v>1937</v>
      </c>
      <c r="F1862" s="8">
        <v>3.0</v>
      </c>
      <c r="G1862" s="8">
        <v>683.74</v>
      </c>
      <c r="H1862" s="8">
        <v>0.24</v>
      </c>
      <c r="I1862" s="8">
        <f t="shared" si="1"/>
        <v>2051.22</v>
      </c>
      <c r="J1862" s="8">
        <f t="shared" si="2"/>
        <v>-492.0528</v>
      </c>
      <c r="K1862" s="8" t="str">
        <f t="shared" si="3"/>
        <v>Aug</v>
      </c>
      <c r="L1862" s="8">
        <f t="shared" si="4"/>
        <v>2029</v>
      </c>
      <c r="N1862" s="8" t="str">
        <f t="array" ref="N1862">XLOOKUP(C1862,Customer_Dim!A:A,Customer_Dim!B:B,"Not Found")</f>
        <v>Kimberly Brooks</v>
      </c>
      <c r="O1862" s="8" t="str">
        <f t="array" ref="O1862">XLOOKUP(C1862,Customer_Dim!A:A,Customer_Dim!E:E,"Not Found")</f>
        <v>Kingfort</v>
      </c>
      <c r="P1862" s="8" t="str">
        <f t="array" ref="P1862">XLOOKUP(D1862,Product_Dim!A:A,Product_Dim!B:B,"Not Found")</f>
        <v>Sports Stopwatch Pro</v>
      </c>
      <c r="Q1862" s="8" t="str">
        <f t="array" ref="Q1862">XLOOKUP(D1862,Product_Dim!A:A,Product_Dim!C:C,"Not Found")</f>
        <v>Sports</v>
      </c>
      <c r="R1862" s="8" t="str">
        <f t="array" ref="R1862">XLOOKUP(E1862,Store_Dim!A:A,Store_Dim!B:B,"Not Found")</f>
        <v>North</v>
      </c>
      <c r="S1862" s="8" t="str">
        <f t="array" ref="S1862">XLOOKUP(E1862,Store_Dim!A:A,Store_Dim!D:D,"Not Found")</f>
        <v>Flagship</v>
      </c>
    </row>
    <row r="1863" ht="14.25" customHeight="1">
      <c r="A1863" s="8" t="s">
        <v>3816</v>
      </c>
      <c r="B1863" s="12">
        <v>47341.0</v>
      </c>
      <c r="C1863" s="8" t="s">
        <v>696</v>
      </c>
      <c r="D1863" s="8" t="s">
        <v>1757</v>
      </c>
      <c r="E1863" s="8" t="s">
        <v>1939</v>
      </c>
      <c r="F1863" s="8">
        <v>3.0</v>
      </c>
      <c r="G1863" s="8">
        <v>439.21</v>
      </c>
      <c r="H1863" s="8">
        <v>0.28</v>
      </c>
      <c r="I1863" s="8">
        <f t="shared" si="1"/>
        <v>1317.63</v>
      </c>
      <c r="J1863" s="8">
        <f t="shared" si="2"/>
        <v>-368.6564</v>
      </c>
      <c r="K1863" s="8" t="str">
        <f t="shared" si="3"/>
        <v>Aug</v>
      </c>
      <c r="L1863" s="8">
        <f t="shared" si="4"/>
        <v>2029</v>
      </c>
      <c r="N1863" s="8" t="str">
        <f t="array" ref="N1863">XLOOKUP(C1863,Customer_Dim!A:A,Customer_Dim!B:B,"Not Found")</f>
        <v>Antonio Jones</v>
      </c>
      <c r="O1863" s="8" t="str">
        <f t="array" ref="O1863">XLOOKUP(C1863,Customer_Dim!A:A,Customer_Dim!E:E,"Not Found")</f>
        <v>Matthewborough</v>
      </c>
      <c r="P1863" s="8" t="str">
        <f t="array" ref="P1863">XLOOKUP(D1863,Product_Dim!A:A,Product_Dim!B:B,"Not Found")</f>
        <v>Premium Blanket Throw</v>
      </c>
      <c r="Q1863" s="8" t="str">
        <f t="array" ref="Q1863">XLOOKUP(D1863,Product_Dim!A:A,Product_Dim!C:C,"Not Found")</f>
        <v>Home</v>
      </c>
      <c r="R1863" s="8" t="str">
        <f t="array" ref="R1863">XLOOKUP(E1863,Store_Dim!A:A,Store_Dim!B:B,"Not Found")</f>
        <v>East</v>
      </c>
      <c r="S1863" s="8" t="str">
        <f t="array" ref="S1863">XLOOKUP(E1863,Store_Dim!A:A,Store_Dim!D:D,"Not Found")</f>
        <v>Flagship</v>
      </c>
    </row>
    <row r="1864" ht="14.25" customHeight="1">
      <c r="A1864" s="8" t="s">
        <v>3817</v>
      </c>
      <c r="B1864" s="12">
        <v>47342.0</v>
      </c>
      <c r="C1864" s="8" t="s">
        <v>424</v>
      </c>
      <c r="D1864" s="8" t="s">
        <v>1787</v>
      </c>
      <c r="E1864" s="8" t="s">
        <v>1917</v>
      </c>
      <c r="F1864" s="8">
        <v>1.0</v>
      </c>
      <c r="G1864" s="8">
        <v>126.92</v>
      </c>
      <c r="H1864" s="8">
        <v>0.24</v>
      </c>
      <c r="I1864" s="8">
        <f t="shared" si="1"/>
        <v>126.92</v>
      </c>
      <c r="J1864" s="8">
        <f t="shared" si="2"/>
        <v>-30.2208</v>
      </c>
      <c r="K1864" s="8" t="str">
        <f t="shared" si="3"/>
        <v>Aug</v>
      </c>
      <c r="L1864" s="8">
        <f t="shared" si="4"/>
        <v>2029</v>
      </c>
      <c r="N1864" s="8" t="str">
        <f t="array" ref="N1864">XLOOKUP(C1864,Customer_Dim!A:A,Customer_Dim!B:B,"Not Found")</f>
        <v>Michael Jones</v>
      </c>
      <c r="O1864" s="8" t="str">
        <f t="array" ref="O1864">XLOOKUP(C1864,Customer_Dim!A:A,Customer_Dim!E:E,"Not Found")</f>
        <v>North Edwardton</v>
      </c>
      <c r="P1864" s="8" t="str">
        <f t="array" ref="P1864">XLOOKUP(D1864,Product_Dim!A:A,Product_Dim!B:B,"Not Found")</f>
        <v>Women's Hair Dryer Brush</v>
      </c>
      <c r="Q1864" s="8" t="str">
        <f t="array" ref="Q1864">XLOOKUP(D1864,Product_Dim!A:A,Product_Dim!C:C,"Not Found")</f>
        <v>Beauty</v>
      </c>
      <c r="R1864" s="8" t="str">
        <f t="array" ref="R1864">XLOOKUP(E1864,Store_Dim!A:A,Store_Dim!B:B,"Not Found")</f>
        <v>East</v>
      </c>
      <c r="S1864" s="8" t="str">
        <f t="array" ref="S1864">XLOOKUP(E1864,Store_Dim!A:A,Store_Dim!D:D,"Not Found")</f>
        <v>Online</v>
      </c>
    </row>
    <row r="1865" ht="14.25" customHeight="1">
      <c r="A1865" s="8" t="s">
        <v>3818</v>
      </c>
      <c r="B1865" s="12">
        <v>47343.0</v>
      </c>
      <c r="C1865" s="8" t="s">
        <v>35</v>
      </c>
      <c r="D1865" s="8" t="s">
        <v>1809</v>
      </c>
      <c r="E1865" s="8" t="s">
        <v>1912</v>
      </c>
      <c r="F1865" s="8">
        <v>4.0</v>
      </c>
      <c r="G1865" s="8">
        <v>834.7</v>
      </c>
      <c r="H1865" s="8">
        <v>0.14</v>
      </c>
      <c r="I1865" s="8">
        <f t="shared" si="1"/>
        <v>3338.8</v>
      </c>
      <c r="J1865" s="8">
        <f t="shared" si="2"/>
        <v>-467.292</v>
      </c>
      <c r="K1865" s="8" t="str">
        <f t="shared" si="3"/>
        <v>Aug</v>
      </c>
      <c r="L1865" s="8">
        <f t="shared" si="4"/>
        <v>2029</v>
      </c>
      <c r="N1865" s="8" t="str">
        <f t="array" ref="N1865">XLOOKUP(C1865,Customer_Dim!A:A,Customer_Dim!B:B,"Not Found")</f>
        <v>Caroline Collins</v>
      </c>
      <c r="O1865" s="8" t="str">
        <f t="array" ref="O1865">XLOOKUP(C1865,Customer_Dim!A:A,Customer_Dim!E:E,"Not Found")</f>
        <v>Nicholasshire</v>
      </c>
      <c r="P1865" s="8" t="str">
        <f t="array" ref="P1865">XLOOKUP(D1865,Product_Dim!A:A,Product_Dim!B:B,"Not Found")</f>
        <v>Shin Guards – Adult</v>
      </c>
      <c r="Q1865" s="8" t="str">
        <f t="array" ref="Q1865">XLOOKUP(D1865,Product_Dim!A:A,Product_Dim!C:C,"Not Found")</f>
        <v>Sports</v>
      </c>
      <c r="R1865" s="8" t="str">
        <f t="array" ref="R1865">XLOOKUP(E1865,Store_Dim!A:A,Store_Dim!B:B,"Not Found")</f>
        <v>South</v>
      </c>
      <c r="S1865" s="8" t="str">
        <f t="array" ref="S1865">XLOOKUP(E1865,Store_Dim!A:A,Store_Dim!D:D,"Not Found")</f>
        <v>Online</v>
      </c>
    </row>
    <row r="1866" ht="14.25" customHeight="1">
      <c r="A1866" s="8" t="s">
        <v>3819</v>
      </c>
      <c r="B1866" s="12">
        <v>47344.0</v>
      </c>
      <c r="C1866" s="8" t="s">
        <v>1086</v>
      </c>
      <c r="D1866" s="8" t="s">
        <v>1713</v>
      </c>
      <c r="E1866" s="8" t="s">
        <v>1928</v>
      </c>
      <c r="F1866" s="8">
        <v>2.0</v>
      </c>
      <c r="G1866" s="8">
        <v>271.88</v>
      </c>
      <c r="H1866" s="8">
        <v>0.11</v>
      </c>
      <c r="I1866" s="8">
        <f t="shared" si="1"/>
        <v>543.76</v>
      </c>
      <c r="J1866" s="8">
        <f t="shared" si="2"/>
        <v>-59.7036</v>
      </c>
      <c r="K1866" s="8" t="str">
        <f t="shared" si="3"/>
        <v>Aug</v>
      </c>
      <c r="L1866" s="8">
        <f t="shared" si="4"/>
        <v>2029</v>
      </c>
      <c r="N1866" s="8" t="str">
        <f t="array" ref="N1866">XLOOKUP(C1866,Customer_Dim!A:A,Customer_Dim!B:B,"Not Found")</f>
        <v>Angela Williams</v>
      </c>
      <c r="O1866" s="8" t="str">
        <f t="array" ref="O1866">XLOOKUP(C1866,Customer_Dim!A:A,Customer_Dim!E:E,"Not Found")</f>
        <v>Lake Alyssaburgh</v>
      </c>
      <c r="P1866" s="8" t="str">
        <f t="array" ref="P1866">XLOOKUP(D1866,Product_Dim!A:A,Product_Dim!B:B,"Not Found")</f>
        <v>Smart Home WiFi Camera</v>
      </c>
      <c r="Q1866" s="8" t="str">
        <f t="array" ref="Q1866">XLOOKUP(D1866,Product_Dim!A:A,Product_Dim!C:C,"Not Found")</f>
        <v>Electronics</v>
      </c>
      <c r="R1866" s="8" t="str">
        <f t="array" ref="R1866">XLOOKUP(E1866,Store_Dim!A:A,Store_Dim!B:B,"Not Found")</f>
        <v>South</v>
      </c>
      <c r="S1866" s="8" t="str">
        <f t="array" ref="S1866">XLOOKUP(E1866,Store_Dim!A:A,Store_Dim!D:D,"Not Found")</f>
        <v>Online</v>
      </c>
    </row>
    <row r="1867" ht="14.25" customHeight="1">
      <c r="A1867" s="8" t="s">
        <v>3820</v>
      </c>
      <c r="B1867" s="12">
        <v>47345.0</v>
      </c>
      <c r="C1867" s="8" t="s">
        <v>1494</v>
      </c>
      <c r="D1867" s="8" t="s">
        <v>1610</v>
      </c>
      <c r="E1867" s="8" t="s">
        <v>1903</v>
      </c>
      <c r="F1867" s="8">
        <v>4.0</v>
      </c>
      <c r="G1867" s="8">
        <v>972.14</v>
      </c>
      <c r="H1867" s="8">
        <v>0.25</v>
      </c>
      <c r="I1867" s="8">
        <f t="shared" si="1"/>
        <v>3888.56</v>
      </c>
      <c r="J1867" s="8">
        <f t="shared" si="2"/>
        <v>-971.89</v>
      </c>
      <c r="K1867" s="8" t="str">
        <f t="shared" si="3"/>
        <v>Aug</v>
      </c>
      <c r="L1867" s="8">
        <f t="shared" si="4"/>
        <v>2029</v>
      </c>
      <c r="N1867" s="8" t="str">
        <f t="array" ref="N1867">XLOOKUP(C1867,Customer_Dim!A:A,Customer_Dim!B:B,"Not Found")</f>
        <v>Jordan Medina</v>
      </c>
      <c r="O1867" s="8" t="str">
        <f t="array" ref="O1867">XLOOKUP(C1867,Customer_Dim!A:A,Customer_Dim!E:E,"Not Found")</f>
        <v>Robinchester</v>
      </c>
      <c r="P1867" s="8" t="str">
        <f t="array" ref="P1867">XLOOKUP(D1867,Product_Dim!A:A,Product_Dim!B:B,"Not Found")</f>
        <v>HD Smart TV Stick</v>
      </c>
      <c r="Q1867" s="8" t="str">
        <f t="array" ref="Q1867">XLOOKUP(D1867,Product_Dim!A:A,Product_Dim!C:C,"Not Found")</f>
        <v>Electronics</v>
      </c>
      <c r="R1867" s="8" t="str">
        <f t="array" ref="R1867">XLOOKUP(E1867,Store_Dim!A:A,Store_Dim!B:B,"Not Found")</f>
        <v>North</v>
      </c>
      <c r="S1867" s="8" t="str">
        <f t="array" ref="S1867">XLOOKUP(E1867,Store_Dim!A:A,Store_Dim!D:D,"Not Found")</f>
        <v>Flagship</v>
      </c>
    </row>
    <row r="1868" ht="14.25" customHeight="1">
      <c r="A1868" s="8" t="s">
        <v>3821</v>
      </c>
      <c r="B1868" s="12">
        <v>47346.0</v>
      </c>
      <c r="C1868" s="8" t="s">
        <v>345</v>
      </c>
      <c r="D1868" s="8" t="s">
        <v>1716</v>
      </c>
      <c r="E1868" s="8" t="s">
        <v>1912</v>
      </c>
      <c r="F1868" s="8">
        <v>3.0</v>
      </c>
      <c r="G1868" s="8">
        <v>523.66</v>
      </c>
      <c r="H1868" s="8">
        <v>0.27</v>
      </c>
      <c r="I1868" s="8">
        <f t="shared" si="1"/>
        <v>1570.98</v>
      </c>
      <c r="J1868" s="8">
        <f t="shared" si="2"/>
        <v>-423.8946</v>
      </c>
      <c r="K1868" s="8" t="str">
        <f t="shared" si="3"/>
        <v>Aug</v>
      </c>
      <c r="L1868" s="8">
        <f t="shared" si="4"/>
        <v>2029</v>
      </c>
      <c r="N1868" s="8" t="str">
        <f t="array" ref="N1868">XLOOKUP(C1868,Customer_Dim!A:A,Customer_Dim!B:B,"Not Found")</f>
        <v>Christy Vasquez</v>
      </c>
      <c r="O1868" s="8" t="str">
        <f t="array" ref="O1868">XLOOKUP(C1868,Customer_Dim!A:A,Customer_Dim!E:E,"Not Found")</f>
        <v>Port Travisstad</v>
      </c>
      <c r="P1868" s="8" t="str">
        <f t="array" ref="P1868">XLOOKUP(D1868,Product_Dim!A:A,Product_Dim!B:B,"Not Found")</f>
        <v>USB External Hard Drive</v>
      </c>
      <c r="Q1868" s="8" t="str">
        <f t="array" ref="Q1868">XLOOKUP(D1868,Product_Dim!A:A,Product_Dim!C:C,"Not Found")</f>
        <v>Electronics</v>
      </c>
      <c r="R1868" s="8" t="str">
        <f t="array" ref="R1868">XLOOKUP(E1868,Store_Dim!A:A,Store_Dim!B:B,"Not Found")</f>
        <v>South</v>
      </c>
      <c r="S1868" s="8" t="str">
        <f t="array" ref="S1868">XLOOKUP(E1868,Store_Dim!A:A,Store_Dim!D:D,"Not Found")</f>
        <v>Online</v>
      </c>
    </row>
    <row r="1869" ht="14.25" customHeight="1">
      <c r="A1869" s="8" t="s">
        <v>3822</v>
      </c>
      <c r="B1869" s="12">
        <v>47347.0</v>
      </c>
      <c r="C1869" s="8" t="s">
        <v>511</v>
      </c>
      <c r="D1869" s="8" t="s">
        <v>1781</v>
      </c>
      <c r="E1869" s="8" t="s">
        <v>1906</v>
      </c>
      <c r="F1869" s="8">
        <v>4.0</v>
      </c>
      <c r="G1869" s="8">
        <v>838.99</v>
      </c>
      <c r="H1869" s="8">
        <v>0.16</v>
      </c>
      <c r="I1869" s="8">
        <f t="shared" si="1"/>
        <v>3355.96</v>
      </c>
      <c r="J1869" s="8">
        <f t="shared" si="2"/>
        <v>-536.7936</v>
      </c>
      <c r="K1869" s="8" t="str">
        <f t="shared" si="3"/>
        <v>Aug</v>
      </c>
      <c r="L1869" s="8">
        <f t="shared" si="4"/>
        <v>2029</v>
      </c>
      <c r="N1869" s="8" t="str">
        <f t="array" ref="N1869">XLOOKUP(C1869,Customer_Dim!A:A,Customer_Dim!B:B,"Not Found")</f>
        <v>Theresa Campbell</v>
      </c>
      <c r="O1869" s="8" t="str">
        <f t="array" ref="O1869">XLOOKUP(C1869,Customer_Dim!A:A,Customer_Dim!E:E,"Not Found")</f>
        <v>New Brian</v>
      </c>
      <c r="P1869" s="8" t="str">
        <f t="array" ref="P1869">XLOOKUP(D1869,Product_Dim!A:A,Product_Dim!B:B,"Not Found")</f>
        <v>Matte Lipstick Set</v>
      </c>
      <c r="Q1869" s="8" t="str">
        <f t="array" ref="Q1869">XLOOKUP(D1869,Product_Dim!A:A,Product_Dim!C:C,"Not Found")</f>
        <v>Beauty</v>
      </c>
      <c r="R1869" s="8" t="str">
        <f t="array" ref="R1869">XLOOKUP(E1869,Store_Dim!A:A,Store_Dim!B:B,"Not Found")</f>
        <v>South</v>
      </c>
      <c r="S1869" s="8" t="str">
        <f t="array" ref="S1869">XLOOKUP(E1869,Store_Dim!A:A,Store_Dim!D:D,"Not Found")</f>
        <v>Outlet</v>
      </c>
    </row>
    <row r="1870" ht="14.25" customHeight="1">
      <c r="A1870" s="8" t="s">
        <v>3823</v>
      </c>
      <c r="B1870" s="12">
        <v>47348.0</v>
      </c>
      <c r="C1870" s="8" t="s">
        <v>473</v>
      </c>
      <c r="D1870" s="8" t="s">
        <v>1610</v>
      </c>
      <c r="E1870" s="8" t="s">
        <v>1937</v>
      </c>
      <c r="F1870" s="8">
        <v>4.0</v>
      </c>
      <c r="G1870" s="8">
        <v>838.7</v>
      </c>
      <c r="H1870" s="8">
        <v>0.21</v>
      </c>
      <c r="I1870" s="8">
        <f t="shared" si="1"/>
        <v>3354.8</v>
      </c>
      <c r="J1870" s="8">
        <f t="shared" si="2"/>
        <v>-704.298</v>
      </c>
      <c r="K1870" s="8" t="str">
        <f t="shared" si="3"/>
        <v>Aug</v>
      </c>
      <c r="L1870" s="8">
        <f t="shared" si="4"/>
        <v>2029</v>
      </c>
      <c r="N1870" s="8" t="str">
        <f t="array" ref="N1870">XLOOKUP(C1870,Customer_Dim!A:A,Customer_Dim!B:B,"Not Found")</f>
        <v>Matthew Hanna</v>
      </c>
      <c r="O1870" s="8" t="str">
        <f t="array" ref="O1870">XLOOKUP(C1870,Customer_Dim!A:A,Customer_Dim!E:E,"Not Found")</f>
        <v>Gonzalezbury</v>
      </c>
      <c r="P1870" s="8" t="str">
        <f t="array" ref="P1870">XLOOKUP(D1870,Product_Dim!A:A,Product_Dim!B:B,"Not Found")</f>
        <v>HD Smart TV Stick</v>
      </c>
      <c r="Q1870" s="8" t="str">
        <f t="array" ref="Q1870">XLOOKUP(D1870,Product_Dim!A:A,Product_Dim!C:C,"Not Found")</f>
        <v>Electronics</v>
      </c>
      <c r="R1870" s="8" t="str">
        <f t="array" ref="R1870">XLOOKUP(E1870,Store_Dim!A:A,Store_Dim!B:B,"Not Found")</f>
        <v>North</v>
      </c>
      <c r="S1870" s="8" t="str">
        <f t="array" ref="S1870">XLOOKUP(E1870,Store_Dim!A:A,Store_Dim!D:D,"Not Found")</f>
        <v>Flagship</v>
      </c>
    </row>
    <row r="1871" ht="14.25" customHeight="1">
      <c r="A1871" s="8" t="s">
        <v>3824</v>
      </c>
      <c r="B1871" s="12">
        <v>47349.0</v>
      </c>
      <c r="C1871" s="8" t="s">
        <v>1320</v>
      </c>
      <c r="D1871" s="8" t="s">
        <v>1812</v>
      </c>
      <c r="E1871" s="8" t="s">
        <v>1921</v>
      </c>
      <c r="F1871" s="8">
        <v>3.0</v>
      </c>
      <c r="G1871" s="8">
        <v>943.24</v>
      </c>
      <c r="H1871" s="8">
        <v>0.21</v>
      </c>
      <c r="I1871" s="8">
        <f t="shared" si="1"/>
        <v>2829.72</v>
      </c>
      <c r="J1871" s="8">
        <f t="shared" si="2"/>
        <v>-594.0312</v>
      </c>
      <c r="K1871" s="8" t="str">
        <f t="shared" si="3"/>
        <v>Aug</v>
      </c>
      <c r="L1871" s="8">
        <f t="shared" si="4"/>
        <v>2029</v>
      </c>
      <c r="N1871" s="8" t="str">
        <f t="array" ref="N1871">XLOOKUP(C1871,Customer_Dim!A:A,Customer_Dim!B:B,"Not Found")</f>
        <v>Dr. Tamara White MD</v>
      </c>
      <c r="O1871" s="8" t="str">
        <f t="array" ref="O1871">XLOOKUP(C1871,Customer_Dim!A:A,Customer_Dim!E:E,"Not Found")</f>
        <v>New Benjamin</v>
      </c>
      <c r="P1871" s="8" t="str">
        <f t="array" ref="P1871">XLOOKUP(D1871,Product_Dim!A:A,Product_Dim!B:B,"Not Found")</f>
        <v>Bluetooth Car Audio System</v>
      </c>
      <c r="Q1871" s="8" t="str">
        <f t="array" ref="Q1871">XLOOKUP(D1871,Product_Dim!A:A,Product_Dim!C:C,"Not Found")</f>
        <v>Electronics</v>
      </c>
      <c r="R1871" s="8" t="str">
        <f t="array" ref="R1871">XLOOKUP(E1871,Store_Dim!A:A,Store_Dim!B:B,"Not Found")</f>
        <v>West</v>
      </c>
      <c r="S1871" s="8" t="str">
        <f t="array" ref="S1871">XLOOKUP(E1871,Store_Dim!A:A,Store_Dim!D:D,"Not Found")</f>
        <v>Online</v>
      </c>
    </row>
    <row r="1872" ht="14.25" customHeight="1">
      <c r="A1872" s="8" t="s">
        <v>3825</v>
      </c>
      <c r="B1872" s="12">
        <v>47350.0</v>
      </c>
      <c r="C1872" s="8" t="s">
        <v>960</v>
      </c>
      <c r="D1872" s="8" t="s">
        <v>1562</v>
      </c>
      <c r="E1872" s="8" t="s">
        <v>1937</v>
      </c>
      <c r="F1872" s="8">
        <v>2.0</v>
      </c>
      <c r="G1872" s="8">
        <v>310.33</v>
      </c>
      <c r="H1872" s="8">
        <v>0.26</v>
      </c>
      <c r="I1872" s="8">
        <f t="shared" si="1"/>
        <v>620.66</v>
      </c>
      <c r="J1872" s="8">
        <f t="shared" si="2"/>
        <v>-161.1116</v>
      </c>
      <c r="K1872" s="8" t="str">
        <f t="shared" si="3"/>
        <v>Aug</v>
      </c>
      <c r="L1872" s="8">
        <f t="shared" si="4"/>
        <v>2029</v>
      </c>
      <c r="N1872" s="8" t="str">
        <f t="array" ref="N1872">XLOOKUP(C1872,Customer_Dim!A:A,Customer_Dim!B:B,"Not Found")</f>
        <v>Stephanie Jacobs</v>
      </c>
      <c r="O1872" s="8" t="str">
        <f t="array" ref="O1872">XLOOKUP(C1872,Customer_Dim!A:A,Customer_Dim!E:E,"Not Found")</f>
        <v>West Robinmouth</v>
      </c>
      <c r="P1872" s="8" t="str">
        <f t="array" ref="P1872">XLOOKUP(D1872,Product_Dim!A:A,Product_Dim!B:B,"Not Found")</f>
        <v>Brother Laser Printer</v>
      </c>
      <c r="Q1872" s="8" t="str">
        <f t="array" ref="Q1872">XLOOKUP(D1872,Product_Dim!A:A,Product_Dim!C:C,"Not Found")</f>
        <v>Electronics</v>
      </c>
      <c r="R1872" s="8" t="str">
        <f t="array" ref="R1872">XLOOKUP(E1872,Store_Dim!A:A,Store_Dim!B:B,"Not Found")</f>
        <v>North</v>
      </c>
      <c r="S1872" s="8" t="str">
        <f t="array" ref="S1872">XLOOKUP(E1872,Store_Dim!A:A,Store_Dim!D:D,"Not Found")</f>
        <v>Flagship</v>
      </c>
    </row>
    <row r="1873" ht="14.25" customHeight="1">
      <c r="A1873" s="8" t="s">
        <v>3826</v>
      </c>
      <c r="B1873" s="12">
        <v>47351.0</v>
      </c>
      <c r="C1873" s="8" t="s">
        <v>1101</v>
      </c>
      <c r="D1873" s="8" t="s">
        <v>1722</v>
      </c>
      <c r="E1873" s="8" t="s">
        <v>1899</v>
      </c>
      <c r="F1873" s="8">
        <v>3.0</v>
      </c>
      <c r="G1873" s="8">
        <v>201.05</v>
      </c>
      <c r="H1873" s="8">
        <v>0.23</v>
      </c>
      <c r="I1873" s="8">
        <f t="shared" si="1"/>
        <v>603.15</v>
      </c>
      <c r="J1873" s="8">
        <f t="shared" si="2"/>
        <v>-138.4945</v>
      </c>
      <c r="K1873" s="8" t="str">
        <f t="shared" si="3"/>
        <v>Aug</v>
      </c>
      <c r="L1873" s="8">
        <f t="shared" si="4"/>
        <v>2029</v>
      </c>
      <c r="N1873" s="8" t="str">
        <f t="array" ref="N1873">XLOOKUP(C1873,Customer_Dim!A:A,Customer_Dim!B:B,"Not Found")</f>
        <v>John Jordan</v>
      </c>
      <c r="O1873" s="8" t="str">
        <f t="array" ref="O1873">XLOOKUP(C1873,Customer_Dim!A:A,Customer_Dim!E:E,"Not Found")</f>
        <v>Port Crystalberg</v>
      </c>
      <c r="P1873" s="8" t="str">
        <f t="array" ref="P1873">XLOOKUP(D1873,Product_Dim!A:A,Product_Dim!B:B,"Not Found")</f>
        <v>High-Grip Football</v>
      </c>
      <c r="Q1873" s="8" t="str">
        <f t="array" ref="Q1873">XLOOKUP(D1873,Product_Dim!A:A,Product_Dim!C:C,"Not Found")</f>
        <v>Sports</v>
      </c>
      <c r="R1873" s="8" t="str">
        <f t="array" ref="R1873">XLOOKUP(E1873,Store_Dim!A:A,Store_Dim!B:B,"Not Found")</f>
        <v>East</v>
      </c>
      <c r="S1873" s="8" t="str">
        <f t="array" ref="S1873">XLOOKUP(E1873,Store_Dim!A:A,Store_Dim!D:D,"Not Found")</f>
        <v>Flagship</v>
      </c>
    </row>
    <row r="1874" ht="14.25" customHeight="1">
      <c r="A1874" s="8" t="s">
        <v>3827</v>
      </c>
      <c r="B1874" s="12">
        <v>47352.0</v>
      </c>
      <c r="C1874" s="8" t="s">
        <v>821</v>
      </c>
      <c r="D1874" s="8" t="s">
        <v>1763</v>
      </c>
      <c r="E1874" s="8" t="s">
        <v>1937</v>
      </c>
      <c r="F1874" s="8">
        <v>1.0</v>
      </c>
      <c r="G1874" s="8">
        <v>803.37</v>
      </c>
      <c r="H1874" s="8">
        <v>0.3</v>
      </c>
      <c r="I1874" s="8">
        <f t="shared" si="1"/>
        <v>803.37</v>
      </c>
      <c r="J1874" s="8">
        <f t="shared" si="2"/>
        <v>-240.711</v>
      </c>
      <c r="K1874" s="8" t="str">
        <f t="shared" si="3"/>
        <v>Aug</v>
      </c>
      <c r="L1874" s="8">
        <f t="shared" si="4"/>
        <v>2029</v>
      </c>
      <c r="N1874" s="8" t="str">
        <f t="array" ref="N1874">XLOOKUP(C1874,Customer_Dim!A:A,Customer_Dim!B:B,"Not Found")</f>
        <v>John Mccoy</v>
      </c>
      <c r="O1874" s="8" t="str">
        <f t="array" ref="O1874">XLOOKUP(C1874,Customer_Dim!A:A,Customer_Dim!E:E,"Not Found")</f>
        <v>Robinborough</v>
      </c>
      <c r="P1874" s="8" t="str">
        <f t="array" ref="P1874">XLOOKUP(D1874,Product_Dim!A:A,Product_Dim!B:B,"Not Found")</f>
        <v>Womens Cotton Scarf</v>
      </c>
      <c r="Q1874" s="8" t="str">
        <f t="array" ref="Q1874">XLOOKUP(D1874,Product_Dim!A:A,Product_Dim!C:C,"Not Found")</f>
        <v>Clothing</v>
      </c>
      <c r="R1874" s="8" t="str">
        <f t="array" ref="R1874">XLOOKUP(E1874,Store_Dim!A:A,Store_Dim!B:B,"Not Found")</f>
        <v>North</v>
      </c>
      <c r="S1874" s="8" t="str">
        <f t="array" ref="S1874">XLOOKUP(E1874,Store_Dim!A:A,Store_Dim!D:D,"Not Found")</f>
        <v>Flagship</v>
      </c>
    </row>
    <row r="1875" ht="14.25" customHeight="1">
      <c r="A1875" s="8" t="s">
        <v>3828</v>
      </c>
      <c r="B1875" s="12">
        <v>47353.0</v>
      </c>
      <c r="C1875" s="8" t="s">
        <v>154</v>
      </c>
      <c r="D1875" s="8" t="s">
        <v>1772</v>
      </c>
      <c r="E1875" s="8" t="s">
        <v>1933</v>
      </c>
      <c r="F1875" s="8">
        <v>3.0</v>
      </c>
      <c r="G1875" s="8">
        <v>259.98</v>
      </c>
      <c r="H1875" s="8">
        <v>0.07</v>
      </c>
      <c r="I1875" s="8">
        <f t="shared" si="1"/>
        <v>779.94</v>
      </c>
      <c r="J1875" s="8">
        <f t="shared" si="2"/>
        <v>-54.5258</v>
      </c>
      <c r="K1875" s="8" t="str">
        <f t="shared" si="3"/>
        <v>Aug</v>
      </c>
      <c r="L1875" s="8">
        <f t="shared" si="4"/>
        <v>2029</v>
      </c>
      <c r="N1875" s="8" t="str">
        <f t="array" ref="N1875">XLOOKUP(C1875,Customer_Dim!A:A,Customer_Dim!B:B,"Not Found")</f>
        <v>Thomas Phillips</v>
      </c>
      <c r="O1875" s="8" t="str">
        <f t="array" ref="O1875">XLOOKUP(C1875,Customer_Dim!A:A,Customer_Dim!E:E,"Not Found")</f>
        <v>Luisfurt</v>
      </c>
      <c r="P1875" s="8" t="str">
        <f t="array" ref="P1875">XLOOKUP(D1875,Product_Dim!A:A,Product_Dim!B:B,"Not Found")</f>
        <v>Tennis Ball 3-Pack</v>
      </c>
      <c r="Q1875" s="8" t="str">
        <f t="array" ref="Q1875">XLOOKUP(D1875,Product_Dim!A:A,Product_Dim!C:C,"Not Found")</f>
        <v>Sports</v>
      </c>
      <c r="R1875" s="8" t="str">
        <f t="array" ref="R1875">XLOOKUP(E1875,Store_Dim!A:A,Store_Dim!B:B,"Not Found")</f>
        <v>North</v>
      </c>
      <c r="S1875" s="8" t="str">
        <f t="array" ref="S1875">XLOOKUP(E1875,Store_Dim!A:A,Store_Dim!D:D,"Not Found")</f>
        <v>Flagship</v>
      </c>
    </row>
    <row r="1876" ht="14.25" customHeight="1">
      <c r="A1876" s="8" t="s">
        <v>3829</v>
      </c>
      <c r="B1876" s="12">
        <v>47354.0</v>
      </c>
      <c r="C1876" s="8" t="s">
        <v>439</v>
      </c>
      <c r="D1876" s="8" t="s">
        <v>1572</v>
      </c>
      <c r="E1876" s="8" t="s">
        <v>1910</v>
      </c>
      <c r="F1876" s="8">
        <v>4.0</v>
      </c>
      <c r="G1876" s="8">
        <v>591.9</v>
      </c>
      <c r="H1876" s="8">
        <v>0.2</v>
      </c>
      <c r="I1876" s="8">
        <f t="shared" si="1"/>
        <v>2367.6</v>
      </c>
      <c r="J1876" s="8">
        <f t="shared" si="2"/>
        <v>-473.32</v>
      </c>
      <c r="K1876" s="8" t="str">
        <f t="shared" si="3"/>
        <v>Aug</v>
      </c>
      <c r="L1876" s="8">
        <f t="shared" si="4"/>
        <v>2029</v>
      </c>
      <c r="N1876" s="8" t="str">
        <f t="array" ref="N1876">XLOOKUP(C1876,Customer_Dim!A:A,Customer_Dim!B:B,"Not Found")</f>
        <v>Donald Lee</v>
      </c>
      <c r="O1876" s="8" t="str">
        <f t="array" ref="O1876">XLOOKUP(C1876,Customer_Dim!A:A,Customer_Dim!E:E,"Not Found")</f>
        <v>Wongberg</v>
      </c>
      <c r="P1876" s="8" t="str">
        <f t="array" ref="P1876">XLOOKUP(D1876,Product_Dim!A:A,Product_Dim!B:B,"Not Found")</f>
        <v>Women's Casual Hoodie</v>
      </c>
      <c r="Q1876" s="8" t="str">
        <f t="array" ref="Q1876">XLOOKUP(D1876,Product_Dim!A:A,Product_Dim!C:C,"Not Found")</f>
        <v>Clothing</v>
      </c>
      <c r="R1876" s="8" t="str">
        <f t="array" ref="R1876">XLOOKUP(E1876,Store_Dim!A:A,Store_Dim!B:B,"Not Found")</f>
        <v>North</v>
      </c>
      <c r="S1876" s="8" t="str">
        <f t="array" ref="S1876">XLOOKUP(E1876,Store_Dim!A:A,Store_Dim!D:D,"Not Found")</f>
        <v>Outlet</v>
      </c>
    </row>
    <row r="1877" ht="14.25" customHeight="1">
      <c r="A1877" s="8" t="s">
        <v>3830</v>
      </c>
      <c r="B1877" s="12">
        <v>47355.0</v>
      </c>
      <c r="C1877" s="8" t="s">
        <v>137</v>
      </c>
      <c r="D1877" s="8" t="s">
        <v>1769</v>
      </c>
      <c r="E1877" s="8" t="s">
        <v>1929</v>
      </c>
      <c r="F1877" s="8">
        <v>2.0</v>
      </c>
      <c r="G1877" s="8">
        <v>396.9</v>
      </c>
      <c r="H1877" s="8">
        <v>0.18</v>
      </c>
      <c r="I1877" s="8">
        <f t="shared" si="1"/>
        <v>793.8</v>
      </c>
      <c r="J1877" s="8">
        <f t="shared" si="2"/>
        <v>-142.704</v>
      </c>
      <c r="K1877" s="8" t="str">
        <f t="shared" si="3"/>
        <v>Aug</v>
      </c>
      <c r="L1877" s="8">
        <f t="shared" si="4"/>
        <v>2029</v>
      </c>
      <c r="N1877" s="8" t="str">
        <f t="array" ref="N1877">XLOOKUP(C1877,Customer_Dim!A:A,Customer_Dim!B:B,"Not Found")</f>
        <v>Sarah Vance</v>
      </c>
      <c r="O1877" s="8" t="str">
        <f t="array" ref="O1877">XLOOKUP(C1877,Customer_Dim!A:A,Customer_Dim!E:E,"Not Found")</f>
        <v>Johnsonville</v>
      </c>
      <c r="P1877" s="8" t="str">
        <f t="array" ref="P1877">XLOOKUP(D1877,Product_Dim!A:A,Product_Dim!B:B,"Not Found")</f>
        <v>Luxury Perfume Spray</v>
      </c>
      <c r="Q1877" s="8" t="str">
        <f t="array" ref="Q1877">XLOOKUP(D1877,Product_Dim!A:A,Product_Dim!C:C,"Not Found")</f>
        <v>Beauty</v>
      </c>
      <c r="R1877" s="8" t="str">
        <f t="array" ref="R1877">XLOOKUP(E1877,Store_Dim!A:A,Store_Dim!B:B,"Not Found")</f>
        <v>North</v>
      </c>
      <c r="S1877" s="8" t="str">
        <f t="array" ref="S1877">XLOOKUP(E1877,Store_Dim!A:A,Store_Dim!D:D,"Not Found")</f>
        <v>Online</v>
      </c>
    </row>
    <row r="1878" ht="14.25" customHeight="1">
      <c r="A1878" s="8" t="s">
        <v>3831</v>
      </c>
      <c r="B1878" s="12">
        <v>47356.0</v>
      </c>
      <c r="C1878" s="8" t="s">
        <v>1416</v>
      </c>
      <c r="D1878" s="8" t="s">
        <v>1884</v>
      </c>
      <c r="E1878" s="8" t="s">
        <v>1906</v>
      </c>
      <c r="F1878" s="8">
        <v>1.0</v>
      </c>
      <c r="G1878" s="8">
        <v>176.84</v>
      </c>
      <c r="H1878" s="8">
        <v>0.19</v>
      </c>
      <c r="I1878" s="8">
        <f t="shared" si="1"/>
        <v>176.84</v>
      </c>
      <c r="J1878" s="8">
        <f t="shared" si="2"/>
        <v>-33.4096</v>
      </c>
      <c r="K1878" s="8" t="str">
        <f t="shared" si="3"/>
        <v>Aug</v>
      </c>
      <c r="L1878" s="8">
        <f t="shared" si="4"/>
        <v>2029</v>
      </c>
      <c r="N1878" s="8" t="str">
        <f t="array" ref="N1878">XLOOKUP(C1878,Customer_Dim!A:A,Customer_Dim!B:B,"Not Found")</f>
        <v>April Phillips</v>
      </c>
      <c r="O1878" s="8" t="str">
        <f t="array" ref="O1878">XLOOKUP(C1878,Customer_Dim!A:A,Customer_Dim!E:E,"Not Found")</f>
        <v>Lake Carolyn</v>
      </c>
      <c r="P1878" s="8" t="str">
        <f t="array" ref="P1878">XLOOKUP(D1878,Product_Dim!A:A,Product_Dim!B:B,"Not Found")</f>
        <v>Portable Bluetooth Speaker</v>
      </c>
      <c r="Q1878" s="8" t="str">
        <f t="array" ref="Q1878">XLOOKUP(D1878,Product_Dim!A:A,Product_Dim!C:C,"Not Found")</f>
        <v>Electronics</v>
      </c>
      <c r="R1878" s="8" t="str">
        <f t="array" ref="R1878">XLOOKUP(E1878,Store_Dim!A:A,Store_Dim!B:B,"Not Found")</f>
        <v>South</v>
      </c>
      <c r="S1878" s="8" t="str">
        <f t="array" ref="S1878">XLOOKUP(E1878,Store_Dim!A:A,Store_Dim!D:D,"Not Found")</f>
        <v>Outlet</v>
      </c>
    </row>
    <row r="1879" ht="14.25" customHeight="1">
      <c r="A1879" s="8" t="s">
        <v>3832</v>
      </c>
      <c r="B1879" s="12">
        <v>47357.0</v>
      </c>
      <c r="C1879" s="8" t="s">
        <v>827</v>
      </c>
      <c r="D1879" s="8" t="s">
        <v>1662</v>
      </c>
      <c r="E1879" s="8" t="s">
        <v>1899</v>
      </c>
      <c r="F1879" s="8">
        <v>2.0</v>
      </c>
      <c r="G1879" s="8">
        <v>614.21</v>
      </c>
      <c r="H1879" s="8">
        <v>0.11</v>
      </c>
      <c r="I1879" s="8">
        <f t="shared" si="1"/>
        <v>1228.42</v>
      </c>
      <c r="J1879" s="8">
        <f t="shared" si="2"/>
        <v>-135.0162</v>
      </c>
      <c r="K1879" s="8" t="str">
        <f t="shared" si="3"/>
        <v>Aug</v>
      </c>
      <c r="L1879" s="8">
        <f t="shared" si="4"/>
        <v>2029</v>
      </c>
      <c r="N1879" s="8" t="str">
        <f t="array" ref="N1879">XLOOKUP(C1879,Customer_Dim!A:A,Customer_Dim!B:B,"Not Found")</f>
        <v>Linda Kline</v>
      </c>
      <c r="O1879" s="8" t="str">
        <f t="array" ref="O1879">XLOOKUP(C1879,Customer_Dim!A:A,Customer_Dim!E:E,"Not Found")</f>
        <v>Masseyland</v>
      </c>
      <c r="P1879" s="8" t="str">
        <f t="array" ref="P1879">XLOOKUP(D1879,Product_Dim!A:A,Product_Dim!B:B,"Not Found")</f>
        <v>Wireless Bluetooth Speaker</v>
      </c>
      <c r="Q1879" s="8" t="str">
        <f t="array" ref="Q1879">XLOOKUP(D1879,Product_Dim!A:A,Product_Dim!C:C,"Not Found")</f>
        <v>Electronics</v>
      </c>
      <c r="R1879" s="8" t="str">
        <f t="array" ref="R1879">XLOOKUP(E1879,Store_Dim!A:A,Store_Dim!B:B,"Not Found")</f>
        <v>East</v>
      </c>
      <c r="S1879" s="8" t="str">
        <f t="array" ref="S1879">XLOOKUP(E1879,Store_Dim!A:A,Store_Dim!D:D,"Not Found")</f>
        <v>Flagship</v>
      </c>
    </row>
    <row r="1880" ht="14.25" customHeight="1">
      <c r="A1880" s="8" t="s">
        <v>3833</v>
      </c>
      <c r="B1880" s="12">
        <v>47358.0</v>
      </c>
      <c r="C1880" s="8" t="s">
        <v>391</v>
      </c>
      <c r="D1880" s="8" t="s">
        <v>2052</v>
      </c>
      <c r="E1880" s="8" t="s">
        <v>1919</v>
      </c>
      <c r="F1880" s="8">
        <v>3.0</v>
      </c>
      <c r="G1880" s="8">
        <v>604.66</v>
      </c>
      <c r="H1880" s="8">
        <v>0.18</v>
      </c>
      <c r="I1880" s="8">
        <f t="shared" si="1"/>
        <v>1813.98</v>
      </c>
      <c r="J1880" s="8">
        <f t="shared" si="2"/>
        <v>-326.3364</v>
      </c>
      <c r="K1880" s="8" t="str">
        <f t="shared" si="3"/>
        <v>Aug</v>
      </c>
      <c r="L1880" s="8">
        <f t="shared" si="4"/>
        <v>2029</v>
      </c>
      <c r="N1880" s="8" t="str">
        <f t="array" ref="N1880">XLOOKUP(C1880,Customer_Dim!A:A,Customer_Dim!B:B,"Not Found")</f>
        <v>Travis Holland</v>
      </c>
      <c r="O1880" s="8" t="str">
        <f t="array" ref="O1880">XLOOKUP(C1880,Customer_Dim!A:A,Customer_Dim!E:E,"Not Found")</f>
        <v>Webstermouth</v>
      </c>
      <c r="P1880" s="8" t="str">
        <f t="array" ref="P1880">XLOOKUP(D1880,Product_Dim!A:A,Product_Dim!B:B,"Not Found")</f>
        <v>Not Found</v>
      </c>
      <c r="Q1880" s="8" t="str">
        <f t="array" ref="Q1880">XLOOKUP(D1880,Product_Dim!A:A,Product_Dim!C:C,"Not Found")</f>
        <v>Not Found</v>
      </c>
      <c r="R1880" s="8" t="str">
        <f t="array" ref="R1880">XLOOKUP(E1880,Store_Dim!A:A,Store_Dim!B:B,"Not Found")</f>
        <v>South</v>
      </c>
      <c r="S1880" s="8" t="str">
        <f t="array" ref="S1880">XLOOKUP(E1880,Store_Dim!A:A,Store_Dim!D:D,"Not Found")</f>
        <v>Online</v>
      </c>
    </row>
    <row r="1881" ht="14.25" customHeight="1">
      <c r="A1881" s="8" t="s">
        <v>3834</v>
      </c>
      <c r="B1881" s="12">
        <v>47359.0</v>
      </c>
      <c r="C1881" s="8" t="s">
        <v>1546</v>
      </c>
      <c r="D1881" s="8" t="s">
        <v>1572</v>
      </c>
      <c r="E1881" s="8" t="s">
        <v>1929</v>
      </c>
      <c r="F1881" s="8">
        <v>3.0</v>
      </c>
      <c r="G1881" s="8">
        <v>24.29</v>
      </c>
      <c r="H1881" s="8">
        <v>0.12</v>
      </c>
      <c r="I1881" s="8">
        <f t="shared" si="1"/>
        <v>72.87</v>
      </c>
      <c r="J1881" s="8">
        <f t="shared" si="2"/>
        <v>-8.6244</v>
      </c>
      <c r="K1881" s="8" t="str">
        <f t="shared" si="3"/>
        <v>Aug</v>
      </c>
      <c r="L1881" s="8">
        <f t="shared" si="4"/>
        <v>2029</v>
      </c>
      <c r="N1881" s="8" t="str">
        <f t="array" ref="N1881">XLOOKUP(C1881,Customer_Dim!A:A,Customer_Dim!B:B,"Not Found")</f>
        <v>Traci Gonzalez</v>
      </c>
      <c r="O1881" s="8" t="str">
        <f t="array" ref="O1881">XLOOKUP(C1881,Customer_Dim!A:A,Customer_Dim!E:E,"Not Found")</f>
        <v>Snyderfurt</v>
      </c>
      <c r="P1881" s="8" t="str">
        <f t="array" ref="P1881">XLOOKUP(D1881,Product_Dim!A:A,Product_Dim!B:B,"Not Found")</f>
        <v>Women's Casual Hoodie</v>
      </c>
      <c r="Q1881" s="8" t="str">
        <f t="array" ref="Q1881">XLOOKUP(D1881,Product_Dim!A:A,Product_Dim!C:C,"Not Found")</f>
        <v>Clothing</v>
      </c>
      <c r="R1881" s="8" t="str">
        <f t="array" ref="R1881">XLOOKUP(E1881,Store_Dim!A:A,Store_Dim!B:B,"Not Found")</f>
        <v>North</v>
      </c>
      <c r="S1881" s="8" t="str">
        <f t="array" ref="S1881">XLOOKUP(E1881,Store_Dim!A:A,Store_Dim!D:D,"Not Found")</f>
        <v>Online</v>
      </c>
    </row>
    <row r="1882" ht="14.25" customHeight="1">
      <c r="A1882" s="8" t="s">
        <v>3835</v>
      </c>
      <c r="B1882" s="12">
        <v>47360.0</v>
      </c>
      <c r="C1882" s="8" t="s">
        <v>430</v>
      </c>
      <c r="D1882" s="8" t="s">
        <v>1778</v>
      </c>
      <c r="E1882" s="8" t="s">
        <v>1928</v>
      </c>
      <c r="F1882" s="8">
        <v>1.0</v>
      </c>
      <c r="G1882" s="8">
        <v>503.95</v>
      </c>
      <c r="H1882" s="8">
        <v>0.24</v>
      </c>
      <c r="I1882" s="8">
        <f t="shared" si="1"/>
        <v>503.95</v>
      </c>
      <c r="J1882" s="8">
        <f t="shared" si="2"/>
        <v>-120.708</v>
      </c>
      <c r="K1882" s="8" t="str">
        <f t="shared" si="3"/>
        <v>Aug</v>
      </c>
      <c r="L1882" s="8">
        <f t="shared" si="4"/>
        <v>2029</v>
      </c>
      <c r="N1882" s="8" t="str">
        <f t="array" ref="N1882">XLOOKUP(C1882,Customer_Dim!A:A,Customer_Dim!B:B,"Not Found")</f>
        <v>Joel Robinson</v>
      </c>
      <c r="O1882" s="8" t="str">
        <f t="array" ref="O1882">XLOOKUP(C1882,Customer_Dim!A:A,Customer_Dim!E:E,"Not Found")</f>
        <v>Lake Danielport</v>
      </c>
      <c r="P1882" s="8" t="str">
        <f t="array" ref="P1882">XLOOKUP(D1882,Product_Dim!A:A,Product_Dim!B:B,"Not Found")</f>
        <v>Organic Sunscreen Lotion</v>
      </c>
      <c r="Q1882" s="8" t="str">
        <f t="array" ref="Q1882">XLOOKUP(D1882,Product_Dim!A:A,Product_Dim!C:C,"Not Found")</f>
        <v>Beauty</v>
      </c>
      <c r="R1882" s="8" t="str">
        <f t="array" ref="R1882">XLOOKUP(E1882,Store_Dim!A:A,Store_Dim!B:B,"Not Found")</f>
        <v>South</v>
      </c>
      <c r="S1882" s="8" t="str">
        <f t="array" ref="S1882">XLOOKUP(E1882,Store_Dim!A:A,Store_Dim!D:D,"Not Found")</f>
        <v>Online</v>
      </c>
    </row>
    <row r="1883" ht="14.25" customHeight="1">
      <c r="A1883" s="8" t="s">
        <v>3836</v>
      </c>
      <c r="B1883" s="12">
        <v>47361.0</v>
      </c>
      <c r="C1883" s="8" t="s">
        <v>1020</v>
      </c>
      <c r="D1883" s="8" t="s">
        <v>1742</v>
      </c>
      <c r="E1883" s="8" t="s">
        <v>1932</v>
      </c>
      <c r="F1883" s="8">
        <v>4.0</v>
      </c>
      <c r="G1883" s="8">
        <v>860.78</v>
      </c>
      <c r="H1883" s="8">
        <v>0.03</v>
      </c>
      <c r="I1883" s="8">
        <f t="shared" si="1"/>
        <v>3443.12</v>
      </c>
      <c r="J1883" s="8">
        <f t="shared" si="2"/>
        <v>-103.2636</v>
      </c>
      <c r="K1883" s="8" t="str">
        <f t="shared" si="3"/>
        <v>Aug</v>
      </c>
      <c r="L1883" s="8">
        <f t="shared" si="4"/>
        <v>2029</v>
      </c>
      <c r="N1883" s="8" t="str">
        <f t="array" ref="N1883">XLOOKUP(C1883,Customer_Dim!A:A,Customer_Dim!B:B,"Not Found")</f>
        <v>Casey Simpson</v>
      </c>
      <c r="O1883" s="8" t="str">
        <f t="array" ref="O1883">XLOOKUP(C1883,Customer_Dim!A:A,Customer_Dim!E:E,"Not Found")</f>
        <v>West Mathewside</v>
      </c>
      <c r="P1883" s="8" t="str">
        <f t="array" ref="P1883">XLOOKUP(D1883,Product_Dim!A:A,Product_Dim!B:B,"Not Found")</f>
        <v>HDMI Cable – 2m</v>
      </c>
      <c r="Q1883" s="8" t="str">
        <f t="array" ref="Q1883">XLOOKUP(D1883,Product_Dim!A:A,Product_Dim!C:C,"Not Found")</f>
        <v>Electronics</v>
      </c>
      <c r="R1883" s="8" t="str">
        <f t="array" ref="R1883">XLOOKUP(E1883,Store_Dim!A:A,Store_Dim!B:B,"Not Found")</f>
        <v>South</v>
      </c>
      <c r="S1883" s="8" t="str">
        <f t="array" ref="S1883">XLOOKUP(E1883,Store_Dim!A:A,Store_Dim!D:D,"Not Found")</f>
        <v>Outlet</v>
      </c>
    </row>
    <row r="1884" ht="14.25" customHeight="1">
      <c r="A1884" s="8" t="s">
        <v>3837</v>
      </c>
      <c r="B1884" s="12">
        <v>47362.0</v>
      </c>
      <c r="C1884" s="8" t="s">
        <v>658</v>
      </c>
      <c r="D1884" s="8" t="s">
        <v>1713</v>
      </c>
      <c r="E1884" s="8" t="s">
        <v>1910</v>
      </c>
      <c r="F1884" s="8">
        <v>3.0</v>
      </c>
      <c r="G1884" s="8">
        <v>41.97</v>
      </c>
      <c r="H1884" s="8">
        <v>0.03</v>
      </c>
      <c r="I1884" s="8">
        <f t="shared" si="1"/>
        <v>125.91</v>
      </c>
      <c r="J1884" s="8">
        <f t="shared" si="2"/>
        <v>-3.7473</v>
      </c>
      <c r="K1884" s="8" t="str">
        <f t="shared" si="3"/>
        <v>Sep</v>
      </c>
      <c r="L1884" s="8">
        <f t="shared" si="4"/>
        <v>2029</v>
      </c>
      <c r="N1884" s="8" t="str">
        <f t="array" ref="N1884">XLOOKUP(C1884,Customer_Dim!A:A,Customer_Dim!B:B,"Not Found")</f>
        <v>Andrea Jacobs</v>
      </c>
      <c r="O1884" s="8" t="str">
        <f t="array" ref="O1884">XLOOKUP(C1884,Customer_Dim!A:A,Customer_Dim!E:E,"Not Found")</f>
        <v>Christopherland</v>
      </c>
      <c r="P1884" s="8" t="str">
        <f t="array" ref="P1884">XLOOKUP(D1884,Product_Dim!A:A,Product_Dim!B:B,"Not Found")</f>
        <v>Smart Home WiFi Camera</v>
      </c>
      <c r="Q1884" s="8" t="str">
        <f t="array" ref="Q1884">XLOOKUP(D1884,Product_Dim!A:A,Product_Dim!C:C,"Not Found")</f>
        <v>Electronics</v>
      </c>
      <c r="R1884" s="8" t="str">
        <f t="array" ref="R1884">XLOOKUP(E1884,Store_Dim!A:A,Store_Dim!B:B,"Not Found")</f>
        <v>North</v>
      </c>
      <c r="S1884" s="8" t="str">
        <f t="array" ref="S1884">XLOOKUP(E1884,Store_Dim!A:A,Store_Dim!D:D,"Not Found")</f>
        <v>Outlet</v>
      </c>
    </row>
    <row r="1885" ht="14.25" customHeight="1">
      <c r="A1885" s="8" t="s">
        <v>3838</v>
      </c>
      <c r="B1885" s="12">
        <v>47363.0</v>
      </c>
      <c r="C1885" s="8" t="s">
        <v>144</v>
      </c>
      <c r="D1885" s="8" t="s">
        <v>1624</v>
      </c>
      <c r="E1885" s="8" t="s">
        <v>1915</v>
      </c>
      <c r="F1885" s="8">
        <v>1.0</v>
      </c>
      <c r="G1885" s="8">
        <v>649.59</v>
      </c>
      <c r="H1885" s="8">
        <v>0.12</v>
      </c>
      <c r="I1885" s="8">
        <f t="shared" si="1"/>
        <v>649.59</v>
      </c>
      <c r="J1885" s="8">
        <f t="shared" si="2"/>
        <v>-77.8308</v>
      </c>
      <c r="K1885" s="8" t="str">
        <f t="shared" si="3"/>
        <v>Sep</v>
      </c>
      <c r="L1885" s="8">
        <f t="shared" si="4"/>
        <v>2029</v>
      </c>
      <c r="N1885" s="8" t="str">
        <f t="array" ref="N1885">XLOOKUP(C1885,Customer_Dim!A:A,Customer_Dim!B:B,"Not Found")</f>
        <v>Robert Jones DDS</v>
      </c>
      <c r="O1885" s="8" t="str">
        <f t="array" ref="O1885">XLOOKUP(C1885,Customer_Dim!A:A,Customer_Dim!E:E,"Not Found")</f>
        <v>Tristanton</v>
      </c>
      <c r="P1885" s="8" t="str">
        <f t="array" ref="P1885">XLOOKUP(D1885,Product_Dim!A:A,Product_Dim!B:B,"Not Found")</f>
        <v>4K Home Projector</v>
      </c>
      <c r="Q1885" s="8" t="str">
        <f t="array" ref="Q1885">XLOOKUP(D1885,Product_Dim!A:A,Product_Dim!C:C,"Not Found")</f>
        <v>Electronics</v>
      </c>
      <c r="R1885" s="8" t="str">
        <f t="array" ref="R1885">XLOOKUP(E1885,Store_Dim!A:A,Store_Dim!B:B,"Not Found")</f>
        <v>North</v>
      </c>
      <c r="S1885" s="8" t="str">
        <f t="array" ref="S1885">XLOOKUP(E1885,Store_Dim!A:A,Store_Dim!D:D,"Not Found")</f>
        <v>Outlet</v>
      </c>
    </row>
    <row r="1886" ht="14.25" customHeight="1">
      <c r="A1886" s="8" t="s">
        <v>3839</v>
      </c>
      <c r="B1886" s="12">
        <v>47364.0</v>
      </c>
      <c r="C1886" s="8" t="s">
        <v>212</v>
      </c>
      <c r="D1886" s="8" t="s">
        <v>1778</v>
      </c>
      <c r="E1886" s="8" t="s">
        <v>1924</v>
      </c>
      <c r="F1886" s="8">
        <v>2.0</v>
      </c>
      <c r="G1886" s="8">
        <v>386.09</v>
      </c>
      <c r="H1886" s="8">
        <v>0.19</v>
      </c>
      <c r="I1886" s="8">
        <f t="shared" si="1"/>
        <v>772.18</v>
      </c>
      <c r="J1886" s="8">
        <f t="shared" si="2"/>
        <v>-146.5242</v>
      </c>
      <c r="K1886" s="8" t="str">
        <f t="shared" si="3"/>
        <v>Sep</v>
      </c>
      <c r="L1886" s="8">
        <f t="shared" si="4"/>
        <v>2029</v>
      </c>
      <c r="N1886" s="8" t="str">
        <f t="array" ref="N1886">XLOOKUP(C1886,Customer_Dim!A:A,Customer_Dim!B:B,"Not Found")</f>
        <v>Sharon Brown</v>
      </c>
      <c r="O1886" s="8" t="str">
        <f t="array" ref="O1886">XLOOKUP(C1886,Customer_Dim!A:A,Customer_Dim!E:E,"Not Found")</f>
        <v>East Andrea</v>
      </c>
      <c r="P1886" s="8" t="str">
        <f t="array" ref="P1886">XLOOKUP(D1886,Product_Dim!A:A,Product_Dim!B:B,"Not Found")</f>
        <v>Organic Sunscreen Lotion</v>
      </c>
      <c r="Q1886" s="8" t="str">
        <f t="array" ref="Q1886">XLOOKUP(D1886,Product_Dim!A:A,Product_Dim!C:C,"Not Found")</f>
        <v>Beauty</v>
      </c>
      <c r="R1886" s="8" t="str">
        <f t="array" ref="R1886">XLOOKUP(E1886,Store_Dim!A:A,Store_Dim!B:B,"Not Found")</f>
        <v>South</v>
      </c>
      <c r="S1886" s="8" t="str">
        <f t="array" ref="S1886">XLOOKUP(E1886,Store_Dim!A:A,Store_Dim!D:D,"Not Found")</f>
        <v>Flagship</v>
      </c>
    </row>
    <row r="1887" ht="14.25" customHeight="1">
      <c r="A1887" s="8" t="s">
        <v>3840</v>
      </c>
      <c r="B1887" s="12">
        <v>47365.0</v>
      </c>
      <c r="C1887" s="8" t="s">
        <v>363</v>
      </c>
      <c r="D1887" s="8" t="s">
        <v>1742</v>
      </c>
      <c r="E1887" s="8" t="s">
        <v>1929</v>
      </c>
      <c r="F1887" s="8">
        <v>1.0</v>
      </c>
      <c r="G1887" s="8">
        <v>891.62</v>
      </c>
      <c r="H1887" s="8">
        <v>0.06</v>
      </c>
      <c r="I1887" s="8">
        <f t="shared" si="1"/>
        <v>891.62</v>
      </c>
      <c r="J1887" s="8">
        <f t="shared" si="2"/>
        <v>-53.4372</v>
      </c>
      <c r="K1887" s="8" t="str">
        <f t="shared" si="3"/>
        <v>Sep</v>
      </c>
      <c r="L1887" s="8">
        <f t="shared" si="4"/>
        <v>2029</v>
      </c>
      <c r="N1887" s="8" t="str">
        <f t="array" ref="N1887">XLOOKUP(C1887,Customer_Dim!A:A,Customer_Dim!B:B,"Not Found")</f>
        <v>Sheila Wilson</v>
      </c>
      <c r="O1887" s="8" t="str">
        <f t="array" ref="O1887">XLOOKUP(C1887,Customer_Dim!A:A,Customer_Dim!E:E,"Not Found")</f>
        <v>South Dustin</v>
      </c>
      <c r="P1887" s="8" t="str">
        <f t="array" ref="P1887">XLOOKUP(D1887,Product_Dim!A:A,Product_Dim!B:B,"Not Found")</f>
        <v>HDMI Cable – 2m</v>
      </c>
      <c r="Q1887" s="8" t="str">
        <f t="array" ref="Q1887">XLOOKUP(D1887,Product_Dim!A:A,Product_Dim!C:C,"Not Found")</f>
        <v>Electronics</v>
      </c>
      <c r="R1887" s="8" t="str">
        <f t="array" ref="R1887">XLOOKUP(E1887,Store_Dim!A:A,Store_Dim!B:B,"Not Found")</f>
        <v>North</v>
      </c>
      <c r="S1887" s="8" t="str">
        <f t="array" ref="S1887">XLOOKUP(E1887,Store_Dim!A:A,Store_Dim!D:D,"Not Found")</f>
        <v>Online</v>
      </c>
    </row>
    <row r="1888" ht="14.25" customHeight="1">
      <c r="A1888" s="8" t="s">
        <v>3841</v>
      </c>
      <c r="B1888" s="12">
        <v>47366.0</v>
      </c>
      <c r="C1888" s="8" t="s">
        <v>1206</v>
      </c>
      <c r="D1888" s="8" t="s">
        <v>1781</v>
      </c>
      <c r="E1888" s="8" t="s">
        <v>1933</v>
      </c>
      <c r="F1888" s="8">
        <v>2.0</v>
      </c>
      <c r="G1888" s="8">
        <v>558.9</v>
      </c>
      <c r="H1888" s="8">
        <v>0.05</v>
      </c>
      <c r="I1888" s="8">
        <f t="shared" si="1"/>
        <v>1117.8</v>
      </c>
      <c r="J1888" s="8">
        <f t="shared" si="2"/>
        <v>-55.84</v>
      </c>
      <c r="K1888" s="8" t="str">
        <f t="shared" si="3"/>
        <v>Sep</v>
      </c>
      <c r="L1888" s="8">
        <f t="shared" si="4"/>
        <v>2029</v>
      </c>
      <c r="N1888" s="8" t="str">
        <f t="array" ref="N1888">XLOOKUP(C1888,Customer_Dim!A:A,Customer_Dim!B:B,"Not Found")</f>
        <v>Erika Padilla</v>
      </c>
      <c r="O1888" s="8" t="str">
        <f t="array" ref="O1888">XLOOKUP(C1888,Customer_Dim!A:A,Customer_Dim!E:E,"Not Found")</f>
        <v>Andrewsland</v>
      </c>
      <c r="P1888" s="8" t="str">
        <f t="array" ref="P1888">XLOOKUP(D1888,Product_Dim!A:A,Product_Dim!B:B,"Not Found")</f>
        <v>Matte Lipstick Set</v>
      </c>
      <c r="Q1888" s="8" t="str">
        <f t="array" ref="Q1888">XLOOKUP(D1888,Product_Dim!A:A,Product_Dim!C:C,"Not Found")</f>
        <v>Beauty</v>
      </c>
      <c r="R1888" s="8" t="str">
        <f t="array" ref="R1888">XLOOKUP(E1888,Store_Dim!A:A,Store_Dim!B:B,"Not Found")</f>
        <v>North</v>
      </c>
      <c r="S1888" s="8" t="str">
        <f t="array" ref="S1888">XLOOKUP(E1888,Store_Dim!A:A,Store_Dim!D:D,"Not Found")</f>
        <v>Flagship</v>
      </c>
    </row>
    <row r="1889" ht="14.25" customHeight="1">
      <c r="A1889" s="8" t="s">
        <v>3842</v>
      </c>
      <c r="B1889" s="12">
        <v>47367.0</v>
      </c>
      <c r="C1889" s="8" t="s">
        <v>1119</v>
      </c>
      <c r="D1889" s="8" t="s">
        <v>1567</v>
      </c>
      <c r="E1889" s="8" t="s">
        <v>1910</v>
      </c>
      <c r="F1889" s="8">
        <v>2.0</v>
      </c>
      <c r="G1889" s="8">
        <v>99.04</v>
      </c>
      <c r="H1889" s="8">
        <v>0.26</v>
      </c>
      <c r="I1889" s="8">
        <f t="shared" si="1"/>
        <v>198.08</v>
      </c>
      <c r="J1889" s="8">
        <f t="shared" si="2"/>
        <v>-51.2408</v>
      </c>
      <c r="K1889" s="8" t="str">
        <f t="shared" si="3"/>
        <v>Sep</v>
      </c>
      <c r="L1889" s="8">
        <f t="shared" si="4"/>
        <v>2029</v>
      </c>
      <c r="N1889" s="8" t="str">
        <f t="array" ref="N1889">XLOOKUP(C1889,Customer_Dim!A:A,Customer_Dim!B:B,"Not Found")</f>
        <v>Michael Greene</v>
      </c>
      <c r="O1889" s="8" t="str">
        <f t="array" ref="O1889">XLOOKUP(C1889,Customer_Dim!A:A,Customer_Dim!E:E,"Not Found")</f>
        <v>Port Saramouth</v>
      </c>
      <c r="P1889" s="8" t="str">
        <f t="array" ref="P1889">XLOOKUP(D1889,Product_Dim!A:A,Product_Dim!B:B,"Not Found")</f>
        <v>Men's Graphic T-Shirt</v>
      </c>
      <c r="Q1889" s="8" t="str">
        <f t="array" ref="Q1889">XLOOKUP(D1889,Product_Dim!A:A,Product_Dim!C:C,"Not Found")</f>
        <v>Clothing</v>
      </c>
      <c r="R1889" s="8" t="str">
        <f t="array" ref="R1889">XLOOKUP(E1889,Store_Dim!A:A,Store_Dim!B:B,"Not Found")</f>
        <v>North</v>
      </c>
      <c r="S1889" s="8" t="str">
        <f t="array" ref="S1889">XLOOKUP(E1889,Store_Dim!A:A,Store_Dim!D:D,"Not Found")</f>
        <v>Outlet</v>
      </c>
    </row>
    <row r="1890" ht="14.25" customHeight="1">
      <c r="A1890" s="8" t="s">
        <v>3843</v>
      </c>
      <c r="B1890" s="12">
        <v>47368.0</v>
      </c>
      <c r="C1890" s="8" t="s">
        <v>938</v>
      </c>
      <c r="D1890" s="8" t="s">
        <v>2052</v>
      </c>
      <c r="E1890" s="8" t="s">
        <v>1921</v>
      </c>
      <c r="F1890" s="8">
        <v>4.0</v>
      </c>
      <c r="G1890" s="8">
        <v>625.13</v>
      </c>
      <c r="H1890" s="8">
        <v>0.06</v>
      </c>
      <c r="I1890" s="8">
        <f t="shared" si="1"/>
        <v>2500.52</v>
      </c>
      <c r="J1890" s="8">
        <f t="shared" si="2"/>
        <v>-149.9712</v>
      </c>
      <c r="K1890" s="8" t="str">
        <f t="shared" si="3"/>
        <v>Sep</v>
      </c>
      <c r="L1890" s="8">
        <f t="shared" si="4"/>
        <v>2029</v>
      </c>
      <c r="N1890" s="8" t="str">
        <f t="array" ref="N1890">XLOOKUP(C1890,Customer_Dim!A:A,Customer_Dim!B:B,"Not Found")</f>
        <v>James Powell</v>
      </c>
      <c r="O1890" s="8" t="str">
        <f t="array" ref="O1890">XLOOKUP(C1890,Customer_Dim!A:A,Customer_Dim!E:E,"Not Found")</f>
        <v>West Beverlymouth</v>
      </c>
      <c r="P1890" s="8" t="str">
        <f t="array" ref="P1890">XLOOKUP(D1890,Product_Dim!A:A,Product_Dim!B:B,"Not Found")</f>
        <v>Not Found</v>
      </c>
      <c r="Q1890" s="8" t="str">
        <f t="array" ref="Q1890">XLOOKUP(D1890,Product_Dim!A:A,Product_Dim!C:C,"Not Found")</f>
        <v>Not Found</v>
      </c>
      <c r="R1890" s="8" t="str">
        <f t="array" ref="R1890">XLOOKUP(E1890,Store_Dim!A:A,Store_Dim!B:B,"Not Found")</f>
        <v>West</v>
      </c>
      <c r="S1890" s="8" t="str">
        <f t="array" ref="S1890">XLOOKUP(E1890,Store_Dim!A:A,Store_Dim!D:D,"Not Found")</f>
        <v>Online</v>
      </c>
    </row>
    <row r="1891" ht="14.25" customHeight="1">
      <c r="A1891" s="8" t="s">
        <v>3844</v>
      </c>
      <c r="B1891" s="12">
        <v>47369.0</v>
      </c>
      <c r="C1891" s="8" t="s">
        <v>154</v>
      </c>
      <c r="D1891" s="8" t="s">
        <v>1707</v>
      </c>
      <c r="E1891" s="8" t="s">
        <v>1939</v>
      </c>
      <c r="F1891" s="8">
        <v>4.0</v>
      </c>
      <c r="G1891" s="8">
        <v>38.38</v>
      </c>
      <c r="H1891" s="8">
        <v>0.16</v>
      </c>
      <c r="I1891" s="8">
        <f t="shared" si="1"/>
        <v>153.52</v>
      </c>
      <c r="J1891" s="8">
        <f t="shared" si="2"/>
        <v>-24.4032</v>
      </c>
      <c r="K1891" s="8" t="str">
        <f t="shared" si="3"/>
        <v>Sep</v>
      </c>
      <c r="L1891" s="8">
        <f t="shared" si="4"/>
        <v>2029</v>
      </c>
      <c r="N1891" s="8" t="str">
        <f t="array" ref="N1891">XLOOKUP(C1891,Customer_Dim!A:A,Customer_Dim!B:B,"Not Found")</f>
        <v>Thomas Phillips</v>
      </c>
      <c r="O1891" s="8" t="str">
        <f t="array" ref="O1891">XLOOKUP(C1891,Customer_Dim!A:A,Customer_Dim!E:E,"Not Found")</f>
        <v>Luisfurt</v>
      </c>
      <c r="P1891" s="8" t="str">
        <f t="array" ref="P1891">XLOOKUP(D1891,Product_Dim!A:A,Product_Dim!B:B,"Not Found")</f>
        <v>Noise-Canceling Headphones</v>
      </c>
      <c r="Q1891" s="8" t="str">
        <f t="array" ref="Q1891">XLOOKUP(D1891,Product_Dim!A:A,Product_Dim!C:C,"Not Found")</f>
        <v>Electronics</v>
      </c>
      <c r="R1891" s="8" t="str">
        <f t="array" ref="R1891">XLOOKUP(E1891,Store_Dim!A:A,Store_Dim!B:B,"Not Found")</f>
        <v>East</v>
      </c>
      <c r="S1891" s="8" t="str">
        <f t="array" ref="S1891">XLOOKUP(E1891,Store_Dim!A:A,Store_Dim!D:D,"Not Found")</f>
        <v>Flagship</v>
      </c>
    </row>
    <row r="1892" ht="14.25" customHeight="1">
      <c r="A1892" s="8" t="s">
        <v>3845</v>
      </c>
      <c r="B1892" s="12">
        <v>47370.0</v>
      </c>
      <c r="C1892" s="8" t="s">
        <v>1529</v>
      </c>
      <c r="D1892" s="8" t="s">
        <v>1872</v>
      </c>
      <c r="E1892" s="8" t="s">
        <v>1926</v>
      </c>
      <c r="F1892" s="8">
        <v>4.0</v>
      </c>
      <c r="G1892" s="8">
        <v>731.72</v>
      </c>
      <c r="H1892" s="8">
        <v>0.22</v>
      </c>
      <c r="I1892" s="8">
        <f t="shared" si="1"/>
        <v>2926.88</v>
      </c>
      <c r="J1892" s="8">
        <f t="shared" si="2"/>
        <v>-643.6936</v>
      </c>
      <c r="K1892" s="8" t="str">
        <f t="shared" si="3"/>
        <v>Sep</v>
      </c>
      <c r="L1892" s="8">
        <f t="shared" si="4"/>
        <v>2029</v>
      </c>
      <c r="N1892" s="8" t="str">
        <f t="array" ref="N1892">XLOOKUP(C1892,Customer_Dim!A:A,Customer_Dim!B:B,"Not Found")</f>
        <v>Darrell Miller</v>
      </c>
      <c r="O1892" s="8" t="str">
        <f t="array" ref="O1892">XLOOKUP(C1892,Customer_Dim!A:A,Customer_Dim!E:E,"Not Found")</f>
        <v>Port Carol</v>
      </c>
      <c r="P1892" s="8" t="str">
        <f t="array" ref="P1892">XLOOKUP(D1892,Product_Dim!A:A,Product_Dim!B:B,"Not Found")</f>
        <v>Vitamin E Body Lotion</v>
      </c>
      <c r="Q1892" s="8" t="str">
        <f t="array" ref="Q1892">XLOOKUP(D1892,Product_Dim!A:A,Product_Dim!C:C,"Not Found")</f>
        <v>Beauty</v>
      </c>
      <c r="R1892" s="8" t="str">
        <f t="array" ref="R1892">XLOOKUP(E1892,Store_Dim!A:A,Store_Dim!B:B,"Not Found")</f>
        <v>East</v>
      </c>
      <c r="S1892" s="8" t="str">
        <f t="array" ref="S1892">XLOOKUP(E1892,Store_Dim!A:A,Store_Dim!D:D,"Not Found")</f>
        <v>Online</v>
      </c>
    </row>
    <row r="1893" ht="14.25" customHeight="1">
      <c r="A1893" s="8" t="s">
        <v>3846</v>
      </c>
      <c r="B1893" s="12">
        <v>47371.0</v>
      </c>
      <c r="C1893" s="8" t="s">
        <v>1427</v>
      </c>
      <c r="D1893" s="8" t="s">
        <v>1833</v>
      </c>
      <c r="E1893" s="8" t="s">
        <v>1941</v>
      </c>
      <c r="F1893" s="8">
        <v>3.0</v>
      </c>
      <c r="G1893" s="8">
        <v>825.33</v>
      </c>
      <c r="H1893" s="8">
        <v>0.21</v>
      </c>
      <c r="I1893" s="8">
        <f t="shared" si="1"/>
        <v>2475.99</v>
      </c>
      <c r="J1893" s="8">
        <f t="shared" si="2"/>
        <v>-519.7479</v>
      </c>
      <c r="K1893" s="8" t="str">
        <f t="shared" si="3"/>
        <v>Sep</v>
      </c>
      <c r="L1893" s="8">
        <f t="shared" si="4"/>
        <v>2029</v>
      </c>
      <c r="N1893" s="8" t="str">
        <f t="array" ref="N1893">XLOOKUP(C1893,Customer_Dim!A:A,Customer_Dim!B:B,"Not Found")</f>
        <v>Christina Robertson</v>
      </c>
      <c r="O1893" s="8" t="str">
        <f t="array" ref="O1893">XLOOKUP(C1893,Customer_Dim!A:A,Customer_Dim!E:E,"Not Found")</f>
        <v>Hubbardborough</v>
      </c>
      <c r="P1893" s="8" t="str">
        <f t="array" ref="P1893">XLOOKUP(D1893,Product_Dim!A:A,Product_Dim!B:B,"Not Found")</f>
        <v>Badminton Racket Set</v>
      </c>
      <c r="Q1893" s="8" t="str">
        <f t="array" ref="Q1893">XLOOKUP(D1893,Product_Dim!A:A,Product_Dim!C:C,"Not Found")</f>
        <v>Sports</v>
      </c>
      <c r="R1893" s="8" t="str">
        <f t="array" ref="R1893">XLOOKUP(E1893,Store_Dim!A:A,Store_Dim!B:B,"Not Found")</f>
        <v>East</v>
      </c>
      <c r="S1893" s="8" t="str">
        <f t="array" ref="S1893">XLOOKUP(E1893,Store_Dim!A:A,Store_Dim!D:D,"Not Found")</f>
        <v>Online</v>
      </c>
    </row>
    <row r="1894" ht="14.25" customHeight="1">
      <c r="A1894" s="8" t="s">
        <v>3847</v>
      </c>
      <c r="B1894" s="12">
        <v>47372.0</v>
      </c>
      <c r="C1894" s="8" t="s">
        <v>231</v>
      </c>
      <c r="D1894" s="8" t="s">
        <v>1800</v>
      </c>
      <c r="E1894" s="8" t="s">
        <v>1932</v>
      </c>
      <c r="F1894" s="8">
        <v>2.0</v>
      </c>
      <c r="G1894" s="8">
        <v>47.3</v>
      </c>
      <c r="H1894" s="8">
        <v>0.01</v>
      </c>
      <c r="I1894" s="8">
        <f t="shared" si="1"/>
        <v>94.6</v>
      </c>
      <c r="J1894" s="8">
        <f t="shared" si="2"/>
        <v>-0.936</v>
      </c>
      <c r="K1894" s="8" t="str">
        <f t="shared" si="3"/>
        <v>Sep</v>
      </c>
      <c r="L1894" s="8">
        <f t="shared" si="4"/>
        <v>2029</v>
      </c>
      <c r="N1894" s="8" t="str">
        <f t="array" ref="N1894">XLOOKUP(C1894,Customer_Dim!A:A,Customer_Dim!B:B,"Not Found")</f>
        <v>Alyssa Vargas</v>
      </c>
      <c r="O1894" s="8" t="str">
        <f t="array" ref="O1894">XLOOKUP(C1894,Customer_Dim!A:A,Customer_Dim!E:E,"Not Found")</f>
        <v>New Kathrynland</v>
      </c>
      <c r="P1894" s="8" t="str">
        <f t="array" ref="P1894">XLOOKUP(D1894,Product_Dim!A:A,Product_Dim!B:B,"Not Found")</f>
        <v>Kitchen Storage Rack</v>
      </c>
      <c r="Q1894" s="8" t="str">
        <f t="array" ref="Q1894">XLOOKUP(D1894,Product_Dim!A:A,Product_Dim!C:C,"Not Found")</f>
        <v>Home</v>
      </c>
      <c r="R1894" s="8" t="str">
        <f t="array" ref="R1894">XLOOKUP(E1894,Store_Dim!A:A,Store_Dim!B:B,"Not Found")</f>
        <v>South</v>
      </c>
      <c r="S1894" s="8" t="str">
        <f t="array" ref="S1894">XLOOKUP(E1894,Store_Dim!A:A,Store_Dim!D:D,"Not Found")</f>
        <v>Outlet</v>
      </c>
    </row>
    <row r="1895" ht="14.25" customHeight="1">
      <c r="A1895" s="8" t="s">
        <v>3848</v>
      </c>
      <c r="B1895" s="12">
        <v>47373.0</v>
      </c>
      <c r="C1895" s="8" t="s">
        <v>580</v>
      </c>
      <c r="D1895" s="8" t="s">
        <v>1806</v>
      </c>
      <c r="E1895" s="8" t="s">
        <v>1937</v>
      </c>
      <c r="F1895" s="8">
        <v>1.0</v>
      </c>
      <c r="G1895" s="8">
        <v>389.12</v>
      </c>
      <c r="H1895" s="8">
        <v>0.18</v>
      </c>
      <c r="I1895" s="8">
        <f t="shared" si="1"/>
        <v>389.12</v>
      </c>
      <c r="J1895" s="8">
        <f t="shared" si="2"/>
        <v>-69.8616</v>
      </c>
      <c r="K1895" s="8" t="str">
        <f t="shared" si="3"/>
        <v>Sep</v>
      </c>
      <c r="L1895" s="8">
        <f t="shared" si="4"/>
        <v>2029</v>
      </c>
      <c r="N1895" s="8" t="str">
        <f t="array" ref="N1895">XLOOKUP(C1895,Customer_Dim!A:A,Customer_Dim!B:B,"Not Found")</f>
        <v>Amy Wilson</v>
      </c>
      <c r="O1895" s="8" t="str">
        <f t="array" ref="O1895">XLOOKUP(C1895,Customer_Dim!A:A,Customer_Dim!E:E,"Not Found")</f>
        <v>Morrisburgh</v>
      </c>
      <c r="P1895" s="8" t="str">
        <f t="array" ref="P1895">XLOOKUP(D1895,Product_Dim!A:A,Product_Dim!B:B,"Not Found")</f>
        <v>Professional Jump Rope</v>
      </c>
      <c r="Q1895" s="8" t="str">
        <f t="array" ref="Q1895">XLOOKUP(D1895,Product_Dim!A:A,Product_Dim!C:C,"Not Found")</f>
        <v>Sports</v>
      </c>
      <c r="R1895" s="8" t="str">
        <f t="array" ref="R1895">XLOOKUP(E1895,Store_Dim!A:A,Store_Dim!B:B,"Not Found")</f>
        <v>North</v>
      </c>
      <c r="S1895" s="8" t="str">
        <f t="array" ref="S1895">XLOOKUP(E1895,Store_Dim!A:A,Store_Dim!D:D,"Not Found")</f>
        <v>Flagship</v>
      </c>
    </row>
    <row r="1896" ht="14.25" customHeight="1">
      <c r="A1896" s="8" t="s">
        <v>3849</v>
      </c>
      <c r="B1896" s="12">
        <v>47374.0</v>
      </c>
      <c r="C1896" s="8" t="s">
        <v>1430</v>
      </c>
      <c r="D1896" s="8" t="s">
        <v>1836</v>
      </c>
      <c r="E1896" s="8" t="s">
        <v>1939</v>
      </c>
      <c r="F1896" s="8">
        <v>3.0</v>
      </c>
      <c r="G1896" s="8">
        <v>543.83</v>
      </c>
      <c r="H1896" s="8">
        <v>0.05</v>
      </c>
      <c r="I1896" s="8">
        <f t="shared" si="1"/>
        <v>1631.49</v>
      </c>
      <c r="J1896" s="8">
        <f t="shared" si="2"/>
        <v>-81.5245</v>
      </c>
      <c r="K1896" s="8" t="str">
        <f t="shared" si="3"/>
        <v>Sep</v>
      </c>
      <c r="L1896" s="8">
        <f t="shared" si="4"/>
        <v>2029</v>
      </c>
      <c r="N1896" s="8" t="str">
        <f t="array" ref="N1896">XLOOKUP(C1896,Customer_Dim!A:A,Customer_Dim!B:B,"Not Found")</f>
        <v>Kelly Garrett</v>
      </c>
      <c r="O1896" s="8" t="str">
        <f t="array" ref="O1896">XLOOKUP(C1896,Customer_Dim!A:A,Customer_Dim!E:E,"Not Found")</f>
        <v>Port Taylorberg</v>
      </c>
      <c r="P1896" s="8" t="str">
        <f t="array" ref="P1896">XLOOKUP(D1896,Product_Dim!A:A,Product_Dim!B:B,"Not Found")</f>
        <v>Fitness Resistance Bands</v>
      </c>
      <c r="Q1896" s="8" t="str">
        <f t="array" ref="Q1896">XLOOKUP(D1896,Product_Dim!A:A,Product_Dim!C:C,"Not Found")</f>
        <v>Sports</v>
      </c>
      <c r="R1896" s="8" t="str">
        <f t="array" ref="R1896">XLOOKUP(E1896,Store_Dim!A:A,Store_Dim!B:B,"Not Found")</f>
        <v>East</v>
      </c>
      <c r="S1896" s="8" t="str">
        <f t="array" ref="S1896">XLOOKUP(E1896,Store_Dim!A:A,Store_Dim!D:D,"Not Found")</f>
        <v>Flagship</v>
      </c>
    </row>
    <row r="1897" ht="14.25" customHeight="1">
      <c r="A1897" s="8" t="s">
        <v>3850</v>
      </c>
      <c r="B1897" s="12">
        <v>47375.0</v>
      </c>
      <c r="C1897" s="8" t="s">
        <v>113</v>
      </c>
      <c r="D1897" s="8" t="s">
        <v>1620</v>
      </c>
      <c r="E1897" s="8" t="s">
        <v>1903</v>
      </c>
      <c r="F1897" s="8">
        <v>2.0</v>
      </c>
      <c r="G1897" s="8">
        <v>660.27</v>
      </c>
      <c r="H1897" s="8">
        <v>0.01</v>
      </c>
      <c r="I1897" s="8">
        <f t="shared" si="1"/>
        <v>1320.54</v>
      </c>
      <c r="J1897" s="8">
        <f t="shared" si="2"/>
        <v>-13.1954</v>
      </c>
      <c r="K1897" s="8" t="str">
        <f t="shared" si="3"/>
        <v>Sep</v>
      </c>
      <c r="L1897" s="8">
        <f t="shared" si="4"/>
        <v>2029</v>
      </c>
      <c r="N1897" s="8" t="str">
        <f t="array" ref="N1897">XLOOKUP(C1897,Customer_Dim!A:A,Customer_Dim!B:B,"Not Found")</f>
        <v>Heather Collins</v>
      </c>
      <c r="O1897" s="8" t="str">
        <f t="array" ref="O1897">XLOOKUP(C1897,Customer_Dim!A:A,Customer_Dim!E:E,"Not Found")</f>
        <v>Rogerschester</v>
      </c>
      <c r="P1897" s="8" t="str">
        <f t="array" ref="P1897">XLOOKUP(D1897,Product_Dim!A:A,Product_Dim!B:B,"Not Found")</f>
        <v>Decorative Wall Mirror</v>
      </c>
      <c r="Q1897" s="8" t="str">
        <f t="array" ref="Q1897">XLOOKUP(D1897,Product_Dim!A:A,Product_Dim!C:C,"Not Found")</f>
        <v>Home</v>
      </c>
      <c r="R1897" s="8" t="str">
        <f t="array" ref="R1897">XLOOKUP(E1897,Store_Dim!A:A,Store_Dim!B:B,"Not Found")</f>
        <v>North</v>
      </c>
      <c r="S1897" s="8" t="str">
        <f t="array" ref="S1897">XLOOKUP(E1897,Store_Dim!A:A,Store_Dim!D:D,"Not Found")</f>
        <v>Flagship</v>
      </c>
    </row>
    <row r="1898" ht="14.25" customHeight="1">
      <c r="A1898" s="8" t="s">
        <v>3851</v>
      </c>
      <c r="B1898" s="12">
        <v>47376.0</v>
      </c>
      <c r="C1898" s="8" t="s">
        <v>1362</v>
      </c>
      <c r="D1898" s="8" t="s">
        <v>1617</v>
      </c>
      <c r="E1898" s="8" t="s">
        <v>1921</v>
      </c>
      <c r="F1898" s="8">
        <v>4.0</v>
      </c>
      <c r="G1898" s="8">
        <v>729.31</v>
      </c>
      <c r="H1898" s="8">
        <v>0.03</v>
      </c>
      <c r="I1898" s="8">
        <f t="shared" si="1"/>
        <v>2917.24</v>
      </c>
      <c r="J1898" s="8">
        <f t="shared" si="2"/>
        <v>-87.4872</v>
      </c>
      <c r="K1898" s="8" t="str">
        <f t="shared" si="3"/>
        <v>Sep</v>
      </c>
      <c r="L1898" s="8">
        <f t="shared" si="4"/>
        <v>2029</v>
      </c>
      <c r="N1898" s="8" t="str">
        <f t="array" ref="N1898">XLOOKUP(C1898,Customer_Dim!A:A,Customer_Dim!B:B,"Not Found")</f>
        <v>Monique Castro</v>
      </c>
      <c r="O1898" s="8" t="str">
        <f t="array" ref="O1898">XLOOKUP(C1898,Customer_Dim!A:A,Customer_Dim!E:E,"Not Found")</f>
        <v>New Sarah</v>
      </c>
      <c r="P1898" s="8" t="str">
        <f t="array" ref="P1898">XLOOKUP(D1898,Product_Dim!A:A,Product_Dim!B:B,"Not Found")</f>
        <v>USB-C Fast Charger</v>
      </c>
      <c r="Q1898" s="8" t="str">
        <f t="array" ref="Q1898">XLOOKUP(D1898,Product_Dim!A:A,Product_Dim!C:C,"Not Found")</f>
        <v>Electronics</v>
      </c>
      <c r="R1898" s="8" t="str">
        <f t="array" ref="R1898">XLOOKUP(E1898,Store_Dim!A:A,Store_Dim!B:B,"Not Found")</f>
        <v>West</v>
      </c>
      <c r="S1898" s="8" t="str">
        <f t="array" ref="S1898">XLOOKUP(E1898,Store_Dim!A:A,Store_Dim!D:D,"Not Found")</f>
        <v>Online</v>
      </c>
    </row>
    <row r="1899" ht="14.25" customHeight="1">
      <c r="A1899" s="8" t="s">
        <v>3852</v>
      </c>
      <c r="B1899" s="12">
        <v>47377.0</v>
      </c>
      <c r="C1899" s="8" t="s">
        <v>1323</v>
      </c>
      <c r="D1899" s="8" t="s">
        <v>1851</v>
      </c>
      <c r="E1899" s="8" t="s">
        <v>1917</v>
      </c>
      <c r="F1899" s="8">
        <v>2.0</v>
      </c>
      <c r="G1899" s="8">
        <v>152.91</v>
      </c>
      <c r="H1899" s="8">
        <v>0.24</v>
      </c>
      <c r="I1899" s="8">
        <f t="shared" si="1"/>
        <v>305.82</v>
      </c>
      <c r="J1899" s="8">
        <f t="shared" si="2"/>
        <v>-73.1568</v>
      </c>
      <c r="K1899" s="8" t="str">
        <f t="shared" si="3"/>
        <v>Sep</v>
      </c>
      <c r="L1899" s="8">
        <f t="shared" si="4"/>
        <v>2029</v>
      </c>
      <c r="N1899" s="8" t="str">
        <f t="array" ref="N1899">XLOOKUP(C1899,Customer_Dim!A:A,Customer_Dim!B:B,"Not Found")</f>
        <v>Holly Robinson</v>
      </c>
      <c r="O1899" s="8" t="str">
        <f t="array" ref="O1899">XLOOKUP(C1899,Customer_Dim!A:A,Customer_Dim!E:E,"Not Found")</f>
        <v>East Amy</v>
      </c>
      <c r="P1899" s="8" t="str">
        <f t="array" ref="P1899">XLOOKUP(D1899,Product_Dim!A:A,Product_Dim!B:B,"Not Found")</f>
        <v>LED Bedside Lamp</v>
      </c>
      <c r="Q1899" s="8" t="str">
        <f t="array" ref="Q1899">XLOOKUP(D1899,Product_Dim!A:A,Product_Dim!C:C,"Not Found")</f>
        <v>Home</v>
      </c>
      <c r="R1899" s="8" t="str">
        <f t="array" ref="R1899">XLOOKUP(E1899,Store_Dim!A:A,Store_Dim!B:B,"Not Found")</f>
        <v>East</v>
      </c>
      <c r="S1899" s="8" t="str">
        <f t="array" ref="S1899">XLOOKUP(E1899,Store_Dim!A:A,Store_Dim!D:D,"Not Found")</f>
        <v>Online</v>
      </c>
    </row>
    <row r="1900" ht="14.25" customHeight="1">
      <c r="A1900" s="8" t="s">
        <v>3853</v>
      </c>
      <c r="B1900" s="12">
        <v>47378.0</v>
      </c>
      <c r="C1900" s="8" t="s">
        <v>1438</v>
      </c>
      <c r="D1900" s="8" t="s">
        <v>1812</v>
      </c>
      <c r="E1900" s="8" t="s">
        <v>1933</v>
      </c>
      <c r="F1900" s="8">
        <v>4.0</v>
      </c>
      <c r="G1900" s="8">
        <v>592.14</v>
      </c>
      <c r="H1900" s="8">
        <v>0.12</v>
      </c>
      <c r="I1900" s="8">
        <f t="shared" si="1"/>
        <v>2368.56</v>
      </c>
      <c r="J1900" s="8">
        <f t="shared" si="2"/>
        <v>-284.1072</v>
      </c>
      <c r="K1900" s="8" t="str">
        <f t="shared" si="3"/>
        <v>Sep</v>
      </c>
      <c r="L1900" s="8">
        <f t="shared" si="4"/>
        <v>2029</v>
      </c>
      <c r="N1900" s="8" t="str">
        <f t="array" ref="N1900">XLOOKUP(C1900,Customer_Dim!A:A,Customer_Dim!B:B,"Not Found")</f>
        <v>Paul Cox</v>
      </c>
      <c r="O1900" s="8" t="str">
        <f t="array" ref="O1900">XLOOKUP(C1900,Customer_Dim!A:A,Customer_Dim!E:E,"Not Found")</f>
        <v>East Julie</v>
      </c>
      <c r="P1900" s="8" t="str">
        <f t="array" ref="P1900">XLOOKUP(D1900,Product_Dim!A:A,Product_Dim!B:B,"Not Found")</f>
        <v>Bluetooth Car Audio System</v>
      </c>
      <c r="Q1900" s="8" t="str">
        <f t="array" ref="Q1900">XLOOKUP(D1900,Product_Dim!A:A,Product_Dim!C:C,"Not Found")</f>
        <v>Electronics</v>
      </c>
      <c r="R1900" s="8" t="str">
        <f t="array" ref="R1900">XLOOKUP(E1900,Store_Dim!A:A,Store_Dim!B:B,"Not Found")</f>
        <v>North</v>
      </c>
      <c r="S1900" s="8" t="str">
        <f t="array" ref="S1900">XLOOKUP(E1900,Store_Dim!A:A,Store_Dim!D:D,"Not Found")</f>
        <v>Flagship</v>
      </c>
    </row>
    <row r="1901" ht="14.25" customHeight="1">
      <c r="A1901" s="8" t="s">
        <v>3854</v>
      </c>
      <c r="B1901" s="12">
        <v>47379.0</v>
      </c>
      <c r="C1901" s="8" t="s">
        <v>240</v>
      </c>
      <c r="D1901" s="8" t="s">
        <v>1824</v>
      </c>
      <c r="E1901" s="8" t="s">
        <v>1929</v>
      </c>
      <c r="F1901" s="8">
        <v>1.0</v>
      </c>
      <c r="G1901" s="8">
        <v>984.37</v>
      </c>
      <c r="H1901" s="8">
        <v>0.0</v>
      </c>
      <c r="I1901" s="8">
        <f t="shared" si="1"/>
        <v>984.37</v>
      </c>
      <c r="J1901" s="8">
        <f t="shared" si="2"/>
        <v>0</v>
      </c>
      <c r="K1901" s="8" t="str">
        <f t="shared" si="3"/>
        <v>Sep</v>
      </c>
      <c r="L1901" s="8">
        <f t="shared" si="4"/>
        <v>2029</v>
      </c>
      <c r="N1901" s="8" t="str">
        <f t="array" ref="N1901">XLOOKUP(C1901,Customer_Dim!A:A,Customer_Dim!B:B,"Not Found")</f>
        <v>James Bean</v>
      </c>
      <c r="O1901" s="8" t="str">
        <f t="array" ref="O1901">XLOOKUP(C1901,Customer_Dim!A:A,Customer_Dim!E:E,"Not Found")</f>
        <v>Stevensonton</v>
      </c>
      <c r="P1901" s="8" t="str">
        <f t="array" ref="P1901">XLOOKUP(D1901,Product_Dim!A:A,Product_Dim!B:B,"Not Found")</f>
        <v>Essential Oil Diffuser</v>
      </c>
      <c r="Q1901" s="8" t="str">
        <f t="array" ref="Q1901">XLOOKUP(D1901,Product_Dim!A:A,Product_Dim!C:C,"Not Found")</f>
        <v>Home</v>
      </c>
      <c r="R1901" s="8" t="str">
        <f t="array" ref="R1901">XLOOKUP(E1901,Store_Dim!A:A,Store_Dim!B:B,"Not Found")</f>
        <v>North</v>
      </c>
      <c r="S1901" s="8" t="str">
        <f t="array" ref="S1901">XLOOKUP(E1901,Store_Dim!A:A,Store_Dim!D:D,"Not Found")</f>
        <v>Online</v>
      </c>
    </row>
    <row r="1902" ht="14.25" customHeight="1">
      <c r="A1902" s="8" t="s">
        <v>3855</v>
      </c>
      <c r="B1902" s="12">
        <v>47380.0</v>
      </c>
      <c r="C1902" s="8" t="s">
        <v>941</v>
      </c>
      <c r="D1902" s="8" t="s">
        <v>1567</v>
      </c>
      <c r="E1902" s="8" t="s">
        <v>1929</v>
      </c>
      <c r="F1902" s="8">
        <v>2.0</v>
      </c>
      <c r="G1902" s="8">
        <v>237.59</v>
      </c>
      <c r="H1902" s="8">
        <v>0.12</v>
      </c>
      <c r="I1902" s="8">
        <f t="shared" si="1"/>
        <v>475.18</v>
      </c>
      <c r="J1902" s="8">
        <f t="shared" si="2"/>
        <v>-56.9016</v>
      </c>
      <c r="K1902" s="8" t="str">
        <f t="shared" si="3"/>
        <v>Sep</v>
      </c>
      <c r="L1902" s="8">
        <f t="shared" si="4"/>
        <v>2029</v>
      </c>
      <c r="N1902" s="8" t="str">
        <f t="array" ref="N1902">XLOOKUP(C1902,Customer_Dim!A:A,Customer_Dim!B:B,"Not Found")</f>
        <v>Ricardo Jones</v>
      </c>
      <c r="O1902" s="8" t="str">
        <f t="array" ref="O1902">XLOOKUP(C1902,Customer_Dim!A:A,Customer_Dim!E:E,"Not Found")</f>
        <v>Danielland</v>
      </c>
      <c r="P1902" s="8" t="str">
        <f t="array" ref="P1902">XLOOKUP(D1902,Product_Dim!A:A,Product_Dim!B:B,"Not Found")</f>
        <v>Men's Graphic T-Shirt</v>
      </c>
      <c r="Q1902" s="8" t="str">
        <f t="array" ref="Q1902">XLOOKUP(D1902,Product_Dim!A:A,Product_Dim!C:C,"Not Found")</f>
        <v>Clothing</v>
      </c>
      <c r="R1902" s="8" t="str">
        <f t="array" ref="R1902">XLOOKUP(E1902,Store_Dim!A:A,Store_Dim!B:B,"Not Found")</f>
        <v>North</v>
      </c>
      <c r="S1902" s="8" t="str">
        <f t="array" ref="S1902">XLOOKUP(E1902,Store_Dim!A:A,Store_Dim!D:D,"Not Found")</f>
        <v>Online</v>
      </c>
    </row>
    <row r="1903" ht="14.25" customHeight="1">
      <c r="A1903" s="8" t="s">
        <v>3856</v>
      </c>
      <c r="B1903" s="12">
        <v>47381.0</v>
      </c>
      <c r="C1903" s="8" t="s">
        <v>1353</v>
      </c>
      <c r="D1903" s="8" t="s">
        <v>1659</v>
      </c>
      <c r="E1903" s="8" t="s">
        <v>1921</v>
      </c>
      <c r="F1903" s="8">
        <v>1.0</v>
      </c>
      <c r="G1903" s="8">
        <v>52.06</v>
      </c>
      <c r="H1903" s="8">
        <v>0.27</v>
      </c>
      <c r="I1903" s="8">
        <f t="shared" si="1"/>
        <v>52.06</v>
      </c>
      <c r="J1903" s="8">
        <f t="shared" si="2"/>
        <v>-13.7862</v>
      </c>
      <c r="K1903" s="8" t="str">
        <f t="shared" si="3"/>
        <v>Sep</v>
      </c>
      <c r="L1903" s="8">
        <f t="shared" si="4"/>
        <v>2029</v>
      </c>
      <c r="N1903" s="8" t="str">
        <f t="array" ref="N1903">XLOOKUP(C1903,Customer_Dim!A:A,Customer_Dim!B:B,"Not Found")</f>
        <v>John Smith</v>
      </c>
      <c r="O1903" s="8" t="str">
        <f t="array" ref="O1903">XLOOKUP(C1903,Customer_Dim!A:A,Customer_Dim!E:E,"Not Found")</f>
        <v>South Andrewport</v>
      </c>
      <c r="P1903" s="8" t="str">
        <f t="array" ref="P1903">XLOOKUP(D1903,Product_Dim!A:A,Product_Dim!B:B,"Not Found")</f>
        <v>Women's Scarf Set</v>
      </c>
      <c r="Q1903" s="8" t="str">
        <f t="array" ref="Q1903">XLOOKUP(D1903,Product_Dim!A:A,Product_Dim!C:C,"Not Found")</f>
        <v>Clothing</v>
      </c>
      <c r="R1903" s="8" t="str">
        <f t="array" ref="R1903">XLOOKUP(E1903,Store_Dim!A:A,Store_Dim!B:B,"Not Found")</f>
        <v>West</v>
      </c>
      <c r="S1903" s="8" t="str">
        <f t="array" ref="S1903">XLOOKUP(E1903,Store_Dim!A:A,Store_Dim!D:D,"Not Found")</f>
        <v>Online</v>
      </c>
    </row>
    <row r="1904" ht="14.25" customHeight="1">
      <c r="A1904" s="8" t="s">
        <v>3857</v>
      </c>
      <c r="B1904" s="12">
        <v>47382.0</v>
      </c>
      <c r="C1904" s="8" t="s">
        <v>1421</v>
      </c>
      <c r="D1904" s="8" t="s">
        <v>2052</v>
      </c>
      <c r="E1904" s="8" t="s">
        <v>1903</v>
      </c>
      <c r="F1904" s="8">
        <v>2.0</v>
      </c>
      <c r="G1904" s="8">
        <v>594.63</v>
      </c>
      <c r="H1904" s="8">
        <v>0.12</v>
      </c>
      <c r="I1904" s="8">
        <f t="shared" si="1"/>
        <v>1189.26</v>
      </c>
      <c r="J1904" s="8">
        <f t="shared" si="2"/>
        <v>-142.5912</v>
      </c>
      <c r="K1904" s="8" t="str">
        <f t="shared" si="3"/>
        <v>Sep</v>
      </c>
      <c r="L1904" s="8">
        <f t="shared" si="4"/>
        <v>2029</v>
      </c>
      <c r="N1904" s="8" t="str">
        <f t="array" ref="N1904">XLOOKUP(C1904,Customer_Dim!A:A,Customer_Dim!B:B,"Not Found")</f>
        <v>Tyler Weber</v>
      </c>
      <c r="O1904" s="8" t="str">
        <f t="array" ref="O1904">XLOOKUP(C1904,Customer_Dim!A:A,Customer_Dim!E:E,"Not Found")</f>
        <v>East Yvette</v>
      </c>
      <c r="P1904" s="8" t="str">
        <f t="array" ref="P1904">XLOOKUP(D1904,Product_Dim!A:A,Product_Dim!B:B,"Not Found")</f>
        <v>Not Found</v>
      </c>
      <c r="Q1904" s="8" t="str">
        <f t="array" ref="Q1904">XLOOKUP(D1904,Product_Dim!A:A,Product_Dim!C:C,"Not Found")</f>
        <v>Not Found</v>
      </c>
      <c r="R1904" s="8" t="str">
        <f t="array" ref="R1904">XLOOKUP(E1904,Store_Dim!A:A,Store_Dim!B:B,"Not Found")</f>
        <v>North</v>
      </c>
      <c r="S1904" s="8" t="str">
        <f t="array" ref="S1904">XLOOKUP(E1904,Store_Dim!A:A,Store_Dim!D:D,"Not Found")</f>
        <v>Flagship</v>
      </c>
    </row>
    <row r="1905" ht="14.25" customHeight="1">
      <c r="A1905" s="8" t="s">
        <v>3858</v>
      </c>
      <c r="B1905" s="12">
        <v>47383.0</v>
      </c>
      <c r="C1905" s="8" t="s">
        <v>568</v>
      </c>
      <c r="D1905" s="8" t="s">
        <v>2052</v>
      </c>
      <c r="E1905" s="8" t="s">
        <v>1899</v>
      </c>
      <c r="F1905" s="8">
        <v>3.0</v>
      </c>
      <c r="G1905" s="8">
        <v>476.1</v>
      </c>
      <c r="H1905" s="8">
        <v>0.05</v>
      </c>
      <c r="I1905" s="8">
        <f t="shared" si="1"/>
        <v>1428.3</v>
      </c>
      <c r="J1905" s="8">
        <f t="shared" si="2"/>
        <v>-71.365</v>
      </c>
      <c r="K1905" s="8" t="str">
        <f t="shared" si="3"/>
        <v>Sep</v>
      </c>
      <c r="L1905" s="8">
        <f t="shared" si="4"/>
        <v>2029</v>
      </c>
      <c r="N1905" s="8" t="str">
        <f t="array" ref="N1905">XLOOKUP(C1905,Customer_Dim!A:A,Customer_Dim!B:B,"Not Found")</f>
        <v>Antonio Wade</v>
      </c>
      <c r="O1905" s="8" t="str">
        <f t="array" ref="O1905">XLOOKUP(C1905,Customer_Dim!A:A,Customer_Dim!E:E,"Not Found")</f>
        <v>New Jasonmouth</v>
      </c>
      <c r="P1905" s="8" t="str">
        <f t="array" ref="P1905">XLOOKUP(D1905,Product_Dim!A:A,Product_Dim!B:B,"Not Found")</f>
        <v>Not Found</v>
      </c>
      <c r="Q1905" s="8" t="str">
        <f t="array" ref="Q1905">XLOOKUP(D1905,Product_Dim!A:A,Product_Dim!C:C,"Not Found")</f>
        <v>Not Found</v>
      </c>
      <c r="R1905" s="8" t="str">
        <f t="array" ref="R1905">XLOOKUP(E1905,Store_Dim!A:A,Store_Dim!B:B,"Not Found")</f>
        <v>East</v>
      </c>
      <c r="S1905" s="8" t="str">
        <f t="array" ref="S1905">XLOOKUP(E1905,Store_Dim!A:A,Store_Dim!D:D,"Not Found")</f>
        <v>Flagship</v>
      </c>
    </row>
    <row r="1906" ht="14.25" customHeight="1">
      <c r="A1906" s="8" t="s">
        <v>3859</v>
      </c>
      <c r="B1906" s="12">
        <v>47384.0</v>
      </c>
      <c r="C1906" s="8" t="s">
        <v>237</v>
      </c>
      <c r="D1906" s="8" t="s">
        <v>1772</v>
      </c>
      <c r="E1906" s="8" t="s">
        <v>1917</v>
      </c>
      <c r="F1906" s="8">
        <v>1.0</v>
      </c>
      <c r="G1906" s="8">
        <v>546.47</v>
      </c>
      <c r="H1906" s="8">
        <v>0.08</v>
      </c>
      <c r="I1906" s="8">
        <f t="shared" si="1"/>
        <v>546.47</v>
      </c>
      <c r="J1906" s="8">
        <f t="shared" si="2"/>
        <v>-43.6376</v>
      </c>
      <c r="K1906" s="8" t="str">
        <f t="shared" si="3"/>
        <v>Sep</v>
      </c>
      <c r="L1906" s="8">
        <f t="shared" si="4"/>
        <v>2029</v>
      </c>
      <c r="N1906" s="8" t="str">
        <f t="array" ref="N1906">XLOOKUP(C1906,Customer_Dim!A:A,Customer_Dim!B:B,"Not Found")</f>
        <v>Kristin Stein</v>
      </c>
      <c r="O1906" s="8" t="str">
        <f t="array" ref="O1906">XLOOKUP(C1906,Customer_Dim!A:A,Customer_Dim!E:E,"Not Found")</f>
        <v>Jennifermouth</v>
      </c>
      <c r="P1906" s="8" t="str">
        <f t="array" ref="P1906">XLOOKUP(D1906,Product_Dim!A:A,Product_Dim!B:B,"Not Found")</f>
        <v>Tennis Ball 3-Pack</v>
      </c>
      <c r="Q1906" s="8" t="str">
        <f t="array" ref="Q1906">XLOOKUP(D1906,Product_Dim!A:A,Product_Dim!C:C,"Not Found")</f>
        <v>Sports</v>
      </c>
      <c r="R1906" s="8" t="str">
        <f t="array" ref="R1906">XLOOKUP(E1906,Store_Dim!A:A,Store_Dim!B:B,"Not Found")</f>
        <v>East</v>
      </c>
      <c r="S1906" s="8" t="str">
        <f t="array" ref="S1906">XLOOKUP(E1906,Store_Dim!A:A,Store_Dim!D:D,"Not Found")</f>
        <v>Online</v>
      </c>
    </row>
    <row r="1907" ht="14.25" customHeight="1">
      <c r="A1907" s="8" t="s">
        <v>3860</v>
      </c>
      <c r="B1907" s="12">
        <v>47385.0</v>
      </c>
      <c r="C1907" s="8" t="s">
        <v>594</v>
      </c>
      <c r="D1907" s="8" t="s">
        <v>1815</v>
      </c>
      <c r="E1907" s="8" t="s">
        <v>1929</v>
      </c>
      <c r="F1907" s="8">
        <v>1.0</v>
      </c>
      <c r="G1907" s="8">
        <v>979.49</v>
      </c>
      <c r="H1907" s="8">
        <v>0.19</v>
      </c>
      <c r="I1907" s="8">
        <f t="shared" si="1"/>
        <v>979.49</v>
      </c>
      <c r="J1907" s="8">
        <f t="shared" si="2"/>
        <v>-185.9131</v>
      </c>
      <c r="K1907" s="8" t="str">
        <f t="shared" si="3"/>
        <v>Sep</v>
      </c>
      <c r="L1907" s="8">
        <f t="shared" si="4"/>
        <v>2029</v>
      </c>
      <c r="N1907" s="8" t="str">
        <f t="array" ref="N1907">XLOOKUP(C1907,Customer_Dim!A:A,Customer_Dim!B:B,"Not Found")</f>
        <v>John Bradford</v>
      </c>
      <c r="O1907" s="8" t="str">
        <f t="array" ref="O1907">XLOOKUP(C1907,Customer_Dim!A:A,Customer_Dim!E:E,"Not Found")</f>
        <v>Anabury</v>
      </c>
      <c r="P1907" s="8" t="str">
        <f t="array" ref="P1907">XLOOKUP(D1907,Product_Dim!A:A,Product_Dim!B:B,"Not Found")</f>
        <v>Women's Ankle Boots</v>
      </c>
      <c r="Q1907" s="8" t="str">
        <f t="array" ref="Q1907">XLOOKUP(D1907,Product_Dim!A:A,Product_Dim!C:C,"Not Found")</f>
        <v>Clothing</v>
      </c>
      <c r="R1907" s="8" t="str">
        <f t="array" ref="R1907">XLOOKUP(E1907,Store_Dim!A:A,Store_Dim!B:B,"Not Found")</f>
        <v>North</v>
      </c>
      <c r="S1907" s="8" t="str">
        <f t="array" ref="S1907">XLOOKUP(E1907,Store_Dim!A:A,Store_Dim!D:D,"Not Found")</f>
        <v>Online</v>
      </c>
    </row>
    <row r="1908" ht="14.25" customHeight="1">
      <c r="A1908" s="8" t="s">
        <v>3861</v>
      </c>
      <c r="B1908" s="12">
        <v>47386.0</v>
      </c>
      <c r="C1908" s="8" t="s">
        <v>646</v>
      </c>
      <c r="D1908" s="8" t="s">
        <v>1632</v>
      </c>
      <c r="E1908" s="8" t="s">
        <v>1906</v>
      </c>
      <c r="F1908" s="8">
        <v>3.0</v>
      </c>
      <c r="G1908" s="8">
        <v>988.53</v>
      </c>
      <c r="H1908" s="8">
        <v>0.3</v>
      </c>
      <c r="I1908" s="8">
        <f t="shared" si="1"/>
        <v>2965.59</v>
      </c>
      <c r="J1908" s="8">
        <f t="shared" si="2"/>
        <v>-889.377</v>
      </c>
      <c r="K1908" s="8" t="str">
        <f t="shared" si="3"/>
        <v>Sep</v>
      </c>
      <c r="L1908" s="8">
        <f t="shared" si="4"/>
        <v>2029</v>
      </c>
      <c r="N1908" s="8" t="str">
        <f t="array" ref="N1908">XLOOKUP(C1908,Customer_Dim!A:A,Customer_Dim!B:B,"Not Found")</f>
        <v>David Roberts</v>
      </c>
      <c r="O1908" s="8" t="str">
        <f t="array" ref="O1908">XLOOKUP(C1908,Customer_Dim!A:A,Customer_Dim!E:E,"Not Found")</f>
        <v>Port Amanda</v>
      </c>
      <c r="P1908" s="8" t="str">
        <f t="array" ref="P1908">XLOOKUP(D1908,Product_Dim!A:A,Product_Dim!B:B,"Not Found")</f>
        <v>Soccer Training Cone Set</v>
      </c>
      <c r="Q1908" s="8" t="str">
        <f t="array" ref="Q1908">XLOOKUP(D1908,Product_Dim!A:A,Product_Dim!C:C,"Not Found")</f>
        <v>Sports</v>
      </c>
      <c r="R1908" s="8" t="str">
        <f t="array" ref="R1908">XLOOKUP(E1908,Store_Dim!A:A,Store_Dim!B:B,"Not Found")</f>
        <v>South</v>
      </c>
      <c r="S1908" s="8" t="str">
        <f t="array" ref="S1908">XLOOKUP(E1908,Store_Dim!A:A,Store_Dim!D:D,"Not Found")</f>
        <v>Outlet</v>
      </c>
    </row>
    <row r="1909" ht="14.25" customHeight="1">
      <c r="A1909" s="8" t="s">
        <v>3862</v>
      </c>
      <c r="B1909" s="12">
        <v>47387.0</v>
      </c>
      <c r="C1909" s="8" t="s">
        <v>830</v>
      </c>
      <c r="D1909" s="8" t="s">
        <v>1818</v>
      </c>
      <c r="E1909" s="8" t="s">
        <v>1910</v>
      </c>
      <c r="F1909" s="8">
        <v>4.0</v>
      </c>
      <c r="G1909" s="8">
        <v>849.29</v>
      </c>
      <c r="H1909" s="8">
        <v>0.26</v>
      </c>
      <c r="I1909" s="8">
        <f t="shared" si="1"/>
        <v>3397.16</v>
      </c>
      <c r="J1909" s="8">
        <f t="shared" si="2"/>
        <v>-883.0016</v>
      </c>
      <c r="K1909" s="8" t="str">
        <f t="shared" si="3"/>
        <v>Sep</v>
      </c>
      <c r="L1909" s="8">
        <f t="shared" si="4"/>
        <v>2029</v>
      </c>
      <c r="N1909" s="8" t="str">
        <f t="array" ref="N1909">XLOOKUP(C1909,Customer_Dim!A:A,Customer_Dim!B:B,"Not Found")</f>
        <v>Damon Perez</v>
      </c>
      <c r="O1909" s="8" t="str">
        <f t="array" ref="O1909">XLOOKUP(C1909,Customer_Dim!A:A,Customer_Dim!E:E,"Not Found")</f>
        <v>Jasonton</v>
      </c>
      <c r="P1909" s="8" t="str">
        <f t="array" ref="P1909">XLOOKUP(D1909,Product_Dim!A:A,Product_Dim!B:B,"Not Found")</f>
        <v>Wireless Mouse</v>
      </c>
      <c r="Q1909" s="8" t="str">
        <f t="array" ref="Q1909">XLOOKUP(D1909,Product_Dim!A:A,Product_Dim!C:C,"Not Found")</f>
        <v>Electronics</v>
      </c>
      <c r="R1909" s="8" t="str">
        <f t="array" ref="R1909">XLOOKUP(E1909,Store_Dim!A:A,Store_Dim!B:B,"Not Found")</f>
        <v>North</v>
      </c>
      <c r="S1909" s="8" t="str">
        <f t="array" ref="S1909">XLOOKUP(E1909,Store_Dim!A:A,Store_Dim!D:D,"Not Found")</f>
        <v>Outlet</v>
      </c>
    </row>
    <row r="1910" ht="14.25" customHeight="1">
      <c r="A1910" s="8" t="s">
        <v>3863</v>
      </c>
      <c r="B1910" s="12">
        <v>47388.0</v>
      </c>
      <c r="C1910" s="8" t="s">
        <v>1092</v>
      </c>
      <c r="D1910" s="8" t="s">
        <v>1875</v>
      </c>
      <c r="E1910" s="8" t="s">
        <v>1932</v>
      </c>
      <c r="F1910" s="8">
        <v>2.0</v>
      </c>
      <c r="G1910" s="8">
        <v>452.29</v>
      </c>
      <c r="H1910" s="8">
        <v>0.01</v>
      </c>
      <c r="I1910" s="8">
        <f t="shared" si="1"/>
        <v>904.58</v>
      </c>
      <c r="J1910" s="8">
        <f t="shared" si="2"/>
        <v>-9.0358</v>
      </c>
      <c r="K1910" s="8" t="str">
        <f t="shared" si="3"/>
        <v>Sep</v>
      </c>
      <c r="L1910" s="8">
        <f t="shared" si="4"/>
        <v>2029</v>
      </c>
      <c r="N1910" s="8" t="str">
        <f t="array" ref="N1910">XLOOKUP(C1910,Customer_Dim!A:A,Customer_Dim!B:B,"Not Found")</f>
        <v>Ryan Moore</v>
      </c>
      <c r="O1910" s="8" t="str">
        <f t="array" ref="O1910">XLOOKUP(C1910,Customer_Dim!A:A,Customer_Dim!E:E,"Not Found")</f>
        <v>Cartershire</v>
      </c>
      <c r="P1910" s="8" t="str">
        <f t="array" ref="P1910">XLOOKUP(D1910,Product_Dim!A:A,Product_Dim!B:B,"Not Found")</f>
        <v>Sports Stopwatch Basic</v>
      </c>
      <c r="Q1910" s="8" t="str">
        <f t="array" ref="Q1910">XLOOKUP(D1910,Product_Dim!A:A,Product_Dim!C:C,"Not Found")</f>
        <v>Sports</v>
      </c>
      <c r="R1910" s="8" t="str">
        <f t="array" ref="R1910">XLOOKUP(E1910,Store_Dim!A:A,Store_Dim!B:B,"Not Found")</f>
        <v>South</v>
      </c>
      <c r="S1910" s="8" t="str">
        <f t="array" ref="S1910">XLOOKUP(E1910,Store_Dim!A:A,Store_Dim!D:D,"Not Found")</f>
        <v>Outlet</v>
      </c>
    </row>
    <row r="1911" ht="14.25" customHeight="1">
      <c r="A1911" s="8" t="s">
        <v>3864</v>
      </c>
      <c r="B1911" s="12">
        <v>47389.0</v>
      </c>
      <c r="C1911" s="8" t="s">
        <v>1393</v>
      </c>
      <c r="D1911" s="8" t="s">
        <v>1751</v>
      </c>
      <c r="E1911" s="8" t="s">
        <v>1939</v>
      </c>
      <c r="F1911" s="8">
        <v>2.0</v>
      </c>
      <c r="G1911" s="8">
        <v>810.81</v>
      </c>
      <c r="H1911" s="8">
        <v>0.11</v>
      </c>
      <c r="I1911" s="8">
        <f t="shared" si="1"/>
        <v>1621.62</v>
      </c>
      <c r="J1911" s="8">
        <f t="shared" si="2"/>
        <v>-178.2682</v>
      </c>
      <c r="K1911" s="8" t="str">
        <f t="shared" si="3"/>
        <v>Sep</v>
      </c>
      <c r="L1911" s="8">
        <f t="shared" si="4"/>
        <v>2029</v>
      </c>
      <c r="N1911" s="8" t="str">
        <f t="array" ref="N1911">XLOOKUP(C1911,Customer_Dim!A:A,Customer_Dim!B:B,"Not Found")</f>
        <v>Gene Lee</v>
      </c>
      <c r="O1911" s="8" t="str">
        <f t="array" ref="O1911">XLOOKUP(C1911,Customer_Dim!A:A,Customer_Dim!E:E,"Not Found")</f>
        <v>Mcfarlandmouth</v>
      </c>
      <c r="P1911" s="8" t="str">
        <f t="array" ref="P1911">XLOOKUP(D1911,Product_Dim!A:A,Product_Dim!B:B,"Not Found")</f>
        <v>Sports Stopwatch Pro</v>
      </c>
      <c r="Q1911" s="8" t="str">
        <f t="array" ref="Q1911">XLOOKUP(D1911,Product_Dim!A:A,Product_Dim!C:C,"Not Found")</f>
        <v>Sports</v>
      </c>
      <c r="R1911" s="8" t="str">
        <f t="array" ref="R1911">XLOOKUP(E1911,Store_Dim!A:A,Store_Dim!B:B,"Not Found")</f>
        <v>East</v>
      </c>
      <c r="S1911" s="8" t="str">
        <f t="array" ref="S1911">XLOOKUP(E1911,Store_Dim!A:A,Store_Dim!D:D,"Not Found")</f>
        <v>Flagship</v>
      </c>
    </row>
    <row r="1912" ht="14.25" customHeight="1">
      <c r="A1912" s="8" t="s">
        <v>3865</v>
      </c>
      <c r="B1912" s="12">
        <v>47390.0</v>
      </c>
      <c r="C1912" s="8" t="s">
        <v>137</v>
      </c>
      <c r="D1912" s="8" t="s">
        <v>1772</v>
      </c>
      <c r="E1912" s="8" t="s">
        <v>1921</v>
      </c>
      <c r="F1912" s="8">
        <v>1.0</v>
      </c>
      <c r="G1912" s="8">
        <v>846.67</v>
      </c>
      <c r="H1912" s="8">
        <v>0.1</v>
      </c>
      <c r="I1912" s="8">
        <f t="shared" si="1"/>
        <v>846.67</v>
      </c>
      <c r="J1912" s="8">
        <f t="shared" si="2"/>
        <v>-84.567</v>
      </c>
      <c r="K1912" s="8" t="str">
        <f t="shared" si="3"/>
        <v>Sep</v>
      </c>
      <c r="L1912" s="8">
        <f t="shared" si="4"/>
        <v>2029</v>
      </c>
      <c r="N1912" s="8" t="str">
        <f t="array" ref="N1912">XLOOKUP(C1912,Customer_Dim!A:A,Customer_Dim!B:B,"Not Found")</f>
        <v>Sarah Vance</v>
      </c>
      <c r="O1912" s="8" t="str">
        <f t="array" ref="O1912">XLOOKUP(C1912,Customer_Dim!A:A,Customer_Dim!E:E,"Not Found")</f>
        <v>Johnsonville</v>
      </c>
      <c r="P1912" s="8" t="str">
        <f t="array" ref="P1912">XLOOKUP(D1912,Product_Dim!A:A,Product_Dim!B:B,"Not Found")</f>
        <v>Tennis Ball 3-Pack</v>
      </c>
      <c r="Q1912" s="8" t="str">
        <f t="array" ref="Q1912">XLOOKUP(D1912,Product_Dim!A:A,Product_Dim!C:C,"Not Found")</f>
        <v>Sports</v>
      </c>
      <c r="R1912" s="8" t="str">
        <f t="array" ref="R1912">XLOOKUP(E1912,Store_Dim!A:A,Store_Dim!B:B,"Not Found")</f>
        <v>West</v>
      </c>
      <c r="S1912" s="8" t="str">
        <f t="array" ref="S1912">XLOOKUP(E1912,Store_Dim!A:A,Store_Dim!D:D,"Not Found")</f>
        <v>Online</v>
      </c>
    </row>
    <row r="1913" ht="14.25" customHeight="1">
      <c r="A1913" s="8" t="s">
        <v>3866</v>
      </c>
      <c r="B1913" s="12">
        <v>47391.0</v>
      </c>
      <c r="C1913" s="8" t="s">
        <v>87</v>
      </c>
      <c r="D1913" s="8" t="s">
        <v>1655</v>
      </c>
      <c r="E1913" s="8" t="s">
        <v>1917</v>
      </c>
      <c r="F1913" s="8">
        <v>4.0</v>
      </c>
      <c r="G1913" s="8">
        <v>73.55</v>
      </c>
      <c r="H1913" s="8">
        <v>0.24</v>
      </c>
      <c r="I1913" s="8">
        <f t="shared" si="1"/>
        <v>294.2</v>
      </c>
      <c r="J1913" s="8">
        <f t="shared" si="2"/>
        <v>-70.368</v>
      </c>
      <c r="K1913" s="8" t="str">
        <f t="shared" si="3"/>
        <v>Sep</v>
      </c>
      <c r="L1913" s="8">
        <f t="shared" si="4"/>
        <v>2029</v>
      </c>
      <c r="N1913" s="8" t="str">
        <f t="array" ref="N1913">XLOOKUP(C1913,Customer_Dim!A:A,Customer_Dim!B:B,"Not Found")</f>
        <v>Adam Cruz</v>
      </c>
      <c r="O1913" s="8" t="str">
        <f t="array" ref="O1913">XLOOKUP(C1913,Customer_Dim!A:A,Customer_Dim!E:E,"Not Found")</f>
        <v>Brandonville</v>
      </c>
      <c r="P1913" s="8" t="str">
        <f t="array" ref="P1913">XLOOKUP(D1913,Product_Dim!A:A,Product_Dim!B:B,"Not Found")</f>
        <v>Foldable Camping Chair</v>
      </c>
      <c r="Q1913" s="8" t="str">
        <f t="array" ref="Q1913">XLOOKUP(D1913,Product_Dim!A:A,Product_Dim!C:C,"Not Found")</f>
        <v>Sports</v>
      </c>
      <c r="R1913" s="8" t="str">
        <f t="array" ref="R1913">XLOOKUP(E1913,Store_Dim!A:A,Store_Dim!B:B,"Not Found")</f>
        <v>East</v>
      </c>
      <c r="S1913" s="8" t="str">
        <f t="array" ref="S1913">XLOOKUP(E1913,Store_Dim!A:A,Store_Dim!D:D,"Not Found")</f>
        <v>Online</v>
      </c>
    </row>
    <row r="1914" ht="14.25" customHeight="1">
      <c r="A1914" s="8" t="s">
        <v>3867</v>
      </c>
      <c r="B1914" s="12">
        <v>47392.0</v>
      </c>
      <c r="C1914" s="8" t="s">
        <v>899</v>
      </c>
      <c r="D1914" s="8" t="s">
        <v>1866</v>
      </c>
      <c r="E1914" s="8" t="s">
        <v>1917</v>
      </c>
      <c r="F1914" s="8">
        <v>1.0</v>
      </c>
      <c r="G1914" s="8">
        <v>882.03</v>
      </c>
      <c r="H1914" s="8">
        <v>0.04</v>
      </c>
      <c r="I1914" s="8">
        <f t="shared" si="1"/>
        <v>882.03</v>
      </c>
      <c r="J1914" s="8">
        <f t="shared" si="2"/>
        <v>-35.2412</v>
      </c>
      <c r="K1914" s="8" t="str">
        <f t="shared" si="3"/>
        <v>Oct</v>
      </c>
      <c r="L1914" s="8">
        <f t="shared" si="4"/>
        <v>2029</v>
      </c>
      <c r="N1914" s="8" t="str">
        <f t="array" ref="N1914">XLOOKUP(C1914,Customer_Dim!A:A,Customer_Dim!B:B,"Not Found")</f>
        <v>Stephen Fowler</v>
      </c>
      <c r="O1914" s="8" t="str">
        <f t="array" ref="O1914">XLOOKUP(C1914,Customer_Dim!A:A,Customer_Dim!E:E,"Not Found")</f>
        <v>Port Mariastad</v>
      </c>
      <c r="P1914" s="8" t="str">
        <f t="array" ref="P1914">XLOOKUP(D1914,Product_Dim!A:A,Product_Dim!B:B,"Not Found")</f>
        <v>Microwave Oven</v>
      </c>
      <c r="Q1914" s="8" t="str">
        <f t="array" ref="Q1914">XLOOKUP(D1914,Product_Dim!A:A,Product_Dim!C:C,"Not Found")</f>
        <v>Home</v>
      </c>
      <c r="R1914" s="8" t="str">
        <f t="array" ref="R1914">XLOOKUP(E1914,Store_Dim!A:A,Store_Dim!B:B,"Not Found")</f>
        <v>East</v>
      </c>
      <c r="S1914" s="8" t="str">
        <f t="array" ref="S1914">XLOOKUP(E1914,Store_Dim!A:A,Store_Dim!D:D,"Not Found")</f>
        <v>Online</v>
      </c>
    </row>
    <row r="1915" ht="14.25" customHeight="1">
      <c r="A1915" s="8" t="s">
        <v>3868</v>
      </c>
      <c r="B1915" s="12">
        <v>47393.0</v>
      </c>
      <c r="C1915" s="8" t="s">
        <v>52</v>
      </c>
      <c r="D1915" s="8" t="s">
        <v>1649</v>
      </c>
      <c r="E1915" s="8" t="s">
        <v>1932</v>
      </c>
      <c r="F1915" s="8">
        <v>1.0</v>
      </c>
      <c r="G1915" s="8">
        <v>958.44</v>
      </c>
      <c r="H1915" s="8">
        <v>0.21</v>
      </c>
      <c r="I1915" s="8">
        <f t="shared" si="1"/>
        <v>958.44</v>
      </c>
      <c r="J1915" s="8">
        <f t="shared" si="2"/>
        <v>-201.0624</v>
      </c>
      <c r="K1915" s="8" t="str">
        <f t="shared" si="3"/>
        <v>Oct</v>
      </c>
      <c r="L1915" s="8">
        <f t="shared" si="4"/>
        <v>2029</v>
      </c>
      <c r="N1915" s="8" t="str">
        <f t="array" ref="N1915">XLOOKUP(C1915,Customer_Dim!A:A,Customer_Dim!B:B,"Not Found")</f>
        <v>Melissa Howard</v>
      </c>
      <c r="O1915" s="8" t="str">
        <f t="array" ref="O1915">XLOOKUP(C1915,Customer_Dim!A:A,Customer_Dim!E:E,"Not Found")</f>
        <v>Maynardton</v>
      </c>
      <c r="P1915" s="8" t="str">
        <f t="array" ref="P1915">XLOOKUP(D1915,Product_Dim!A:A,Product_Dim!B:B,"Not Found")</f>
        <v>Carbon Fiber Tennis Racket</v>
      </c>
      <c r="Q1915" s="8" t="str">
        <f t="array" ref="Q1915">XLOOKUP(D1915,Product_Dim!A:A,Product_Dim!C:C,"Not Found")</f>
        <v>Sports</v>
      </c>
      <c r="R1915" s="8" t="str">
        <f t="array" ref="R1915">XLOOKUP(E1915,Store_Dim!A:A,Store_Dim!B:B,"Not Found")</f>
        <v>South</v>
      </c>
      <c r="S1915" s="8" t="str">
        <f t="array" ref="S1915">XLOOKUP(E1915,Store_Dim!A:A,Store_Dim!D:D,"Not Found")</f>
        <v>Outlet</v>
      </c>
    </row>
    <row r="1916" ht="14.25" customHeight="1">
      <c r="A1916" s="8" t="s">
        <v>3869</v>
      </c>
      <c r="B1916" s="12">
        <v>47394.0</v>
      </c>
      <c r="C1916" s="8" t="s">
        <v>52</v>
      </c>
      <c r="D1916" s="8" t="s">
        <v>1887</v>
      </c>
      <c r="E1916" s="8" t="s">
        <v>1906</v>
      </c>
      <c r="F1916" s="8">
        <v>1.0</v>
      </c>
      <c r="G1916" s="8">
        <v>716.29</v>
      </c>
      <c r="H1916" s="8">
        <v>0.01</v>
      </c>
      <c r="I1916" s="8">
        <f t="shared" si="1"/>
        <v>716.29</v>
      </c>
      <c r="J1916" s="8">
        <f t="shared" si="2"/>
        <v>-7.1529</v>
      </c>
      <c r="K1916" s="8" t="str">
        <f t="shared" si="3"/>
        <v>Oct</v>
      </c>
      <c r="L1916" s="8">
        <f t="shared" si="4"/>
        <v>2029</v>
      </c>
      <c r="N1916" s="8" t="str">
        <f t="array" ref="N1916">XLOOKUP(C1916,Customer_Dim!A:A,Customer_Dim!B:B,"Not Found")</f>
        <v>Melissa Howard</v>
      </c>
      <c r="O1916" s="8" t="str">
        <f t="array" ref="O1916">XLOOKUP(C1916,Customer_Dim!A:A,Customer_Dim!E:E,"Not Found")</f>
        <v>Maynardton</v>
      </c>
      <c r="P1916" s="8" t="str">
        <f t="array" ref="P1916">XLOOKUP(D1916,Product_Dim!A:A,Product_Dim!B:B,"Not Found")</f>
        <v>Stainless Steel Cookware Set</v>
      </c>
      <c r="Q1916" s="8" t="str">
        <f t="array" ref="Q1916">XLOOKUP(D1916,Product_Dim!A:A,Product_Dim!C:C,"Not Found")</f>
        <v>Home</v>
      </c>
      <c r="R1916" s="8" t="str">
        <f t="array" ref="R1916">XLOOKUP(E1916,Store_Dim!A:A,Store_Dim!B:B,"Not Found")</f>
        <v>South</v>
      </c>
      <c r="S1916" s="8" t="str">
        <f t="array" ref="S1916">XLOOKUP(E1916,Store_Dim!A:A,Store_Dim!D:D,"Not Found")</f>
        <v>Outlet</v>
      </c>
    </row>
    <row r="1917" ht="14.25" customHeight="1">
      <c r="A1917" s="8" t="s">
        <v>3870</v>
      </c>
      <c r="B1917" s="12">
        <v>47395.0</v>
      </c>
      <c r="C1917" s="8" t="s">
        <v>1032</v>
      </c>
      <c r="D1917" s="8" t="s">
        <v>1601</v>
      </c>
      <c r="E1917" s="8" t="s">
        <v>1935</v>
      </c>
      <c r="F1917" s="8">
        <v>2.0</v>
      </c>
      <c r="G1917" s="8">
        <v>409.14</v>
      </c>
      <c r="H1917" s="8">
        <v>0.01</v>
      </c>
      <c r="I1917" s="8">
        <f t="shared" si="1"/>
        <v>818.28</v>
      </c>
      <c r="J1917" s="8">
        <f t="shared" si="2"/>
        <v>-8.1728</v>
      </c>
      <c r="K1917" s="8" t="str">
        <f t="shared" si="3"/>
        <v>Oct</v>
      </c>
      <c r="L1917" s="8">
        <f t="shared" si="4"/>
        <v>2029</v>
      </c>
      <c r="N1917" s="8" t="str">
        <f t="array" ref="N1917">XLOOKUP(C1917,Customer_Dim!A:A,Customer_Dim!B:B,"Not Found")</f>
        <v>Kristy Dunlap</v>
      </c>
      <c r="O1917" s="8" t="str">
        <f t="array" ref="O1917">XLOOKUP(C1917,Customer_Dim!A:A,Customer_Dim!E:E,"Not Found")</f>
        <v>Whiteport</v>
      </c>
      <c r="P1917" s="8" t="str">
        <f t="array" ref="P1917">XLOOKUP(D1917,Product_Dim!A:A,Product_Dim!B:B,"Not Found")</f>
        <v>Adjustable Dumbbell Set</v>
      </c>
      <c r="Q1917" s="8" t="str">
        <f t="array" ref="Q1917">XLOOKUP(D1917,Product_Dim!A:A,Product_Dim!C:C,"Not Found")</f>
        <v>Sports</v>
      </c>
      <c r="R1917" s="8" t="str">
        <f t="array" ref="R1917">XLOOKUP(E1917,Store_Dim!A:A,Store_Dim!B:B,"Not Found")</f>
        <v>West</v>
      </c>
      <c r="S1917" s="8" t="str">
        <f t="array" ref="S1917">XLOOKUP(E1917,Store_Dim!A:A,Store_Dim!D:D,"Not Found")</f>
        <v>Flagship</v>
      </c>
    </row>
    <row r="1918" ht="14.25" customHeight="1">
      <c r="A1918" s="8" t="s">
        <v>3871</v>
      </c>
      <c r="B1918" s="12">
        <v>47396.0</v>
      </c>
      <c r="C1918" s="8" t="s">
        <v>314</v>
      </c>
      <c r="D1918" s="8" t="s">
        <v>1887</v>
      </c>
      <c r="E1918" s="8" t="s">
        <v>1924</v>
      </c>
      <c r="F1918" s="8">
        <v>4.0</v>
      </c>
      <c r="G1918" s="8">
        <v>261.73</v>
      </c>
      <c r="H1918" s="8">
        <v>0.1</v>
      </c>
      <c r="I1918" s="8">
        <f t="shared" si="1"/>
        <v>1046.92</v>
      </c>
      <c r="J1918" s="8">
        <f t="shared" si="2"/>
        <v>-104.592</v>
      </c>
      <c r="K1918" s="8" t="str">
        <f t="shared" si="3"/>
        <v>Oct</v>
      </c>
      <c r="L1918" s="8">
        <f t="shared" si="4"/>
        <v>2029</v>
      </c>
      <c r="N1918" s="8" t="str">
        <f t="array" ref="N1918">XLOOKUP(C1918,Customer_Dim!A:A,Customer_Dim!B:B,"Not Found")</f>
        <v>Christy Hoffman</v>
      </c>
      <c r="O1918" s="8" t="str">
        <f t="array" ref="O1918">XLOOKUP(C1918,Customer_Dim!A:A,Customer_Dim!E:E,"Not Found")</f>
        <v>Garyberg</v>
      </c>
      <c r="P1918" s="8" t="str">
        <f t="array" ref="P1918">XLOOKUP(D1918,Product_Dim!A:A,Product_Dim!B:B,"Not Found")</f>
        <v>Stainless Steel Cookware Set</v>
      </c>
      <c r="Q1918" s="8" t="str">
        <f t="array" ref="Q1918">XLOOKUP(D1918,Product_Dim!A:A,Product_Dim!C:C,"Not Found")</f>
        <v>Home</v>
      </c>
      <c r="R1918" s="8" t="str">
        <f t="array" ref="R1918">XLOOKUP(E1918,Store_Dim!A:A,Store_Dim!B:B,"Not Found")</f>
        <v>South</v>
      </c>
      <c r="S1918" s="8" t="str">
        <f t="array" ref="S1918">XLOOKUP(E1918,Store_Dim!A:A,Store_Dim!D:D,"Not Found")</f>
        <v>Flagship</v>
      </c>
    </row>
    <row r="1919" ht="14.25" customHeight="1">
      <c r="A1919" s="8" t="s">
        <v>3872</v>
      </c>
      <c r="B1919" s="12">
        <v>47397.0</v>
      </c>
      <c r="C1919" s="8" t="s">
        <v>1453</v>
      </c>
      <c r="D1919" s="8" t="s">
        <v>1613</v>
      </c>
      <c r="E1919" s="8" t="s">
        <v>1899</v>
      </c>
      <c r="F1919" s="8">
        <v>2.0</v>
      </c>
      <c r="G1919" s="8">
        <v>687.35</v>
      </c>
      <c r="H1919" s="8">
        <v>0.2</v>
      </c>
      <c r="I1919" s="8">
        <f t="shared" si="1"/>
        <v>1374.7</v>
      </c>
      <c r="J1919" s="8">
        <f t="shared" si="2"/>
        <v>-274.74</v>
      </c>
      <c r="K1919" s="8" t="str">
        <f t="shared" si="3"/>
        <v>Oct</v>
      </c>
      <c r="L1919" s="8">
        <f t="shared" si="4"/>
        <v>2029</v>
      </c>
      <c r="N1919" s="8" t="str">
        <f t="array" ref="N1919">XLOOKUP(C1919,Customer_Dim!A:A,Customer_Dim!B:B,"Not Found")</f>
        <v>Cynthia Parrish</v>
      </c>
      <c r="O1919" s="8" t="str">
        <f t="array" ref="O1919">XLOOKUP(C1919,Customer_Dim!A:A,Customer_Dim!E:E,"Not Found")</f>
        <v>Espinozaberg</v>
      </c>
      <c r="P1919" s="8" t="str">
        <f t="array" ref="P1919">XLOOKUP(D1919,Product_Dim!A:A,Product_Dim!B:B,"Not Found")</f>
        <v>Hair Strengthening Shampoo</v>
      </c>
      <c r="Q1919" s="8" t="str">
        <f t="array" ref="Q1919">XLOOKUP(D1919,Product_Dim!A:A,Product_Dim!C:C,"Not Found")</f>
        <v>Beauty</v>
      </c>
      <c r="R1919" s="8" t="str">
        <f t="array" ref="R1919">XLOOKUP(E1919,Store_Dim!A:A,Store_Dim!B:B,"Not Found")</f>
        <v>East</v>
      </c>
      <c r="S1919" s="8" t="str">
        <f t="array" ref="S1919">XLOOKUP(E1919,Store_Dim!A:A,Store_Dim!D:D,"Not Found")</f>
        <v>Flagship</v>
      </c>
    </row>
    <row r="1920" ht="14.25" customHeight="1">
      <c r="A1920" s="8" t="s">
        <v>3873</v>
      </c>
      <c r="B1920" s="12">
        <v>47398.0</v>
      </c>
      <c r="C1920" s="8" t="s">
        <v>687</v>
      </c>
      <c r="D1920" s="8" t="s">
        <v>1842</v>
      </c>
      <c r="E1920" s="8" t="s">
        <v>1921</v>
      </c>
      <c r="F1920" s="8">
        <v>2.0</v>
      </c>
      <c r="G1920" s="8">
        <v>30.14</v>
      </c>
      <c r="H1920" s="8">
        <v>0.21</v>
      </c>
      <c r="I1920" s="8">
        <f t="shared" si="1"/>
        <v>60.28</v>
      </c>
      <c r="J1920" s="8">
        <f t="shared" si="2"/>
        <v>-12.4488</v>
      </c>
      <c r="K1920" s="8" t="str">
        <f t="shared" si="3"/>
        <v>Oct</v>
      </c>
      <c r="L1920" s="8">
        <f t="shared" si="4"/>
        <v>2029</v>
      </c>
      <c r="N1920" s="8" t="str">
        <f t="array" ref="N1920">XLOOKUP(C1920,Customer_Dim!A:A,Customer_Dim!B:B,"Not Found")</f>
        <v>Jacqueline Pacheco</v>
      </c>
      <c r="O1920" s="8" t="str">
        <f t="array" ref="O1920">XLOOKUP(C1920,Customer_Dim!A:A,Customer_Dim!E:E,"Not Found")</f>
        <v>South Emily</v>
      </c>
      <c r="P1920" s="8" t="str">
        <f t="array" ref="P1920">XLOOKUP(D1920,Product_Dim!A:A,Product_Dim!B:B,"Not Found")</f>
        <v>Wooden Bookshelf</v>
      </c>
      <c r="Q1920" s="8" t="str">
        <f t="array" ref="Q1920">XLOOKUP(D1920,Product_Dim!A:A,Product_Dim!C:C,"Not Found")</f>
        <v>Home</v>
      </c>
      <c r="R1920" s="8" t="str">
        <f t="array" ref="R1920">XLOOKUP(E1920,Store_Dim!A:A,Store_Dim!B:B,"Not Found")</f>
        <v>West</v>
      </c>
      <c r="S1920" s="8" t="str">
        <f t="array" ref="S1920">XLOOKUP(E1920,Store_Dim!A:A,Store_Dim!D:D,"Not Found")</f>
        <v>Online</v>
      </c>
    </row>
    <row r="1921" ht="14.25" customHeight="1">
      <c r="A1921" s="8" t="s">
        <v>3874</v>
      </c>
      <c r="B1921" s="12">
        <v>47399.0</v>
      </c>
      <c r="C1921" s="8" t="s">
        <v>363</v>
      </c>
      <c r="D1921" s="8" t="s">
        <v>1687</v>
      </c>
      <c r="E1921" s="8" t="s">
        <v>1921</v>
      </c>
      <c r="F1921" s="8">
        <v>3.0</v>
      </c>
      <c r="G1921" s="8">
        <v>570.12</v>
      </c>
      <c r="H1921" s="8">
        <v>0.12</v>
      </c>
      <c r="I1921" s="8">
        <f t="shared" si="1"/>
        <v>1710.36</v>
      </c>
      <c r="J1921" s="8">
        <f t="shared" si="2"/>
        <v>-205.1232</v>
      </c>
      <c r="K1921" s="8" t="str">
        <f t="shared" si="3"/>
        <v>Oct</v>
      </c>
      <c r="L1921" s="8">
        <f t="shared" si="4"/>
        <v>2029</v>
      </c>
      <c r="N1921" s="8" t="str">
        <f t="array" ref="N1921">XLOOKUP(C1921,Customer_Dim!A:A,Customer_Dim!B:B,"Not Found")</f>
        <v>Sheila Wilson</v>
      </c>
      <c r="O1921" s="8" t="str">
        <f t="array" ref="O1921">XLOOKUP(C1921,Customer_Dim!A:A,Customer_Dim!E:E,"Not Found")</f>
        <v>South Dustin</v>
      </c>
      <c r="P1921" s="8" t="str">
        <f t="array" ref="P1921">XLOOKUP(D1921,Product_Dim!A:A,Product_Dim!B:B,"Not Found")</f>
        <v>Gaming Mechanical Keyboard</v>
      </c>
      <c r="Q1921" s="8" t="str">
        <f t="array" ref="Q1921">XLOOKUP(D1921,Product_Dim!A:A,Product_Dim!C:C,"Not Found")</f>
        <v>Electronics</v>
      </c>
      <c r="R1921" s="8" t="str">
        <f t="array" ref="R1921">XLOOKUP(E1921,Store_Dim!A:A,Store_Dim!B:B,"Not Found")</f>
        <v>West</v>
      </c>
      <c r="S1921" s="8" t="str">
        <f t="array" ref="S1921">XLOOKUP(E1921,Store_Dim!A:A,Store_Dim!D:D,"Not Found")</f>
        <v>Online</v>
      </c>
    </row>
    <row r="1922" ht="14.25" customHeight="1">
      <c r="A1922" s="8" t="s">
        <v>3875</v>
      </c>
      <c r="B1922" s="12">
        <v>47400.0</v>
      </c>
      <c r="C1922" s="8" t="s">
        <v>908</v>
      </c>
      <c r="D1922" s="8" t="s">
        <v>1821</v>
      </c>
      <c r="E1922" s="8" t="s">
        <v>1941</v>
      </c>
      <c r="F1922" s="8">
        <v>3.0</v>
      </c>
      <c r="G1922" s="8">
        <v>401.87</v>
      </c>
      <c r="H1922" s="8">
        <v>0.29</v>
      </c>
      <c r="I1922" s="8">
        <f t="shared" si="1"/>
        <v>1205.61</v>
      </c>
      <c r="J1922" s="8">
        <f t="shared" si="2"/>
        <v>-349.3369</v>
      </c>
      <c r="K1922" s="8" t="str">
        <f t="shared" si="3"/>
        <v>Oct</v>
      </c>
      <c r="L1922" s="8">
        <f t="shared" si="4"/>
        <v>2029</v>
      </c>
      <c r="N1922" s="8" t="str">
        <f t="array" ref="N1922">XLOOKUP(C1922,Customer_Dim!A:A,Customer_Dim!B:B,"Not Found")</f>
        <v>Brittany Watson</v>
      </c>
      <c r="O1922" s="8" t="str">
        <f t="array" ref="O1922">XLOOKUP(C1922,Customer_Dim!A:A,Customer_Dim!E:E,"Not Found")</f>
        <v>North Joshualand</v>
      </c>
      <c r="P1922" s="8" t="str">
        <f t="array" ref="P1922">XLOOKUP(D1922,Product_Dim!A:A,Product_Dim!B:B,"Not Found")</f>
        <v>WiFi Mesh Router</v>
      </c>
      <c r="Q1922" s="8" t="str">
        <f t="array" ref="Q1922">XLOOKUP(D1922,Product_Dim!A:A,Product_Dim!C:C,"Not Found")</f>
        <v>Electronics</v>
      </c>
      <c r="R1922" s="8" t="str">
        <f t="array" ref="R1922">XLOOKUP(E1922,Store_Dim!A:A,Store_Dim!B:B,"Not Found")</f>
        <v>East</v>
      </c>
      <c r="S1922" s="8" t="str">
        <f t="array" ref="S1922">XLOOKUP(E1922,Store_Dim!A:A,Store_Dim!D:D,"Not Found")</f>
        <v>Online</v>
      </c>
    </row>
    <row r="1923" ht="14.25" customHeight="1">
      <c r="A1923" s="8" t="s">
        <v>3876</v>
      </c>
      <c r="B1923" s="12">
        <v>47401.0</v>
      </c>
      <c r="C1923" s="8" t="s">
        <v>1540</v>
      </c>
      <c r="D1923" s="8" t="s">
        <v>1827</v>
      </c>
      <c r="E1923" s="8" t="s">
        <v>1929</v>
      </c>
      <c r="F1923" s="8">
        <v>4.0</v>
      </c>
      <c r="G1923" s="8">
        <v>619.35</v>
      </c>
      <c r="H1923" s="8">
        <v>0.3</v>
      </c>
      <c r="I1923" s="8">
        <f t="shared" si="1"/>
        <v>2477.4</v>
      </c>
      <c r="J1923" s="8">
        <f t="shared" si="2"/>
        <v>-742.92</v>
      </c>
      <c r="K1923" s="8" t="str">
        <f t="shared" si="3"/>
        <v>Oct</v>
      </c>
      <c r="L1923" s="8">
        <f t="shared" si="4"/>
        <v>2029</v>
      </c>
      <c r="N1923" s="8" t="str">
        <f t="array" ref="N1923">XLOOKUP(C1923,Customer_Dim!A:A,Customer_Dim!B:B,"Not Found")</f>
        <v>Christopher Ford</v>
      </c>
      <c r="O1923" s="8" t="str">
        <f t="array" ref="O1923">XLOOKUP(C1923,Customer_Dim!A:A,Customer_Dim!E:E,"Not Found")</f>
        <v>North Seanfurt</v>
      </c>
      <c r="P1923" s="8" t="str">
        <f t="array" ref="P1923">XLOOKUP(D1923,Product_Dim!A:A,Product_Dim!B:B,"Not Found")</f>
        <v>Decorative Lamp Shade</v>
      </c>
      <c r="Q1923" s="8" t="str">
        <f t="array" ref="Q1923">XLOOKUP(D1923,Product_Dim!A:A,Product_Dim!C:C,"Not Found")</f>
        <v>Home</v>
      </c>
      <c r="R1923" s="8" t="str">
        <f t="array" ref="R1923">XLOOKUP(E1923,Store_Dim!A:A,Store_Dim!B:B,"Not Found")</f>
        <v>North</v>
      </c>
      <c r="S1923" s="8" t="str">
        <f t="array" ref="S1923">XLOOKUP(E1923,Store_Dim!A:A,Store_Dim!D:D,"Not Found")</f>
        <v>Online</v>
      </c>
    </row>
    <row r="1924" ht="14.25" customHeight="1">
      <c r="A1924" s="8" t="s">
        <v>3877</v>
      </c>
      <c r="B1924" s="12">
        <v>47402.0</v>
      </c>
      <c r="C1924" s="8" t="s">
        <v>806</v>
      </c>
      <c r="D1924" s="8" t="s">
        <v>1725</v>
      </c>
      <c r="E1924" s="8" t="s">
        <v>1937</v>
      </c>
      <c r="F1924" s="8">
        <v>4.0</v>
      </c>
      <c r="G1924" s="8">
        <v>569.36</v>
      </c>
      <c r="H1924" s="8">
        <v>0.27</v>
      </c>
      <c r="I1924" s="8">
        <f t="shared" si="1"/>
        <v>2277.44</v>
      </c>
      <c r="J1924" s="8">
        <f t="shared" si="2"/>
        <v>-614.6388</v>
      </c>
      <c r="K1924" s="8" t="str">
        <f t="shared" si="3"/>
        <v>Oct</v>
      </c>
      <c r="L1924" s="8">
        <f t="shared" si="4"/>
        <v>2029</v>
      </c>
      <c r="N1924" s="8" t="str">
        <f t="array" ref="N1924">XLOOKUP(C1924,Customer_Dim!A:A,Customer_Dim!B:B,"Not Found")</f>
        <v>Douglas Rhodes</v>
      </c>
      <c r="O1924" s="8" t="str">
        <f t="array" ref="O1924">XLOOKUP(C1924,Customer_Dim!A:A,Customer_Dim!E:E,"Not Found")</f>
        <v>Mikehaven</v>
      </c>
      <c r="P1924" s="8" t="str">
        <f t="array" ref="P1924">XLOOKUP(D1924,Product_Dim!A:A,Product_Dim!B:B,"Not Found")</f>
        <v>Men's Winter Jacket</v>
      </c>
      <c r="Q1924" s="8" t="str">
        <f t="array" ref="Q1924">XLOOKUP(D1924,Product_Dim!A:A,Product_Dim!C:C,"Not Found")</f>
        <v>Clothing</v>
      </c>
      <c r="R1924" s="8" t="str">
        <f t="array" ref="R1924">XLOOKUP(E1924,Store_Dim!A:A,Store_Dim!B:B,"Not Found")</f>
        <v>North</v>
      </c>
      <c r="S1924" s="8" t="str">
        <f t="array" ref="S1924">XLOOKUP(E1924,Store_Dim!A:A,Store_Dim!D:D,"Not Found")</f>
        <v>Flagship</v>
      </c>
    </row>
    <row r="1925" ht="14.25" customHeight="1">
      <c r="A1925" s="8" t="s">
        <v>3878</v>
      </c>
      <c r="B1925" s="12">
        <v>47403.0</v>
      </c>
      <c r="C1925" s="8" t="s">
        <v>1482</v>
      </c>
      <c r="D1925" s="8" t="s">
        <v>1665</v>
      </c>
      <c r="E1925" s="8" t="s">
        <v>1912</v>
      </c>
      <c r="F1925" s="8">
        <v>2.0</v>
      </c>
      <c r="G1925" s="8">
        <v>846.35</v>
      </c>
      <c r="H1925" s="8">
        <v>0.3</v>
      </c>
      <c r="I1925" s="8">
        <f t="shared" si="1"/>
        <v>1692.7</v>
      </c>
      <c r="J1925" s="8">
        <f t="shared" si="2"/>
        <v>-507.51</v>
      </c>
      <c r="K1925" s="8" t="str">
        <f t="shared" si="3"/>
        <v>Oct</v>
      </c>
      <c r="L1925" s="8">
        <f t="shared" si="4"/>
        <v>2029</v>
      </c>
      <c r="N1925" s="8" t="str">
        <f t="array" ref="N1925">XLOOKUP(C1925,Customer_Dim!A:A,Customer_Dim!B:B,"Not Found")</f>
        <v>Elizabeth Foster</v>
      </c>
      <c r="O1925" s="8" t="str">
        <f t="array" ref="O1925">XLOOKUP(C1925,Customer_Dim!A:A,Customer_Dim!E:E,"Not Found")</f>
        <v>Anthonymouth</v>
      </c>
      <c r="P1925" s="8" t="str">
        <f t="array" ref="P1925">XLOOKUP(D1925,Product_Dim!A:A,Product_Dim!B:B,"Not Found")</f>
        <v>Decorative Floor Vase</v>
      </c>
      <c r="Q1925" s="8" t="str">
        <f t="array" ref="Q1925">XLOOKUP(D1925,Product_Dim!A:A,Product_Dim!C:C,"Not Found")</f>
        <v>Home</v>
      </c>
      <c r="R1925" s="8" t="str">
        <f t="array" ref="R1925">XLOOKUP(E1925,Store_Dim!A:A,Store_Dim!B:B,"Not Found")</f>
        <v>South</v>
      </c>
      <c r="S1925" s="8" t="str">
        <f t="array" ref="S1925">XLOOKUP(E1925,Store_Dim!A:A,Store_Dim!D:D,"Not Found")</f>
        <v>Online</v>
      </c>
    </row>
    <row r="1926" ht="14.25" customHeight="1">
      <c r="A1926" s="8" t="s">
        <v>3879</v>
      </c>
      <c r="B1926" s="12">
        <v>47404.0</v>
      </c>
      <c r="C1926" s="8" t="s">
        <v>1362</v>
      </c>
      <c r="D1926" s="8" t="s">
        <v>1674</v>
      </c>
      <c r="E1926" s="8" t="s">
        <v>1906</v>
      </c>
      <c r="F1926" s="8">
        <v>1.0</v>
      </c>
      <c r="G1926" s="8">
        <v>788.45</v>
      </c>
      <c r="H1926" s="8">
        <v>0.29</v>
      </c>
      <c r="I1926" s="8">
        <f t="shared" si="1"/>
        <v>788.45</v>
      </c>
      <c r="J1926" s="8">
        <f t="shared" si="2"/>
        <v>-228.3605</v>
      </c>
      <c r="K1926" s="8" t="str">
        <f t="shared" si="3"/>
        <v>Oct</v>
      </c>
      <c r="L1926" s="8">
        <f t="shared" si="4"/>
        <v>2029</v>
      </c>
      <c r="N1926" s="8" t="str">
        <f t="array" ref="N1926">XLOOKUP(C1926,Customer_Dim!A:A,Customer_Dim!B:B,"Not Found")</f>
        <v>Monique Castro</v>
      </c>
      <c r="O1926" s="8" t="str">
        <f t="array" ref="O1926">XLOOKUP(C1926,Customer_Dim!A:A,Customer_Dim!E:E,"Not Found")</f>
        <v>New Sarah</v>
      </c>
      <c r="P1926" s="8" t="str">
        <f t="array" ref="P1926">XLOOKUP(D1926,Product_Dim!A:A,Product_Dim!B:B,"Not Found")</f>
        <v>Stainless Steel Cutlery Set</v>
      </c>
      <c r="Q1926" s="8" t="str">
        <f t="array" ref="Q1926">XLOOKUP(D1926,Product_Dim!A:A,Product_Dim!C:C,"Not Found")</f>
        <v>Home</v>
      </c>
      <c r="R1926" s="8" t="str">
        <f t="array" ref="R1926">XLOOKUP(E1926,Store_Dim!A:A,Store_Dim!B:B,"Not Found")</f>
        <v>South</v>
      </c>
      <c r="S1926" s="8" t="str">
        <f t="array" ref="S1926">XLOOKUP(E1926,Store_Dim!A:A,Store_Dim!D:D,"Not Found")</f>
        <v>Outlet</v>
      </c>
    </row>
    <row r="1927" ht="14.25" customHeight="1">
      <c r="A1927" s="8" t="s">
        <v>3880</v>
      </c>
      <c r="B1927" s="12">
        <v>47405.0</v>
      </c>
      <c r="C1927" s="8" t="s">
        <v>1143</v>
      </c>
      <c r="D1927" s="8" t="s">
        <v>1690</v>
      </c>
      <c r="E1927" s="8" t="s">
        <v>1929</v>
      </c>
      <c r="F1927" s="8">
        <v>2.0</v>
      </c>
      <c r="G1927" s="8">
        <v>338.81</v>
      </c>
      <c r="H1927" s="8">
        <v>0.07</v>
      </c>
      <c r="I1927" s="8">
        <f t="shared" si="1"/>
        <v>677.62</v>
      </c>
      <c r="J1927" s="8">
        <f t="shared" si="2"/>
        <v>-47.3634</v>
      </c>
      <c r="K1927" s="8" t="str">
        <f t="shared" si="3"/>
        <v>Oct</v>
      </c>
      <c r="L1927" s="8">
        <f t="shared" si="4"/>
        <v>2029</v>
      </c>
      <c r="N1927" s="8" t="str">
        <f t="array" ref="N1927">XLOOKUP(C1927,Customer_Dim!A:A,Customer_Dim!B:B,"Not Found")</f>
        <v>Denise Tate</v>
      </c>
      <c r="O1927" s="8" t="str">
        <f t="array" ref="O1927">XLOOKUP(C1927,Customer_Dim!A:A,Customer_Dim!E:E,"Not Found")</f>
        <v>Andersonside</v>
      </c>
      <c r="P1927" s="8" t="str">
        <f t="array" ref="P1927">XLOOKUP(D1927,Product_Dim!A:A,Product_Dim!B:B,"Not Found")</f>
        <v>Bedroom Table Lamp</v>
      </c>
      <c r="Q1927" s="8" t="str">
        <f t="array" ref="Q1927">XLOOKUP(D1927,Product_Dim!A:A,Product_Dim!C:C,"Not Found")</f>
        <v>Home</v>
      </c>
      <c r="R1927" s="8" t="str">
        <f t="array" ref="R1927">XLOOKUP(E1927,Store_Dim!A:A,Store_Dim!B:B,"Not Found")</f>
        <v>North</v>
      </c>
      <c r="S1927" s="8" t="str">
        <f t="array" ref="S1927">XLOOKUP(E1927,Store_Dim!A:A,Store_Dim!D:D,"Not Found")</f>
        <v>Online</v>
      </c>
    </row>
    <row r="1928" ht="14.25" customHeight="1">
      <c r="A1928" s="8" t="s">
        <v>3881</v>
      </c>
      <c r="B1928" s="12">
        <v>47406.0</v>
      </c>
      <c r="C1928" s="8" t="s">
        <v>120</v>
      </c>
      <c r="D1928" s="8" t="s">
        <v>1620</v>
      </c>
      <c r="E1928" s="8" t="s">
        <v>1915</v>
      </c>
      <c r="F1928" s="8">
        <v>4.0</v>
      </c>
      <c r="G1928" s="8">
        <v>94.48</v>
      </c>
      <c r="H1928" s="8">
        <v>0.06</v>
      </c>
      <c r="I1928" s="8">
        <f t="shared" si="1"/>
        <v>377.92</v>
      </c>
      <c r="J1928" s="8">
        <f t="shared" si="2"/>
        <v>-22.6152</v>
      </c>
      <c r="K1928" s="8" t="str">
        <f t="shared" si="3"/>
        <v>Oct</v>
      </c>
      <c r="L1928" s="8">
        <f t="shared" si="4"/>
        <v>2029</v>
      </c>
      <c r="N1928" s="8" t="str">
        <f t="array" ref="N1928">XLOOKUP(C1928,Customer_Dim!A:A,Customer_Dim!B:B,"Not Found")</f>
        <v>Amber Carlson</v>
      </c>
      <c r="O1928" s="8" t="str">
        <f t="array" ref="O1928">XLOOKUP(C1928,Customer_Dim!A:A,Customer_Dim!E:E,"Not Found")</f>
        <v>East Michellemouth</v>
      </c>
      <c r="P1928" s="8" t="str">
        <f t="array" ref="P1928">XLOOKUP(D1928,Product_Dim!A:A,Product_Dim!B:B,"Not Found")</f>
        <v>Decorative Wall Mirror</v>
      </c>
      <c r="Q1928" s="8" t="str">
        <f t="array" ref="Q1928">XLOOKUP(D1928,Product_Dim!A:A,Product_Dim!C:C,"Not Found")</f>
        <v>Home</v>
      </c>
      <c r="R1928" s="8" t="str">
        <f t="array" ref="R1928">XLOOKUP(E1928,Store_Dim!A:A,Store_Dim!B:B,"Not Found")</f>
        <v>North</v>
      </c>
      <c r="S1928" s="8" t="str">
        <f t="array" ref="S1928">XLOOKUP(E1928,Store_Dim!A:A,Store_Dim!D:D,"Not Found")</f>
        <v>Outlet</v>
      </c>
    </row>
    <row r="1929" ht="14.25" customHeight="1">
      <c r="A1929" s="8" t="s">
        <v>3882</v>
      </c>
      <c r="B1929" s="12">
        <v>47407.0</v>
      </c>
      <c r="C1929" s="8" t="s">
        <v>1485</v>
      </c>
      <c r="D1929" s="8" t="s">
        <v>1638</v>
      </c>
      <c r="E1929" s="8" t="s">
        <v>1931</v>
      </c>
      <c r="F1929" s="8">
        <v>3.0</v>
      </c>
      <c r="G1929" s="8">
        <v>941.85</v>
      </c>
      <c r="H1929" s="8">
        <v>0.16</v>
      </c>
      <c r="I1929" s="8">
        <f t="shared" si="1"/>
        <v>2825.55</v>
      </c>
      <c r="J1929" s="8">
        <f t="shared" si="2"/>
        <v>-451.928</v>
      </c>
      <c r="K1929" s="8" t="str">
        <f t="shared" si="3"/>
        <v>Oct</v>
      </c>
      <c r="L1929" s="8">
        <f t="shared" si="4"/>
        <v>2029</v>
      </c>
      <c r="N1929" s="8" t="str">
        <f t="array" ref="N1929">XLOOKUP(C1929,Customer_Dim!A:A,Customer_Dim!B:B,"Not Found")</f>
        <v>Andrea Harris</v>
      </c>
      <c r="O1929" s="8" t="str">
        <f t="array" ref="O1929">XLOOKUP(C1929,Customer_Dim!A:A,Customer_Dim!E:E,"Not Found")</f>
        <v>West Kelseyberg</v>
      </c>
      <c r="P1929" s="8" t="str">
        <f t="array" ref="P1929">XLOOKUP(D1929,Product_Dim!A:A,Product_Dim!B:B,"Not Found")</f>
        <v>Knee Support Brace</v>
      </c>
      <c r="Q1929" s="8" t="str">
        <f t="array" ref="Q1929">XLOOKUP(D1929,Product_Dim!A:A,Product_Dim!C:C,"Not Found")</f>
        <v>Sports</v>
      </c>
      <c r="R1929" s="8" t="str">
        <f t="array" ref="R1929">XLOOKUP(E1929,Store_Dim!A:A,Store_Dim!B:B,"Not Found")</f>
        <v>East</v>
      </c>
      <c r="S1929" s="8" t="str">
        <f t="array" ref="S1929">XLOOKUP(E1929,Store_Dim!A:A,Store_Dim!D:D,"Not Found")</f>
        <v>Flagship</v>
      </c>
    </row>
    <row r="1930" ht="14.25" customHeight="1">
      <c r="A1930" s="8" t="s">
        <v>3883</v>
      </c>
      <c r="B1930" s="12">
        <v>47408.0</v>
      </c>
      <c r="C1930" s="8" t="s">
        <v>550</v>
      </c>
      <c r="D1930" s="8" t="s">
        <v>1722</v>
      </c>
      <c r="E1930" s="8" t="s">
        <v>1915</v>
      </c>
      <c r="F1930" s="8">
        <v>2.0</v>
      </c>
      <c r="G1930" s="8">
        <v>336.97</v>
      </c>
      <c r="H1930" s="8">
        <v>0.14</v>
      </c>
      <c r="I1930" s="8">
        <f t="shared" si="1"/>
        <v>673.94</v>
      </c>
      <c r="J1930" s="8">
        <f t="shared" si="2"/>
        <v>-94.2116</v>
      </c>
      <c r="K1930" s="8" t="str">
        <f t="shared" si="3"/>
        <v>Oct</v>
      </c>
      <c r="L1930" s="8">
        <f t="shared" si="4"/>
        <v>2029</v>
      </c>
      <c r="N1930" s="8" t="str">
        <f t="array" ref="N1930">XLOOKUP(C1930,Customer_Dim!A:A,Customer_Dim!B:B,"Not Found")</f>
        <v>Cynthia Morris</v>
      </c>
      <c r="O1930" s="8" t="str">
        <f t="array" ref="O1930">XLOOKUP(C1930,Customer_Dim!A:A,Customer_Dim!E:E,"Not Found")</f>
        <v>Hessmouth</v>
      </c>
      <c r="P1930" s="8" t="str">
        <f t="array" ref="P1930">XLOOKUP(D1930,Product_Dim!A:A,Product_Dim!B:B,"Not Found")</f>
        <v>High-Grip Football</v>
      </c>
      <c r="Q1930" s="8" t="str">
        <f t="array" ref="Q1930">XLOOKUP(D1930,Product_Dim!A:A,Product_Dim!C:C,"Not Found")</f>
        <v>Sports</v>
      </c>
      <c r="R1930" s="8" t="str">
        <f t="array" ref="R1930">XLOOKUP(E1930,Store_Dim!A:A,Store_Dim!B:B,"Not Found")</f>
        <v>North</v>
      </c>
      <c r="S1930" s="8" t="str">
        <f t="array" ref="S1930">XLOOKUP(E1930,Store_Dim!A:A,Store_Dim!D:D,"Not Found")</f>
        <v>Outlet</v>
      </c>
    </row>
    <row r="1931" ht="14.25" customHeight="1">
      <c r="A1931" s="8" t="s">
        <v>3884</v>
      </c>
      <c r="B1931" s="12">
        <v>47409.0</v>
      </c>
      <c r="C1931" s="8" t="s">
        <v>993</v>
      </c>
      <c r="D1931" s="8" t="s">
        <v>1583</v>
      </c>
      <c r="E1931" s="8" t="s">
        <v>1915</v>
      </c>
      <c r="F1931" s="8">
        <v>2.0</v>
      </c>
      <c r="G1931" s="8">
        <v>344.16</v>
      </c>
      <c r="H1931" s="8">
        <v>0.09</v>
      </c>
      <c r="I1931" s="8">
        <f t="shared" si="1"/>
        <v>688.32</v>
      </c>
      <c r="J1931" s="8">
        <f t="shared" si="2"/>
        <v>-61.8588</v>
      </c>
      <c r="K1931" s="8" t="str">
        <f t="shared" si="3"/>
        <v>Oct</v>
      </c>
      <c r="L1931" s="8">
        <f t="shared" si="4"/>
        <v>2029</v>
      </c>
      <c r="N1931" s="8" t="str">
        <f t="array" ref="N1931">XLOOKUP(C1931,Customer_Dim!A:A,Customer_Dim!B:B,"Not Found")</f>
        <v>Kara Dodson</v>
      </c>
      <c r="O1931" s="8" t="str">
        <f t="array" ref="O1931">XLOOKUP(C1931,Customer_Dim!A:A,Customer_Dim!E:E,"Not Found")</f>
        <v>Joelside</v>
      </c>
      <c r="P1931" s="8" t="str">
        <f t="array" ref="P1931">XLOOKUP(D1931,Product_Dim!A:A,Product_Dim!B:B,"Not Found")</f>
        <v>Men's Leather Belt</v>
      </c>
      <c r="Q1931" s="8" t="str">
        <f t="array" ref="Q1931">XLOOKUP(D1931,Product_Dim!A:A,Product_Dim!C:C,"Not Found")</f>
        <v>Clothing</v>
      </c>
      <c r="R1931" s="8" t="str">
        <f t="array" ref="R1931">XLOOKUP(E1931,Store_Dim!A:A,Store_Dim!B:B,"Not Found")</f>
        <v>North</v>
      </c>
      <c r="S1931" s="8" t="str">
        <f t="array" ref="S1931">XLOOKUP(E1931,Store_Dim!A:A,Store_Dim!D:D,"Not Found")</f>
        <v>Outlet</v>
      </c>
    </row>
    <row r="1932" ht="14.25" customHeight="1">
      <c r="A1932" s="8" t="s">
        <v>3885</v>
      </c>
      <c r="B1932" s="12">
        <v>47410.0</v>
      </c>
      <c r="C1932" s="8" t="s">
        <v>963</v>
      </c>
      <c r="D1932" s="8" t="s">
        <v>1732</v>
      </c>
      <c r="E1932" s="8" t="s">
        <v>1924</v>
      </c>
      <c r="F1932" s="8">
        <v>1.0</v>
      </c>
      <c r="G1932" s="8">
        <v>841.53</v>
      </c>
      <c r="H1932" s="8">
        <v>0.15</v>
      </c>
      <c r="I1932" s="8">
        <f t="shared" si="1"/>
        <v>841.53</v>
      </c>
      <c r="J1932" s="8">
        <f t="shared" si="2"/>
        <v>-126.0795</v>
      </c>
      <c r="K1932" s="8" t="str">
        <f t="shared" si="3"/>
        <v>Oct</v>
      </c>
      <c r="L1932" s="8">
        <f t="shared" si="4"/>
        <v>2029</v>
      </c>
      <c r="N1932" s="8" t="str">
        <f t="array" ref="N1932">XLOOKUP(C1932,Customer_Dim!A:A,Customer_Dim!B:B,"Not Found")</f>
        <v>Matthew Avery</v>
      </c>
      <c r="O1932" s="8" t="str">
        <f t="array" ref="O1932">XLOOKUP(C1932,Customer_Dim!A:A,Customer_Dim!E:E,"Not Found")</f>
        <v>Lake Melissashire</v>
      </c>
      <c r="P1932" s="8" t="str">
        <f t="array" ref="P1932">XLOOKUP(D1932,Product_Dim!A:A,Product_Dim!B:B,"Not Found")</f>
        <v>Car Dashboard Phone Holder</v>
      </c>
      <c r="Q1932" s="8" t="str">
        <f t="array" ref="Q1932">XLOOKUP(D1932,Product_Dim!A:A,Product_Dim!C:C,"Not Found")</f>
        <v>Electronics</v>
      </c>
      <c r="R1932" s="8" t="str">
        <f t="array" ref="R1932">XLOOKUP(E1932,Store_Dim!A:A,Store_Dim!B:B,"Not Found")</f>
        <v>South</v>
      </c>
      <c r="S1932" s="8" t="str">
        <f t="array" ref="S1932">XLOOKUP(E1932,Store_Dim!A:A,Store_Dim!D:D,"Not Found")</f>
        <v>Flagship</v>
      </c>
    </row>
    <row r="1933" ht="14.25" customHeight="1">
      <c r="A1933" s="8" t="s">
        <v>3886</v>
      </c>
      <c r="B1933" s="12">
        <v>47411.0</v>
      </c>
      <c r="C1933" s="8" t="s">
        <v>1332</v>
      </c>
      <c r="D1933" s="8" t="s">
        <v>1839</v>
      </c>
      <c r="E1933" s="8" t="s">
        <v>1937</v>
      </c>
      <c r="F1933" s="8">
        <v>3.0</v>
      </c>
      <c r="G1933" s="8">
        <v>63.36</v>
      </c>
      <c r="H1933" s="8">
        <v>0.29</v>
      </c>
      <c r="I1933" s="8">
        <f t="shared" si="1"/>
        <v>190.08</v>
      </c>
      <c r="J1933" s="8">
        <f t="shared" si="2"/>
        <v>-54.8332</v>
      </c>
      <c r="K1933" s="8" t="str">
        <f t="shared" si="3"/>
        <v>Oct</v>
      </c>
      <c r="L1933" s="8">
        <f t="shared" si="4"/>
        <v>2029</v>
      </c>
      <c r="N1933" s="8" t="str">
        <f t="array" ref="N1933">XLOOKUP(C1933,Customer_Dim!A:A,Customer_Dim!B:B,"Not Found")</f>
        <v>Edwin Barnes</v>
      </c>
      <c r="O1933" s="8" t="str">
        <f t="array" ref="O1933">XLOOKUP(C1933,Customer_Dim!A:A,Customer_Dim!E:E,"Not Found")</f>
        <v>Lake Alexandra</v>
      </c>
      <c r="P1933" s="8" t="str">
        <f t="array" ref="P1933">XLOOKUP(D1933,Product_Dim!A:A,Product_Dim!B:B,"Not Found")</f>
        <v>Hydrating Face Cleanser</v>
      </c>
      <c r="Q1933" s="8" t="str">
        <f t="array" ref="Q1933">XLOOKUP(D1933,Product_Dim!A:A,Product_Dim!C:C,"Not Found")</f>
        <v>Beauty</v>
      </c>
      <c r="R1933" s="8" t="str">
        <f t="array" ref="R1933">XLOOKUP(E1933,Store_Dim!A:A,Store_Dim!B:B,"Not Found")</f>
        <v>North</v>
      </c>
      <c r="S1933" s="8" t="str">
        <f t="array" ref="S1933">XLOOKUP(E1933,Store_Dim!A:A,Store_Dim!D:D,"Not Found")</f>
        <v>Flagship</v>
      </c>
    </row>
    <row r="1934" ht="14.25" customHeight="1">
      <c r="A1934" s="8" t="s">
        <v>3887</v>
      </c>
      <c r="B1934" s="12">
        <v>47412.0</v>
      </c>
      <c r="C1934" s="8" t="s">
        <v>1540</v>
      </c>
      <c r="D1934" s="8" t="s">
        <v>1824</v>
      </c>
      <c r="E1934" s="8" t="s">
        <v>1921</v>
      </c>
      <c r="F1934" s="8">
        <v>2.0</v>
      </c>
      <c r="G1934" s="8">
        <v>552.49</v>
      </c>
      <c r="H1934" s="8">
        <v>0.1</v>
      </c>
      <c r="I1934" s="8">
        <f t="shared" si="1"/>
        <v>1104.98</v>
      </c>
      <c r="J1934" s="8">
        <f t="shared" si="2"/>
        <v>-110.398</v>
      </c>
      <c r="K1934" s="8" t="str">
        <f t="shared" si="3"/>
        <v>Oct</v>
      </c>
      <c r="L1934" s="8">
        <f t="shared" si="4"/>
        <v>2029</v>
      </c>
      <c r="N1934" s="8" t="str">
        <f t="array" ref="N1934">XLOOKUP(C1934,Customer_Dim!A:A,Customer_Dim!B:B,"Not Found")</f>
        <v>Christopher Ford</v>
      </c>
      <c r="O1934" s="8" t="str">
        <f t="array" ref="O1934">XLOOKUP(C1934,Customer_Dim!A:A,Customer_Dim!E:E,"Not Found")</f>
        <v>North Seanfurt</v>
      </c>
      <c r="P1934" s="8" t="str">
        <f t="array" ref="P1934">XLOOKUP(D1934,Product_Dim!A:A,Product_Dim!B:B,"Not Found")</f>
        <v>Essential Oil Diffuser</v>
      </c>
      <c r="Q1934" s="8" t="str">
        <f t="array" ref="Q1934">XLOOKUP(D1934,Product_Dim!A:A,Product_Dim!C:C,"Not Found")</f>
        <v>Home</v>
      </c>
      <c r="R1934" s="8" t="str">
        <f t="array" ref="R1934">XLOOKUP(E1934,Store_Dim!A:A,Store_Dim!B:B,"Not Found")</f>
        <v>West</v>
      </c>
      <c r="S1934" s="8" t="str">
        <f t="array" ref="S1934">XLOOKUP(E1934,Store_Dim!A:A,Store_Dim!D:D,"Not Found")</f>
        <v>Online</v>
      </c>
    </row>
    <row r="1935" ht="14.25" customHeight="1">
      <c r="A1935" s="8" t="s">
        <v>3888</v>
      </c>
      <c r="B1935" s="12">
        <v>47413.0</v>
      </c>
      <c r="C1935" s="8" t="s">
        <v>773</v>
      </c>
      <c r="D1935" s="8" t="s">
        <v>1655</v>
      </c>
      <c r="E1935" s="8" t="s">
        <v>1917</v>
      </c>
      <c r="F1935" s="8">
        <v>3.0</v>
      </c>
      <c r="G1935" s="8">
        <v>447.38</v>
      </c>
      <c r="H1935" s="8">
        <v>0.03</v>
      </c>
      <c r="I1935" s="8">
        <f t="shared" si="1"/>
        <v>1342.14</v>
      </c>
      <c r="J1935" s="8">
        <f t="shared" si="2"/>
        <v>-40.2342</v>
      </c>
      <c r="K1935" s="8" t="str">
        <f t="shared" si="3"/>
        <v>Oct</v>
      </c>
      <c r="L1935" s="8">
        <f t="shared" si="4"/>
        <v>2029</v>
      </c>
      <c r="N1935" s="8" t="str">
        <f t="array" ref="N1935">XLOOKUP(C1935,Customer_Dim!A:A,Customer_Dim!B:B,"Not Found")</f>
        <v>Joshua Wilson</v>
      </c>
      <c r="O1935" s="8" t="str">
        <f t="array" ref="O1935">XLOOKUP(C1935,Customer_Dim!A:A,Customer_Dim!E:E,"Not Found")</f>
        <v>North Larryport</v>
      </c>
      <c r="P1935" s="8" t="str">
        <f t="array" ref="P1935">XLOOKUP(D1935,Product_Dim!A:A,Product_Dim!B:B,"Not Found")</f>
        <v>Foldable Camping Chair</v>
      </c>
      <c r="Q1935" s="8" t="str">
        <f t="array" ref="Q1935">XLOOKUP(D1935,Product_Dim!A:A,Product_Dim!C:C,"Not Found")</f>
        <v>Sports</v>
      </c>
      <c r="R1935" s="8" t="str">
        <f t="array" ref="R1935">XLOOKUP(E1935,Store_Dim!A:A,Store_Dim!B:B,"Not Found")</f>
        <v>East</v>
      </c>
      <c r="S1935" s="8" t="str">
        <f t="array" ref="S1935">XLOOKUP(E1935,Store_Dim!A:A,Store_Dim!D:D,"Not Found")</f>
        <v>Online</v>
      </c>
    </row>
    <row r="1936" ht="14.25" customHeight="1">
      <c r="A1936" s="8" t="s">
        <v>3889</v>
      </c>
      <c r="B1936" s="12">
        <v>47414.0</v>
      </c>
      <c r="C1936" s="8" t="s">
        <v>1408</v>
      </c>
      <c r="D1936" s="8" t="s">
        <v>1809</v>
      </c>
      <c r="E1936" s="8" t="s">
        <v>1941</v>
      </c>
      <c r="F1936" s="8">
        <v>1.0</v>
      </c>
      <c r="G1936" s="8">
        <v>727.7</v>
      </c>
      <c r="H1936" s="8">
        <v>0.21</v>
      </c>
      <c r="I1936" s="8">
        <f t="shared" si="1"/>
        <v>727.7</v>
      </c>
      <c r="J1936" s="8">
        <f t="shared" si="2"/>
        <v>-152.607</v>
      </c>
      <c r="K1936" s="8" t="str">
        <f t="shared" si="3"/>
        <v>Oct</v>
      </c>
      <c r="L1936" s="8">
        <f t="shared" si="4"/>
        <v>2029</v>
      </c>
      <c r="N1936" s="8" t="str">
        <f t="array" ref="N1936">XLOOKUP(C1936,Customer_Dim!A:A,Customer_Dim!B:B,"Not Found")</f>
        <v>Shane Mills</v>
      </c>
      <c r="O1936" s="8" t="str">
        <f t="array" ref="O1936">XLOOKUP(C1936,Customer_Dim!A:A,Customer_Dim!E:E,"Not Found")</f>
        <v>Lake Meganstad</v>
      </c>
      <c r="P1936" s="8" t="str">
        <f t="array" ref="P1936">XLOOKUP(D1936,Product_Dim!A:A,Product_Dim!B:B,"Not Found")</f>
        <v>Shin Guards – Adult</v>
      </c>
      <c r="Q1936" s="8" t="str">
        <f t="array" ref="Q1936">XLOOKUP(D1936,Product_Dim!A:A,Product_Dim!C:C,"Not Found")</f>
        <v>Sports</v>
      </c>
      <c r="R1936" s="8" t="str">
        <f t="array" ref="R1936">XLOOKUP(E1936,Store_Dim!A:A,Store_Dim!B:B,"Not Found")</f>
        <v>East</v>
      </c>
      <c r="S1936" s="8" t="str">
        <f t="array" ref="S1936">XLOOKUP(E1936,Store_Dim!A:A,Store_Dim!D:D,"Not Found")</f>
        <v>Online</v>
      </c>
    </row>
    <row r="1937" ht="14.25" customHeight="1">
      <c r="A1937" s="8" t="s">
        <v>3890</v>
      </c>
      <c r="B1937" s="12">
        <v>47415.0</v>
      </c>
      <c r="C1937" s="8" t="s">
        <v>1368</v>
      </c>
      <c r="D1937" s="8" t="s">
        <v>1742</v>
      </c>
      <c r="E1937" s="8" t="s">
        <v>1919</v>
      </c>
      <c r="F1937" s="8">
        <v>4.0</v>
      </c>
      <c r="G1937" s="8">
        <v>581.34</v>
      </c>
      <c r="H1937" s="8">
        <v>0.08</v>
      </c>
      <c r="I1937" s="8">
        <f t="shared" si="1"/>
        <v>2325.36</v>
      </c>
      <c r="J1937" s="8">
        <f t="shared" si="2"/>
        <v>-185.9488</v>
      </c>
      <c r="K1937" s="8" t="str">
        <f t="shared" si="3"/>
        <v>Oct</v>
      </c>
      <c r="L1937" s="8">
        <f t="shared" si="4"/>
        <v>2029</v>
      </c>
      <c r="N1937" s="8" t="str">
        <f t="array" ref="N1937">XLOOKUP(C1937,Customer_Dim!A:A,Customer_Dim!B:B,"Not Found")</f>
        <v>Sharon Simpson</v>
      </c>
      <c r="O1937" s="8" t="str">
        <f t="array" ref="O1937">XLOOKUP(C1937,Customer_Dim!A:A,Customer_Dim!E:E,"Not Found")</f>
        <v>South Michellebury</v>
      </c>
      <c r="P1937" s="8" t="str">
        <f t="array" ref="P1937">XLOOKUP(D1937,Product_Dim!A:A,Product_Dim!B:B,"Not Found")</f>
        <v>HDMI Cable – 2m</v>
      </c>
      <c r="Q1937" s="8" t="str">
        <f t="array" ref="Q1937">XLOOKUP(D1937,Product_Dim!A:A,Product_Dim!C:C,"Not Found")</f>
        <v>Electronics</v>
      </c>
      <c r="R1937" s="8" t="str">
        <f t="array" ref="R1937">XLOOKUP(E1937,Store_Dim!A:A,Store_Dim!B:B,"Not Found")</f>
        <v>South</v>
      </c>
      <c r="S1937" s="8" t="str">
        <f t="array" ref="S1937">XLOOKUP(E1937,Store_Dim!A:A,Store_Dim!D:D,"Not Found")</f>
        <v>Online</v>
      </c>
    </row>
    <row r="1938" ht="14.25" customHeight="1">
      <c r="A1938" s="8" t="s">
        <v>3891</v>
      </c>
      <c r="B1938" s="12">
        <v>47416.0</v>
      </c>
      <c r="C1938" s="8" t="s">
        <v>354</v>
      </c>
      <c r="D1938" s="8" t="s">
        <v>1787</v>
      </c>
      <c r="E1938" s="8" t="s">
        <v>1903</v>
      </c>
      <c r="F1938" s="8">
        <v>1.0</v>
      </c>
      <c r="G1938" s="8">
        <v>338.83</v>
      </c>
      <c r="H1938" s="8">
        <v>0.19</v>
      </c>
      <c r="I1938" s="8">
        <f t="shared" si="1"/>
        <v>338.83</v>
      </c>
      <c r="J1938" s="8">
        <f t="shared" si="2"/>
        <v>-64.1877</v>
      </c>
      <c r="K1938" s="8" t="str">
        <f t="shared" si="3"/>
        <v>Oct</v>
      </c>
      <c r="L1938" s="8">
        <f t="shared" si="4"/>
        <v>2029</v>
      </c>
      <c r="N1938" s="8" t="str">
        <f t="array" ref="N1938">XLOOKUP(C1938,Customer_Dim!A:A,Customer_Dim!B:B,"Not Found")</f>
        <v>Samantha Walker</v>
      </c>
      <c r="O1938" s="8" t="str">
        <f t="array" ref="O1938">XLOOKUP(C1938,Customer_Dim!A:A,Customer_Dim!E:E,"Not Found")</f>
        <v>Timothyburgh</v>
      </c>
      <c r="P1938" s="8" t="str">
        <f t="array" ref="P1938">XLOOKUP(D1938,Product_Dim!A:A,Product_Dim!B:B,"Not Found")</f>
        <v>Women's Hair Dryer Brush</v>
      </c>
      <c r="Q1938" s="8" t="str">
        <f t="array" ref="Q1938">XLOOKUP(D1938,Product_Dim!A:A,Product_Dim!C:C,"Not Found")</f>
        <v>Beauty</v>
      </c>
      <c r="R1938" s="8" t="str">
        <f t="array" ref="R1938">XLOOKUP(E1938,Store_Dim!A:A,Store_Dim!B:B,"Not Found")</f>
        <v>North</v>
      </c>
      <c r="S1938" s="8" t="str">
        <f t="array" ref="S1938">XLOOKUP(E1938,Store_Dim!A:A,Store_Dim!D:D,"Not Found")</f>
        <v>Flagship</v>
      </c>
    </row>
    <row r="1939" ht="14.25" customHeight="1">
      <c r="A1939" s="8" t="s">
        <v>3892</v>
      </c>
      <c r="B1939" s="12">
        <v>47417.0</v>
      </c>
      <c r="C1939" s="8" t="s">
        <v>920</v>
      </c>
      <c r="D1939" s="8" t="s">
        <v>1735</v>
      </c>
      <c r="E1939" s="8" t="s">
        <v>1931</v>
      </c>
      <c r="F1939" s="8">
        <v>4.0</v>
      </c>
      <c r="G1939" s="8">
        <v>568.81</v>
      </c>
      <c r="H1939" s="8">
        <v>0.25</v>
      </c>
      <c r="I1939" s="8">
        <f t="shared" si="1"/>
        <v>2275.24</v>
      </c>
      <c r="J1939" s="8">
        <f t="shared" si="2"/>
        <v>-568.56</v>
      </c>
      <c r="K1939" s="8" t="str">
        <f t="shared" si="3"/>
        <v>Oct</v>
      </c>
      <c r="L1939" s="8">
        <f t="shared" si="4"/>
        <v>2029</v>
      </c>
      <c r="N1939" s="8" t="str">
        <f t="array" ref="N1939">XLOOKUP(C1939,Customer_Dim!A:A,Customer_Dim!B:B,"Not Found")</f>
        <v>Donna Guerra</v>
      </c>
      <c r="O1939" s="8" t="str">
        <f t="array" ref="O1939">XLOOKUP(C1939,Customer_Dim!A:A,Customer_Dim!E:E,"Not Found")</f>
        <v>North Robert</v>
      </c>
      <c r="P1939" s="8" t="str">
        <f t="array" ref="P1939">XLOOKUP(D1939,Product_Dim!A:A,Product_Dim!B:B,"Not Found")</f>
        <v>Men's Roll-On Perfume</v>
      </c>
      <c r="Q1939" s="8" t="str">
        <f t="array" ref="Q1939">XLOOKUP(D1939,Product_Dim!A:A,Product_Dim!C:C,"Not Found")</f>
        <v>Beauty</v>
      </c>
      <c r="R1939" s="8" t="str">
        <f t="array" ref="R1939">XLOOKUP(E1939,Store_Dim!A:A,Store_Dim!B:B,"Not Found")</f>
        <v>East</v>
      </c>
      <c r="S1939" s="8" t="str">
        <f t="array" ref="S1939">XLOOKUP(E1939,Store_Dim!A:A,Store_Dim!D:D,"Not Found")</f>
        <v>Flagship</v>
      </c>
    </row>
    <row r="1940" ht="14.25" customHeight="1">
      <c r="A1940" s="8" t="s">
        <v>3893</v>
      </c>
      <c r="B1940" s="12">
        <v>47418.0</v>
      </c>
      <c r="C1940" s="8" t="s">
        <v>1188</v>
      </c>
      <c r="D1940" s="8" t="s">
        <v>1772</v>
      </c>
      <c r="E1940" s="8" t="s">
        <v>1937</v>
      </c>
      <c r="F1940" s="8">
        <v>2.0</v>
      </c>
      <c r="G1940" s="8">
        <v>352.63</v>
      </c>
      <c r="H1940" s="8">
        <v>0.15</v>
      </c>
      <c r="I1940" s="8">
        <f t="shared" si="1"/>
        <v>705.26</v>
      </c>
      <c r="J1940" s="8">
        <f t="shared" si="2"/>
        <v>-105.639</v>
      </c>
      <c r="K1940" s="8" t="str">
        <f t="shared" si="3"/>
        <v>Oct</v>
      </c>
      <c r="L1940" s="8">
        <f t="shared" si="4"/>
        <v>2029</v>
      </c>
      <c r="N1940" s="8" t="str">
        <f t="array" ref="N1940">XLOOKUP(C1940,Customer_Dim!A:A,Customer_Dim!B:B,"Not Found")</f>
        <v>Joshua Bell</v>
      </c>
      <c r="O1940" s="8" t="str">
        <f t="array" ref="O1940">XLOOKUP(C1940,Customer_Dim!A:A,Customer_Dim!E:E,"Not Found")</f>
        <v>Port Richardshire</v>
      </c>
      <c r="P1940" s="8" t="str">
        <f t="array" ref="P1940">XLOOKUP(D1940,Product_Dim!A:A,Product_Dim!B:B,"Not Found")</f>
        <v>Tennis Ball 3-Pack</v>
      </c>
      <c r="Q1940" s="8" t="str">
        <f t="array" ref="Q1940">XLOOKUP(D1940,Product_Dim!A:A,Product_Dim!C:C,"Not Found")</f>
        <v>Sports</v>
      </c>
      <c r="R1940" s="8" t="str">
        <f t="array" ref="R1940">XLOOKUP(E1940,Store_Dim!A:A,Store_Dim!B:B,"Not Found")</f>
        <v>North</v>
      </c>
      <c r="S1940" s="8" t="str">
        <f t="array" ref="S1940">XLOOKUP(E1940,Store_Dim!A:A,Store_Dim!D:D,"Not Found")</f>
        <v>Flagship</v>
      </c>
    </row>
    <row r="1941" ht="14.25" customHeight="1">
      <c r="A1941" s="8" t="s">
        <v>3894</v>
      </c>
      <c r="B1941" s="12">
        <v>47419.0</v>
      </c>
      <c r="C1941" s="8" t="s">
        <v>535</v>
      </c>
      <c r="D1941" s="8" t="s">
        <v>1878</v>
      </c>
      <c r="E1941" s="8" t="s">
        <v>1931</v>
      </c>
      <c r="F1941" s="8">
        <v>2.0</v>
      </c>
      <c r="G1941" s="8">
        <v>629.86</v>
      </c>
      <c r="H1941" s="8">
        <v>0.15</v>
      </c>
      <c r="I1941" s="8">
        <f t="shared" si="1"/>
        <v>1259.72</v>
      </c>
      <c r="J1941" s="8">
        <f t="shared" si="2"/>
        <v>-188.808</v>
      </c>
      <c r="K1941" s="8" t="str">
        <f t="shared" si="3"/>
        <v>Oct</v>
      </c>
      <c r="L1941" s="8">
        <f t="shared" si="4"/>
        <v>2029</v>
      </c>
      <c r="N1941" s="8" t="str">
        <f t="array" ref="N1941">XLOOKUP(C1941,Customer_Dim!A:A,Customer_Dim!B:B,"Not Found")</f>
        <v>Maria Sanchez</v>
      </c>
      <c r="O1941" s="8" t="str">
        <f t="array" ref="O1941">XLOOKUP(C1941,Customer_Dim!A:A,Customer_Dim!E:E,"Not Found")</f>
        <v>East Peterbury</v>
      </c>
      <c r="P1941" s="8" t="str">
        <f t="array" ref="P1941">XLOOKUP(D1941,Product_Dim!A:A,Product_Dim!B:B,"Not Found")</f>
        <v>Women's Formal Blazer</v>
      </c>
      <c r="Q1941" s="8" t="str">
        <f t="array" ref="Q1941">XLOOKUP(D1941,Product_Dim!A:A,Product_Dim!C:C,"Not Found")</f>
        <v>Clothing</v>
      </c>
      <c r="R1941" s="8" t="str">
        <f t="array" ref="R1941">XLOOKUP(E1941,Store_Dim!A:A,Store_Dim!B:B,"Not Found")</f>
        <v>East</v>
      </c>
      <c r="S1941" s="8" t="str">
        <f t="array" ref="S1941">XLOOKUP(E1941,Store_Dim!A:A,Store_Dim!D:D,"Not Found")</f>
        <v>Flagship</v>
      </c>
    </row>
    <row r="1942" ht="14.25" customHeight="1">
      <c r="A1942" s="8" t="s">
        <v>3895</v>
      </c>
      <c r="B1942" s="12">
        <v>47420.0</v>
      </c>
      <c r="C1942" s="8" t="s">
        <v>1532</v>
      </c>
      <c r="D1942" s="8" t="s">
        <v>1884</v>
      </c>
      <c r="E1942" s="8" t="s">
        <v>1910</v>
      </c>
      <c r="F1942" s="8">
        <v>3.0</v>
      </c>
      <c r="G1942" s="8">
        <v>212.08</v>
      </c>
      <c r="H1942" s="8">
        <v>0.07</v>
      </c>
      <c r="I1942" s="8">
        <f t="shared" si="1"/>
        <v>636.24</v>
      </c>
      <c r="J1942" s="8">
        <f t="shared" si="2"/>
        <v>-44.4668</v>
      </c>
      <c r="K1942" s="8" t="str">
        <f t="shared" si="3"/>
        <v>Oct</v>
      </c>
      <c r="L1942" s="8">
        <f t="shared" si="4"/>
        <v>2029</v>
      </c>
      <c r="N1942" s="8" t="str">
        <f t="array" ref="N1942">XLOOKUP(C1942,Customer_Dim!A:A,Customer_Dim!B:B,"Not Found")</f>
        <v>Amanda Powell</v>
      </c>
      <c r="O1942" s="8" t="str">
        <f t="array" ref="O1942">XLOOKUP(C1942,Customer_Dim!A:A,Customer_Dim!E:E,"Not Found")</f>
        <v>South William</v>
      </c>
      <c r="P1942" s="8" t="str">
        <f t="array" ref="P1942">XLOOKUP(D1942,Product_Dim!A:A,Product_Dim!B:B,"Not Found")</f>
        <v>Portable Bluetooth Speaker</v>
      </c>
      <c r="Q1942" s="8" t="str">
        <f t="array" ref="Q1942">XLOOKUP(D1942,Product_Dim!A:A,Product_Dim!C:C,"Not Found")</f>
        <v>Electronics</v>
      </c>
      <c r="R1942" s="8" t="str">
        <f t="array" ref="R1942">XLOOKUP(E1942,Store_Dim!A:A,Store_Dim!B:B,"Not Found")</f>
        <v>North</v>
      </c>
      <c r="S1942" s="8" t="str">
        <f t="array" ref="S1942">XLOOKUP(E1942,Store_Dim!A:A,Store_Dim!D:D,"Not Found")</f>
        <v>Outlet</v>
      </c>
    </row>
    <row r="1943" ht="14.25" customHeight="1">
      <c r="A1943" s="8" t="s">
        <v>3896</v>
      </c>
      <c r="B1943" s="12">
        <v>47421.0</v>
      </c>
      <c r="C1943" s="8" t="s">
        <v>550</v>
      </c>
      <c r="D1943" s="8" t="s">
        <v>1760</v>
      </c>
      <c r="E1943" s="8" t="s">
        <v>1906</v>
      </c>
      <c r="F1943" s="8">
        <v>3.0</v>
      </c>
      <c r="G1943" s="8">
        <v>878.62</v>
      </c>
      <c r="H1943" s="8">
        <v>0.05</v>
      </c>
      <c r="I1943" s="8">
        <f t="shared" si="1"/>
        <v>2635.86</v>
      </c>
      <c r="J1943" s="8">
        <f t="shared" si="2"/>
        <v>-131.743</v>
      </c>
      <c r="K1943" s="8" t="str">
        <f t="shared" si="3"/>
        <v>Oct</v>
      </c>
      <c r="L1943" s="8">
        <f t="shared" si="4"/>
        <v>2029</v>
      </c>
      <c r="N1943" s="8" t="str">
        <f t="array" ref="N1943">XLOOKUP(C1943,Customer_Dim!A:A,Customer_Dim!B:B,"Not Found")</f>
        <v>Cynthia Morris</v>
      </c>
      <c r="O1943" s="8" t="str">
        <f t="array" ref="O1943">XLOOKUP(C1943,Customer_Dim!A:A,Customer_Dim!E:E,"Not Found")</f>
        <v>Hessmouth</v>
      </c>
      <c r="P1943" s="8" t="str">
        <f t="array" ref="P1943">XLOOKUP(D1943,Product_Dim!A:A,Product_Dim!B:B,"Not Found")</f>
        <v>Foam Roller</v>
      </c>
      <c r="Q1943" s="8" t="str">
        <f t="array" ref="Q1943">XLOOKUP(D1943,Product_Dim!A:A,Product_Dim!C:C,"Not Found")</f>
        <v>Sports</v>
      </c>
      <c r="R1943" s="8" t="str">
        <f t="array" ref="R1943">XLOOKUP(E1943,Store_Dim!A:A,Store_Dim!B:B,"Not Found")</f>
        <v>South</v>
      </c>
      <c r="S1943" s="8" t="str">
        <f t="array" ref="S1943">XLOOKUP(E1943,Store_Dim!A:A,Store_Dim!D:D,"Not Found")</f>
        <v>Outlet</v>
      </c>
    </row>
    <row r="1944" ht="14.25" customHeight="1">
      <c r="A1944" s="8" t="s">
        <v>3897</v>
      </c>
      <c r="B1944" s="12">
        <v>47422.0</v>
      </c>
      <c r="C1944" s="8" t="s">
        <v>848</v>
      </c>
      <c r="D1944" s="8" t="s">
        <v>1830</v>
      </c>
      <c r="E1944" s="8" t="s">
        <v>1926</v>
      </c>
      <c r="F1944" s="8">
        <v>4.0</v>
      </c>
      <c r="G1944" s="8">
        <v>87.83</v>
      </c>
      <c r="H1944" s="8">
        <v>0.23</v>
      </c>
      <c r="I1944" s="8">
        <f t="shared" si="1"/>
        <v>351.32</v>
      </c>
      <c r="J1944" s="8">
        <f t="shared" si="2"/>
        <v>-80.5736</v>
      </c>
      <c r="K1944" s="8" t="str">
        <f t="shared" si="3"/>
        <v>Oct</v>
      </c>
      <c r="L1944" s="8">
        <f t="shared" si="4"/>
        <v>2029</v>
      </c>
      <c r="N1944" s="8" t="str">
        <f t="array" ref="N1944">XLOOKUP(C1944,Customer_Dim!A:A,Customer_Dim!B:B,"Not Found")</f>
        <v>Carol Bishop</v>
      </c>
      <c r="O1944" s="8" t="str">
        <f t="array" ref="O1944">XLOOKUP(C1944,Customer_Dim!A:A,Customer_Dim!E:E,"Not Found")</f>
        <v>Lake Saramouth</v>
      </c>
      <c r="P1944" s="8" t="str">
        <f t="array" ref="P1944">XLOOKUP(D1944,Product_Dim!A:A,Product_Dim!B:B,"Not Found")</f>
        <v>Wall-Mounted Spice Rack</v>
      </c>
      <c r="Q1944" s="8" t="str">
        <f t="array" ref="Q1944">XLOOKUP(D1944,Product_Dim!A:A,Product_Dim!C:C,"Not Found")</f>
        <v>Home</v>
      </c>
      <c r="R1944" s="8" t="str">
        <f t="array" ref="R1944">XLOOKUP(E1944,Store_Dim!A:A,Store_Dim!B:B,"Not Found")</f>
        <v>East</v>
      </c>
      <c r="S1944" s="8" t="str">
        <f t="array" ref="S1944">XLOOKUP(E1944,Store_Dim!A:A,Store_Dim!D:D,"Not Found")</f>
        <v>Online</v>
      </c>
    </row>
    <row r="1945" ht="14.25" customHeight="1">
      <c r="A1945" s="8" t="s">
        <v>3898</v>
      </c>
      <c r="B1945" s="12">
        <v>47423.0</v>
      </c>
      <c r="C1945" s="8" t="s">
        <v>890</v>
      </c>
      <c r="D1945" s="8" t="s">
        <v>1757</v>
      </c>
      <c r="E1945" s="8" t="s">
        <v>1924</v>
      </c>
      <c r="F1945" s="8">
        <v>3.0</v>
      </c>
      <c r="G1945" s="8">
        <v>442.64</v>
      </c>
      <c r="H1945" s="8">
        <v>0.15</v>
      </c>
      <c r="I1945" s="8">
        <f t="shared" si="1"/>
        <v>1327.92</v>
      </c>
      <c r="J1945" s="8">
        <f t="shared" si="2"/>
        <v>-199.038</v>
      </c>
      <c r="K1945" s="8" t="str">
        <f t="shared" si="3"/>
        <v>Nov</v>
      </c>
      <c r="L1945" s="8">
        <f t="shared" si="4"/>
        <v>2029</v>
      </c>
      <c r="N1945" s="8" t="str">
        <f t="array" ref="N1945">XLOOKUP(C1945,Customer_Dim!A:A,Customer_Dim!B:B,"Not Found")</f>
        <v>Shannon Miller</v>
      </c>
      <c r="O1945" s="8" t="str">
        <f t="array" ref="O1945">XLOOKUP(C1945,Customer_Dim!A:A,Customer_Dim!E:E,"Not Found")</f>
        <v>North Austinport</v>
      </c>
      <c r="P1945" s="8" t="str">
        <f t="array" ref="P1945">XLOOKUP(D1945,Product_Dim!A:A,Product_Dim!B:B,"Not Found")</f>
        <v>Premium Blanket Throw</v>
      </c>
      <c r="Q1945" s="8" t="str">
        <f t="array" ref="Q1945">XLOOKUP(D1945,Product_Dim!A:A,Product_Dim!C:C,"Not Found")</f>
        <v>Home</v>
      </c>
      <c r="R1945" s="8" t="str">
        <f t="array" ref="R1945">XLOOKUP(E1945,Store_Dim!A:A,Store_Dim!B:B,"Not Found")</f>
        <v>South</v>
      </c>
      <c r="S1945" s="8" t="str">
        <f t="array" ref="S1945">XLOOKUP(E1945,Store_Dim!A:A,Store_Dim!D:D,"Not Found")</f>
        <v>Flagship</v>
      </c>
    </row>
    <row r="1946" ht="14.25" customHeight="1">
      <c r="A1946" s="8" t="s">
        <v>3899</v>
      </c>
      <c r="B1946" s="12">
        <v>47424.0</v>
      </c>
      <c r="C1946" s="8" t="s">
        <v>345</v>
      </c>
      <c r="D1946" s="8" t="s">
        <v>1700</v>
      </c>
      <c r="E1946" s="8" t="s">
        <v>1906</v>
      </c>
      <c r="F1946" s="8">
        <v>3.0</v>
      </c>
      <c r="G1946" s="8">
        <v>410.04</v>
      </c>
      <c r="H1946" s="8">
        <v>0.09</v>
      </c>
      <c r="I1946" s="8">
        <f t="shared" si="1"/>
        <v>1230.12</v>
      </c>
      <c r="J1946" s="8">
        <f t="shared" si="2"/>
        <v>-110.6208</v>
      </c>
      <c r="K1946" s="8" t="str">
        <f t="shared" si="3"/>
        <v>Nov</v>
      </c>
      <c r="L1946" s="8">
        <f t="shared" si="4"/>
        <v>2029</v>
      </c>
      <c r="N1946" s="8" t="str">
        <f t="array" ref="N1946">XLOOKUP(C1946,Customer_Dim!A:A,Customer_Dim!B:B,"Not Found")</f>
        <v>Christy Vasquez</v>
      </c>
      <c r="O1946" s="8" t="str">
        <f t="array" ref="O1946">XLOOKUP(C1946,Customer_Dim!A:A,Customer_Dim!E:E,"Not Found")</f>
        <v>Port Travisstad</v>
      </c>
      <c r="P1946" s="8" t="str">
        <f t="array" ref="P1946">XLOOKUP(D1946,Product_Dim!A:A,Product_Dim!B:B,"Not Found")</f>
        <v>Sports Water Hydration Pack</v>
      </c>
      <c r="Q1946" s="8" t="str">
        <f t="array" ref="Q1946">XLOOKUP(D1946,Product_Dim!A:A,Product_Dim!C:C,"Not Found")</f>
        <v>Sports</v>
      </c>
      <c r="R1946" s="8" t="str">
        <f t="array" ref="R1946">XLOOKUP(E1946,Store_Dim!A:A,Store_Dim!B:B,"Not Found")</f>
        <v>South</v>
      </c>
      <c r="S1946" s="8" t="str">
        <f t="array" ref="S1946">XLOOKUP(E1946,Store_Dim!A:A,Store_Dim!D:D,"Not Found")</f>
        <v>Outlet</v>
      </c>
    </row>
    <row r="1947" ht="14.25" customHeight="1">
      <c r="A1947" s="8" t="s">
        <v>3900</v>
      </c>
      <c r="B1947" s="12">
        <v>47425.0</v>
      </c>
      <c r="C1947" s="8" t="s">
        <v>467</v>
      </c>
      <c r="D1947" s="8" t="s">
        <v>1872</v>
      </c>
      <c r="E1947" s="8" t="s">
        <v>1937</v>
      </c>
      <c r="F1947" s="8">
        <v>1.0</v>
      </c>
      <c r="G1947" s="8">
        <v>355.31</v>
      </c>
      <c r="H1947" s="8">
        <v>0.27</v>
      </c>
      <c r="I1947" s="8">
        <f t="shared" si="1"/>
        <v>355.31</v>
      </c>
      <c r="J1947" s="8">
        <f t="shared" si="2"/>
        <v>-95.6637</v>
      </c>
      <c r="K1947" s="8" t="str">
        <f t="shared" si="3"/>
        <v>Nov</v>
      </c>
      <c r="L1947" s="8">
        <f t="shared" si="4"/>
        <v>2029</v>
      </c>
      <c r="N1947" s="8" t="str">
        <f t="array" ref="N1947">XLOOKUP(C1947,Customer_Dim!A:A,Customer_Dim!B:B,"Not Found")</f>
        <v>Hayley Pope</v>
      </c>
      <c r="O1947" s="8" t="str">
        <f t="array" ref="O1947">XLOOKUP(C1947,Customer_Dim!A:A,Customer_Dim!E:E,"Not Found")</f>
        <v>West Stephenville</v>
      </c>
      <c r="P1947" s="8" t="str">
        <f t="array" ref="P1947">XLOOKUP(D1947,Product_Dim!A:A,Product_Dim!B:B,"Not Found")</f>
        <v>Vitamin E Body Lotion</v>
      </c>
      <c r="Q1947" s="8" t="str">
        <f t="array" ref="Q1947">XLOOKUP(D1947,Product_Dim!A:A,Product_Dim!C:C,"Not Found")</f>
        <v>Beauty</v>
      </c>
      <c r="R1947" s="8" t="str">
        <f t="array" ref="R1947">XLOOKUP(E1947,Store_Dim!A:A,Store_Dim!B:B,"Not Found")</f>
        <v>North</v>
      </c>
      <c r="S1947" s="8" t="str">
        <f t="array" ref="S1947">XLOOKUP(E1947,Store_Dim!A:A,Store_Dim!D:D,"Not Found")</f>
        <v>Flagship</v>
      </c>
    </row>
    <row r="1948" ht="14.25" customHeight="1">
      <c r="A1948" s="8" t="s">
        <v>3901</v>
      </c>
      <c r="B1948" s="12">
        <v>47426.0</v>
      </c>
      <c r="C1948" s="8" t="s">
        <v>1191</v>
      </c>
      <c r="D1948" s="8" t="s">
        <v>1601</v>
      </c>
      <c r="E1948" s="8" t="s">
        <v>1931</v>
      </c>
      <c r="F1948" s="8">
        <v>4.0</v>
      </c>
      <c r="G1948" s="8">
        <v>243.13</v>
      </c>
      <c r="H1948" s="8">
        <v>0.25</v>
      </c>
      <c r="I1948" s="8">
        <f t="shared" si="1"/>
        <v>972.52</v>
      </c>
      <c r="J1948" s="8">
        <f t="shared" si="2"/>
        <v>-242.88</v>
      </c>
      <c r="K1948" s="8" t="str">
        <f t="shared" si="3"/>
        <v>Nov</v>
      </c>
      <c r="L1948" s="8">
        <f t="shared" si="4"/>
        <v>2029</v>
      </c>
      <c r="N1948" s="8" t="str">
        <f t="array" ref="N1948">XLOOKUP(C1948,Customer_Dim!A:A,Customer_Dim!B:B,"Not Found")</f>
        <v>Michele Burke</v>
      </c>
      <c r="O1948" s="8" t="str">
        <f t="array" ref="O1948">XLOOKUP(C1948,Customer_Dim!A:A,Customer_Dim!E:E,"Not Found")</f>
        <v>Chambersberg</v>
      </c>
      <c r="P1948" s="8" t="str">
        <f t="array" ref="P1948">XLOOKUP(D1948,Product_Dim!A:A,Product_Dim!B:B,"Not Found")</f>
        <v>Adjustable Dumbbell Set</v>
      </c>
      <c r="Q1948" s="8" t="str">
        <f t="array" ref="Q1948">XLOOKUP(D1948,Product_Dim!A:A,Product_Dim!C:C,"Not Found")</f>
        <v>Sports</v>
      </c>
      <c r="R1948" s="8" t="str">
        <f t="array" ref="R1948">XLOOKUP(E1948,Store_Dim!A:A,Store_Dim!B:B,"Not Found")</f>
        <v>East</v>
      </c>
      <c r="S1948" s="8" t="str">
        <f t="array" ref="S1948">XLOOKUP(E1948,Store_Dim!A:A,Store_Dim!D:D,"Not Found")</f>
        <v>Flagship</v>
      </c>
    </row>
    <row r="1949" ht="14.25" customHeight="1">
      <c r="A1949" s="8" t="s">
        <v>3902</v>
      </c>
      <c r="B1949" s="12">
        <v>47427.0</v>
      </c>
      <c r="C1949" s="8" t="s">
        <v>752</v>
      </c>
      <c r="D1949" s="8" t="s">
        <v>1766</v>
      </c>
      <c r="E1949" s="8" t="s">
        <v>1928</v>
      </c>
      <c r="F1949" s="8">
        <v>2.0</v>
      </c>
      <c r="G1949" s="8">
        <v>410.63</v>
      </c>
      <c r="H1949" s="8">
        <v>0.28</v>
      </c>
      <c r="I1949" s="8">
        <f t="shared" si="1"/>
        <v>821.26</v>
      </c>
      <c r="J1949" s="8">
        <f t="shared" si="2"/>
        <v>-229.6728</v>
      </c>
      <c r="K1949" s="8" t="str">
        <f t="shared" si="3"/>
        <v>Nov</v>
      </c>
      <c r="L1949" s="8">
        <f t="shared" si="4"/>
        <v>2029</v>
      </c>
      <c r="N1949" s="8" t="str">
        <f t="array" ref="N1949">XLOOKUP(C1949,Customer_Dim!A:A,Customer_Dim!B:B,"Not Found")</f>
        <v>Tanner Thompson</v>
      </c>
      <c r="O1949" s="8" t="str">
        <f t="array" ref="O1949">XLOOKUP(C1949,Customer_Dim!A:A,Customer_Dim!E:E,"Not Found")</f>
        <v>Port Lisashire</v>
      </c>
      <c r="P1949" s="8" t="str">
        <f t="array" ref="P1949">XLOOKUP(D1949,Product_Dim!A:A,Product_Dim!B:B,"Not Found")</f>
        <v>Men's Hair Styling Gel</v>
      </c>
      <c r="Q1949" s="8" t="str">
        <f t="array" ref="Q1949">XLOOKUP(D1949,Product_Dim!A:A,Product_Dim!C:C,"Not Found")</f>
        <v>Beauty</v>
      </c>
      <c r="R1949" s="8" t="str">
        <f t="array" ref="R1949">XLOOKUP(E1949,Store_Dim!A:A,Store_Dim!B:B,"Not Found")</f>
        <v>South</v>
      </c>
      <c r="S1949" s="8" t="str">
        <f t="array" ref="S1949">XLOOKUP(E1949,Store_Dim!A:A,Store_Dim!D:D,"Not Found")</f>
        <v>Online</v>
      </c>
    </row>
    <row r="1950" ht="14.25" customHeight="1">
      <c r="A1950" s="8" t="s">
        <v>3903</v>
      </c>
      <c r="B1950" s="12">
        <v>47428.0</v>
      </c>
      <c r="C1950" s="8" t="s">
        <v>1335</v>
      </c>
      <c r="D1950" s="8" t="s">
        <v>1872</v>
      </c>
      <c r="E1950" s="8" t="s">
        <v>1926</v>
      </c>
      <c r="F1950" s="8">
        <v>4.0</v>
      </c>
      <c r="G1950" s="8">
        <v>101.25</v>
      </c>
      <c r="H1950" s="8">
        <v>0.16</v>
      </c>
      <c r="I1950" s="8">
        <f t="shared" si="1"/>
        <v>405</v>
      </c>
      <c r="J1950" s="8">
        <f t="shared" si="2"/>
        <v>-64.64</v>
      </c>
      <c r="K1950" s="8" t="str">
        <f t="shared" si="3"/>
        <v>Nov</v>
      </c>
      <c r="L1950" s="8">
        <f t="shared" si="4"/>
        <v>2029</v>
      </c>
      <c r="N1950" s="8" t="str">
        <f t="array" ref="N1950">XLOOKUP(C1950,Customer_Dim!A:A,Customer_Dim!B:B,"Not Found")</f>
        <v>Bryce Hawkins</v>
      </c>
      <c r="O1950" s="8" t="str">
        <f t="array" ref="O1950">XLOOKUP(C1950,Customer_Dim!A:A,Customer_Dim!E:E,"Not Found")</f>
        <v>Lake Monique</v>
      </c>
      <c r="P1950" s="8" t="str">
        <f t="array" ref="P1950">XLOOKUP(D1950,Product_Dim!A:A,Product_Dim!B:B,"Not Found")</f>
        <v>Vitamin E Body Lotion</v>
      </c>
      <c r="Q1950" s="8" t="str">
        <f t="array" ref="Q1950">XLOOKUP(D1950,Product_Dim!A:A,Product_Dim!C:C,"Not Found")</f>
        <v>Beauty</v>
      </c>
      <c r="R1950" s="8" t="str">
        <f t="array" ref="R1950">XLOOKUP(E1950,Store_Dim!A:A,Store_Dim!B:B,"Not Found")</f>
        <v>East</v>
      </c>
      <c r="S1950" s="8" t="str">
        <f t="array" ref="S1950">XLOOKUP(E1950,Store_Dim!A:A,Store_Dim!D:D,"Not Found")</f>
        <v>Online</v>
      </c>
    </row>
    <row r="1951" ht="14.25" customHeight="1">
      <c r="A1951" s="8" t="s">
        <v>3904</v>
      </c>
      <c r="B1951" s="12">
        <v>47429.0</v>
      </c>
      <c r="C1951" s="8" t="s">
        <v>745</v>
      </c>
      <c r="D1951" s="8" t="s">
        <v>1592</v>
      </c>
      <c r="E1951" s="8" t="s">
        <v>1937</v>
      </c>
      <c r="F1951" s="8">
        <v>4.0</v>
      </c>
      <c r="G1951" s="8">
        <v>716.39</v>
      </c>
      <c r="H1951" s="8">
        <v>0.03</v>
      </c>
      <c r="I1951" s="8">
        <f t="shared" si="1"/>
        <v>2865.56</v>
      </c>
      <c r="J1951" s="8">
        <f t="shared" si="2"/>
        <v>-85.9368</v>
      </c>
      <c r="K1951" s="8" t="str">
        <f t="shared" si="3"/>
        <v>Nov</v>
      </c>
      <c r="L1951" s="8">
        <f t="shared" si="4"/>
        <v>2029</v>
      </c>
      <c r="N1951" s="8" t="str">
        <f t="array" ref="N1951">XLOOKUP(C1951,Customer_Dim!A:A,Customer_Dim!B:B,"Not Found")</f>
        <v>Alexis Castaneda</v>
      </c>
      <c r="O1951" s="8" t="str">
        <f t="array" ref="O1951">XLOOKUP(C1951,Customer_Dim!A:A,Customer_Dim!E:E,"Not Found")</f>
        <v>Morrisbury</v>
      </c>
      <c r="P1951" s="8" t="str">
        <f t="array" ref="P1951">XLOOKUP(D1951,Product_Dim!A:A,Product_Dim!B:B,"Not Found")</f>
        <v>LED Table Lamp</v>
      </c>
      <c r="Q1951" s="8" t="str">
        <f t="array" ref="Q1951">XLOOKUP(D1951,Product_Dim!A:A,Product_Dim!C:C,"Not Found")</f>
        <v>Home</v>
      </c>
      <c r="R1951" s="8" t="str">
        <f t="array" ref="R1951">XLOOKUP(E1951,Store_Dim!A:A,Store_Dim!B:B,"Not Found")</f>
        <v>North</v>
      </c>
      <c r="S1951" s="8" t="str">
        <f t="array" ref="S1951">XLOOKUP(E1951,Store_Dim!A:A,Store_Dim!D:D,"Not Found")</f>
        <v>Flagship</v>
      </c>
    </row>
    <row r="1952" ht="14.25" customHeight="1">
      <c r="A1952" s="8" t="s">
        <v>3905</v>
      </c>
      <c r="B1952" s="12">
        <v>47430.0</v>
      </c>
      <c r="C1952" s="8" t="s">
        <v>348</v>
      </c>
      <c r="D1952" s="8" t="s">
        <v>1809</v>
      </c>
      <c r="E1952" s="8" t="s">
        <v>1903</v>
      </c>
      <c r="F1952" s="8">
        <v>1.0</v>
      </c>
      <c r="G1952" s="8">
        <v>721.74</v>
      </c>
      <c r="H1952" s="8">
        <v>0.24</v>
      </c>
      <c r="I1952" s="8">
        <f t="shared" si="1"/>
        <v>721.74</v>
      </c>
      <c r="J1952" s="8">
        <f t="shared" si="2"/>
        <v>-172.9776</v>
      </c>
      <c r="K1952" s="8" t="str">
        <f t="shared" si="3"/>
        <v>Nov</v>
      </c>
      <c r="L1952" s="8">
        <f t="shared" si="4"/>
        <v>2029</v>
      </c>
      <c r="N1952" s="8" t="str">
        <f t="array" ref="N1952">XLOOKUP(C1952,Customer_Dim!A:A,Customer_Dim!B:B,"Not Found")</f>
        <v>David Patterson</v>
      </c>
      <c r="O1952" s="8" t="str">
        <f t="array" ref="O1952">XLOOKUP(C1952,Customer_Dim!A:A,Customer_Dim!E:E,"Not Found")</f>
        <v>New Amyport</v>
      </c>
      <c r="P1952" s="8" t="str">
        <f t="array" ref="P1952">XLOOKUP(D1952,Product_Dim!A:A,Product_Dim!B:B,"Not Found")</f>
        <v>Shin Guards – Adult</v>
      </c>
      <c r="Q1952" s="8" t="str">
        <f t="array" ref="Q1952">XLOOKUP(D1952,Product_Dim!A:A,Product_Dim!C:C,"Not Found")</f>
        <v>Sports</v>
      </c>
      <c r="R1952" s="8" t="str">
        <f t="array" ref="R1952">XLOOKUP(E1952,Store_Dim!A:A,Store_Dim!B:B,"Not Found")</f>
        <v>North</v>
      </c>
      <c r="S1952" s="8" t="str">
        <f t="array" ref="S1952">XLOOKUP(E1952,Store_Dim!A:A,Store_Dim!D:D,"Not Found")</f>
        <v>Flagship</v>
      </c>
    </row>
    <row r="1953" ht="14.25" customHeight="1">
      <c r="A1953" s="8" t="s">
        <v>3906</v>
      </c>
      <c r="B1953" s="12">
        <v>47431.0</v>
      </c>
      <c r="C1953" s="8" t="s">
        <v>215</v>
      </c>
      <c r="D1953" s="8" t="s">
        <v>1775</v>
      </c>
      <c r="E1953" s="8" t="s">
        <v>1928</v>
      </c>
      <c r="F1953" s="8">
        <v>2.0</v>
      </c>
      <c r="G1953" s="8">
        <v>527.91</v>
      </c>
      <c r="H1953" s="8">
        <v>0.02</v>
      </c>
      <c r="I1953" s="8">
        <f t="shared" si="1"/>
        <v>1055.82</v>
      </c>
      <c r="J1953" s="8">
        <f t="shared" si="2"/>
        <v>-21.0964</v>
      </c>
      <c r="K1953" s="8" t="str">
        <f t="shared" si="3"/>
        <v>Nov</v>
      </c>
      <c r="L1953" s="8">
        <f t="shared" si="4"/>
        <v>2029</v>
      </c>
      <c r="N1953" s="8" t="str">
        <f t="array" ref="N1953">XLOOKUP(C1953,Customer_Dim!A:A,Customer_Dim!B:B,"Not Found")</f>
        <v>Katherine Dorsey</v>
      </c>
      <c r="O1953" s="8" t="str">
        <f t="array" ref="O1953">XLOOKUP(C1953,Customer_Dim!A:A,Customer_Dim!E:E,"Not Found")</f>
        <v>Christopherland</v>
      </c>
      <c r="P1953" s="8" t="str">
        <f t="array" ref="P1953">XLOOKUP(D1953,Product_Dim!A:A,Product_Dim!B:B,"Not Found")</f>
        <v>Laptop Cooling Pad</v>
      </c>
      <c r="Q1953" s="8" t="str">
        <f t="array" ref="Q1953">XLOOKUP(D1953,Product_Dim!A:A,Product_Dim!C:C,"Not Found")</f>
        <v>Electronics</v>
      </c>
      <c r="R1953" s="8" t="str">
        <f t="array" ref="R1953">XLOOKUP(E1953,Store_Dim!A:A,Store_Dim!B:B,"Not Found")</f>
        <v>South</v>
      </c>
      <c r="S1953" s="8" t="str">
        <f t="array" ref="S1953">XLOOKUP(E1953,Store_Dim!A:A,Store_Dim!D:D,"Not Found")</f>
        <v>Online</v>
      </c>
    </row>
    <row r="1954" ht="14.25" customHeight="1">
      <c r="A1954" s="8" t="s">
        <v>3907</v>
      </c>
      <c r="B1954" s="12">
        <v>47432.0</v>
      </c>
      <c r="C1954" s="8" t="s">
        <v>1020</v>
      </c>
      <c r="D1954" s="8" t="s">
        <v>1745</v>
      </c>
      <c r="E1954" s="8" t="s">
        <v>1931</v>
      </c>
      <c r="F1954" s="8">
        <v>2.0</v>
      </c>
      <c r="G1954" s="8">
        <v>945.92</v>
      </c>
      <c r="H1954" s="8">
        <v>0.19</v>
      </c>
      <c r="I1954" s="8">
        <f t="shared" si="1"/>
        <v>1891.84</v>
      </c>
      <c r="J1954" s="8">
        <f t="shared" si="2"/>
        <v>-359.2596</v>
      </c>
      <c r="K1954" s="8" t="str">
        <f t="shared" si="3"/>
        <v>Nov</v>
      </c>
      <c r="L1954" s="8">
        <f t="shared" si="4"/>
        <v>2029</v>
      </c>
      <c r="N1954" s="8" t="str">
        <f t="array" ref="N1954">XLOOKUP(C1954,Customer_Dim!A:A,Customer_Dim!B:B,"Not Found")</f>
        <v>Casey Simpson</v>
      </c>
      <c r="O1954" s="8" t="str">
        <f t="array" ref="O1954">XLOOKUP(C1954,Customer_Dim!A:A,Customer_Dim!E:E,"Not Found")</f>
        <v>West Mathewside</v>
      </c>
      <c r="P1954" s="8" t="str">
        <f t="array" ref="P1954">XLOOKUP(D1954,Product_Dim!A:A,Product_Dim!B:B,"Not Found")</f>
        <v>Rugby Ball</v>
      </c>
      <c r="Q1954" s="8" t="str">
        <f t="array" ref="Q1954">XLOOKUP(D1954,Product_Dim!A:A,Product_Dim!C:C,"Not Found")</f>
        <v>Sports</v>
      </c>
      <c r="R1954" s="8" t="str">
        <f t="array" ref="R1954">XLOOKUP(E1954,Store_Dim!A:A,Store_Dim!B:B,"Not Found")</f>
        <v>East</v>
      </c>
      <c r="S1954" s="8" t="str">
        <f t="array" ref="S1954">XLOOKUP(E1954,Store_Dim!A:A,Store_Dim!D:D,"Not Found")</f>
        <v>Flagship</v>
      </c>
    </row>
    <row r="1955" ht="14.25" customHeight="1">
      <c r="A1955" s="8" t="s">
        <v>3908</v>
      </c>
      <c r="B1955" s="12">
        <v>47433.0</v>
      </c>
      <c r="C1955" s="8" t="s">
        <v>305</v>
      </c>
      <c r="D1955" s="8" t="s">
        <v>1757</v>
      </c>
      <c r="E1955" s="8" t="s">
        <v>1937</v>
      </c>
      <c r="F1955" s="8">
        <v>2.0</v>
      </c>
      <c r="G1955" s="8">
        <v>981.35</v>
      </c>
      <c r="H1955" s="8">
        <v>0.16</v>
      </c>
      <c r="I1955" s="8">
        <f t="shared" si="1"/>
        <v>1962.7</v>
      </c>
      <c r="J1955" s="8">
        <f t="shared" si="2"/>
        <v>-313.872</v>
      </c>
      <c r="K1955" s="8" t="str">
        <f t="shared" si="3"/>
        <v>Nov</v>
      </c>
      <c r="L1955" s="8">
        <f t="shared" si="4"/>
        <v>2029</v>
      </c>
      <c r="N1955" s="8" t="str">
        <f t="array" ref="N1955">XLOOKUP(C1955,Customer_Dim!A:A,Customer_Dim!B:B,"Not Found")</f>
        <v>Krystal Ford</v>
      </c>
      <c r="O1955" s="8" t="str">
        <f t="array" ref="O1955">XLOOKUP(C1955,Customer_Dim!A:A,Customer_Dim!E:E,"Not Found")</f>
        <v>South David</v>
      </c>
      <c r="P1955" s="8" t="str">
        <f t="array" ref="P1955">XLOOKUP(D1955,Product_Dim!A:A,Product_Dim!B:B,"Not Found")</f>
        <v>Premium Blanket Throw</v>
      </c>
      <c r="Q1955" s="8" t="str">
        <f t="array" ref="Q1955">XLOOKUP(D1955,Product_Dim!A:A,Product_Dim!C:C,"Not Found")</f>
        <v>Home</v>
      </c>
      <c r="R1955" s="8" t="str">
        <f t="array" ref="R1955">XLOOKUP(E1955,Store_Dim!A:A,Store_Dim!B:B,"Not Found")</f>
        <v>North</v>
      </c>
      <c r="S1955" s="8" t="str">
        <f t="array" ref="S1955">XLOOKUP(E1955,Store_Dim!A:A,Store_Dim!D:D,"Not Found")</f>
        <v>Flagship</v>
      </c>
    </row>
    <row r="1956" ht="14.25" customHeight="1">
      <c r="A1956" s="8" t="s">
        <v>3909</v>
      </c>
      <c r="B1956" s="12">
        <v>47434.0</v>
      </c>
      <c r="C1956" s="8" t="s">
        <v>736</v>
      </c>
      <c r="D1956" s="8" t="s">
        <v>1766</v>
      </c>
      <c r="E1956" s="8" t="s">
        <v>1910</v>
      </c>
      <c r="F1956" s="8">
        <v>1.0</v>
      </c>
      <c r="G1956" s="8">
        <v>913.99</v>
      </c>
      <c r="H1956" s="8">
        <v>0.14</v>
      </c>
      <c r="I1956" s="8">
        <f t="shared" si="1"/>
        <v>913.99</v>
      </c>
      <c r="J1956" s="8">
        <f t="shared" si="2"/>
        <v>-127.8186</v>
      </c>
      <c r="K1956" s="8" t="str">
        <f t="shared" si="3"/>
        <v>Nov</v>
      </c>
      <c r="L1956" s="8">
        <f t="shared" si="4"/>
        <v>2029</v>
      </c>
      <c r="N1956" s="8" t="str">
        <f t="array" ref="N1956">XLOOKUP(C1956,Customer_Dim!A:A,Customer_Dim!B:B,"Not Found")</f>
        <v>Robert Harris</v>
      </c>
      <c r="O1956" s="8" t="str">
        <f t="array" ref="O1956">XLOOKUP(C1956,Customer_Dim!A:A,Customer_Dim!E:E,"Not Found")</f>
        <v>East jeremy</v>
      </c>
      <c r="P1956" s="8" t="str">
        <f t="array" ref="P1956">XLOOKUP(D1956,Product_Dim!A:A,Product_Dim!B:B,"Not Found")</f>
        <v>Men's Hair Styling Gel</v>
      </c>
      <c r="Q1956" s="8" t="str">
        <f t="array" ref="Q1956">XLOOKUP(D1956,Product_Dim!A:A,Product_Dim!C:C,"Not Found")</f>
        <v>Beauty</v>
      </c>
      <c r="R1956" s="8" t="str">
        <f t="array" ref="R1956">XLOOKUP(E1956,Store_Dim!A:A,Store_Dim!B:B,"Not Found")</f>
        <v>North</v>
      </c>
      <c r="S1956" s="8" t="str">
        <f t="array" ref="S1956">XLOOKUP(E1956,Store_Dim!A:A,Store_Dim!D:D,"Not Found")</f>
        <v>Outlet</v>
      </c>
    </row>
    <row r="1957" ht="14.25" customHeight="1">
      <c r="A1957" s="8" t="s">
        <v>3910</v>
      </c>
      <c r="B1957" s="12">
        <v>47435.0</v>
      </c>
      <c r="C1957" s="8" t="s">
        <v>64</v>
      </c>
      <c r="D1957" s="8" t="s">
        <v>1787</v>
      </c>
      <c r="E1957" s="8" t="s">
        <v>1921</v>
      </c>
      <c r="F1957" s="8">
        <v>4.0</v>
      </c>
      <c r="G1957" s="8">
        <v>270.69</v>
      </c>
      <c r="H1957" s="8">
        <v>0.18</v>
      </c>
      <c r="I1957" s="8">
        <f t="shared" si="1"/>
        <v>1082.76</v>
      </c>
      <c r="J1957" s="8">
        <f t="shared" si="2"/>
        <v>-194.7168</v>
      </c>
      <c r="K1957" s="8" t="str">
        <f t="shared" si="3"/>
        <v>Nov</v>
      </c>
      <c r="L1957" s="8">
        <f t="shared" si="4"/>
        <v>2029</v>
      </c>
      <c r="N1957" s="8" t="str">
        <f t="array" ref="N1957">XLOOKUP(C1957,Customer_Dim!A:A,Customer_Dim!B:B,"Not Found")</f>
        <v>Brian Lopez</v>
      </c>
      <c r="O1957" s="8" t="str">
        <f t="array" ref="O1957">XLOOKUP(C1957,Customer_Dim!A:A,Customer_Dim!E:E,"Not Found")</f>
        <v>East Krista</v>
      </c>
      <c r="P1957" s="8" t="str">
        <f t="array" ref="P1957">XLOOKUP(D1957,Product_Dim!A:A,Product_Dim!B:B,"Not Found")</f>
        <v>Women's Hair Dryer Brush</v>
      </c>
      <c r="Q1957" s="8" t="str">
        <f t="array" ref="Q1957">XLOOKUP(D1957,Product_Dim!A:A,Product_Dim!C:C,"Not Found")</f>
        <v>Beauty</v>
      </c>
      <c r="R1957" s="8" t="str">
        <f t="array" ref="R1957">XLOOKUP(E1957,Store_Dim!A:A,Store_Dim!B:B,"Not Found")</f>
        <v>West</v>
      </c>
      <c r="S1957" s="8" t="str">
        <f t="array" ref="S1957">XLOOKUP(E1957,Store_Dim!A:A,Store_Dim!D:D,"Not Found")</f>
        <v>Online</v>
      </c>
    </row>
    <row r="1958" ht="14.25" customHeight="1">
      <c r="A1958" s="8" t="s">
        <v>3911</v>
      </c>
      <c r="B1958" s="12">
        <v>47436.0</v>
      </c>
      <c r="C1958" s="8" t="s">
        <v>550</v>
      </c>
      <c r="D1958" s="8" t="s">
        <v>1821</v>
      </c>
      <c r="E1958" s="8" t="s">
        <v>1917</v>
      </c>
      <c r="F1958" s="8">
        <v>3.0</v>
      </c>
      <c r="G1958" s="8">
        <v>998.58</v>
      </c>
      <c r="H1958" s="8">
        <v>0.02</v>
      </c>
      <c r="I1958" s="8">
        <f t="shared" si="1"/>
        <v>2995.74</v>
      </c>
      <c r="J1958" s="8">
        <f t="shared" si="2"/>
        <v>-59.8948</v>
      </c>
      <c r="K1958" s="8" t="str">
        <f t="shared" si="3"/>
        <v>Nov</v>
      </c>
      <c r="L1958" s="8">
        <f t="shared" si="4"/>
        <v>2029</v>
      </c>
      <c r="N1958" s="8" t="str">
        <f t="array" ref="N1958">XLOOKUP(C1958,Customer_Dim!A:A,Customer_Dim!B:B,"Not Found")</f>
        <v>Cynthia Morris</v>
      </c>
      <c r="O1958" s="8" t="str">
        <f t="array" ref="O1958">XLOOKUP(C1958,Customer_Dim!A:A,Customer_Dim!E:E,"Not Found")</f>
        <v>Hessmouth</v>
      </c>
      <c r="P1958" s="8" t="str">
        <f t="array" ref="P1958">XLOOKUP(D1958,Product_Dim!A:A,Product_Dim!B:B,"Not Found")</f>
        <v>WiFi Mesh Router</v>
      </c>
      <c r="Q1958" s="8" t="str">
        <f t="array" ref="Q1958">XLOOKUP(D1958,Product_Dim!A:A,Product_Dim!C:C,"Not Found")</f>
        <v>Electronics</v>
      </c>
      <c r="R1958" s="8" t="str">
        <f t="array" ref="R1958">XLOOKUP(E1958,Store_Dim!A:A,Store_Dim!B:B,"Not Found")</f>
        <v>East</v>
      </c>
      <c r="S1958" s="8" t="str">
        <f t="array" ref="S1958">XLOOKUP(E1958,Store_Dim!A:A,Store_Dim!D:D,"Not Found")</f>
        <v>Online</v>
      </c>
    </row>
    <row r="1959" ht="14.25" customHeight="1">
      <c r="A1959" s="8" t="s">
        <v>3912</v>
      </c>
      <c r="B1959" s="12">
        <v>47437.0</v>
      </c>
      <c r="C1959" s="8" t="s">
        <v>1424</v>
      </c>
      <c r="D1959" s="8" t="s">
        <v>1696</v>
      </c>
      <c r="E1959" s="8" t="s">
        <v>1924</v>
      </c>
      <c r="F1959" s="8">
        <v>3.0</v>
      </c>
      <c r="G1959" s="8">
        <v>765.12</v>
      </c>
      <c r="H1959" s="8">
        <v>0.18</v>
      </c>
      <c r="I1959" s="8">
        <f t="shared" si="1"/>
        <v>2295.36</v>
      </c>
      <c r="J1959" s="8">
        <f t="shared" si="2"/>
        <v>-412.9848</v>
      </c>
      <c r="K1959" s="8" t="str">
        <f t="shared" si="3"/>
        <v>Nov</v>
      </c>
      <c r="L1959" s="8">
        <f t="shared" si="4"/>
        <v>2029</v>
      </c>
      <c r="N1959" s="8" t="str">
        <f t="array" ref="N1959">XLOOKUP(C1959,Customer_Dim!A:A,Customer_Dim!B:B,"Not Found")</f>
        <v>Julie Powell</v>
      </c>
      <c r="O1959" s="8" t="str">
        <f t="array" ref="O1959">XLOOKUP(C1959,Customer_Dim!A:A,Customer_Dim!E:E,"Not Found")</f>
        <v>South Barbara</v>
      </c>
      <c r="P1959" s="8" t="str">
        <f t="array" ref="P1959">XLOOKUP(D1959,Product_Dim!A:A,Product_Dim!B:B,"Not Found")</f>
        <v>Men's Casual Sneakers</v>
      </c>
      <c r="Q1959" s="8" t="str">
        <f t="array" ref="Q1959">XLOOKUP(D1959,Product_Dim!A:A,Product_Dim!C:C,"Not Found")</f>
        <v>Clothing</v>
      </c>
      <c r="R1959" s="8" t="str">
        <f t="array" ref="R1959">XLOOKUP(E1959,Store_Dim!A:A,Store_Dim!B:B,"Not Found")</f>
        <v>South</v>
      </c>
      <c r="S1959" s="8" t="str">
        <f t="array" ref="S1959">XLOOKUP(E1959,Store_Dim!A:A,Store_Dim!D:D,"Not Found")</f>
        <v>Flagship</v>
      </c>
    </row>
    <row r="1960" ht="14.25" customHeight="1">
      <c r="A1960" s="8" t="s">
        <v>3913</v>
      </c>
      <c r="B1960" s="12">
        <v>47438.0</v>
      </c>
      <c r="C1960" s="8" t="s">
        <v>274</v>
      </c>
      <c r="D1960" s="8" t="s">
        <v>1781</v>
      </c>
      <c r="E1960" s="8" t="s">
        <v>1941</v>
      </c>
      <c r="F1960" s="8">
        <v>3.0</v>
      </c>
      <c r="G1960" s="8">
        <v>449.99</v>
      </c>
      <c r="H1960" s="8">
        <v>0.17</v>
      </c>
      <c r="I1960" s="8">
        <f t="shared" si="1"/>
        <v>1349.97</v>
      </c>
      <c r="J1960" s="8">
        <f t="shared" si="2"/>
        <v>-229.3249</v>
      </c>
      <c r="K1960" s="8" t="str">
        <f t="shared" si="3"/>
        <v>Nov</v>
      </c>
      <c r="L1960" s="8">
        <f t="shared" si="4"/>
        <v>2029</v>
      </c>
      <c r="N1960" s="8" t="str">
        <f t="array" ref="N1960">XLOOKUP(C1960,Customer_Dim!A:A,Customer_Dim!B:B,"Not Found")</f>
        <v>Tonya Burch</v>
      </c>
      <c r="O1960" s="8" t="str">
        <f t="array" ref="O1960">XLOOKUP(C1960,Customer_Dim!A:A,Customer_Dim!E:E,"Not Found")</f>
        <v>Olsonhaven</v>
      </c>
      <c r="P1960" s="8" t="str">
        <f t="array" ref="P1960">XLOOKUP(D1960,Product_Dim!A:A,Product_Dim!B:B,"Not Found")</f>
        <v>Matte Lipstick Set</v>
      </c>
      <c r="Q1960" s="8" t="str">
        <f t="array" ref="Q1960">XLOOKUP(D1960,Product_Dim!A:A,Product_Dim!C:C,"Not Found")</f>
        <v>Beauty</v>
      </c>
      <c r="R1960" s="8" t="str">
        <f t="array" ref="R1960">XLOOKUP(E1960,Store_Dim!A:A,Store_Dim!B:B,"Not Found")</f>
        <v>East</v>
      </c>
      <c r="S1960" s="8" t="str">
        <f t="array" ref="S1960">XLOOKUP(E1960,Store_Dim!A:A,Store_Dim!D:D,"Not Found")</f>
        <v>Online</v>
      </c>
    </row>
    <row r="1961" ht="14.25" customHeight="1">
      <c r="A1961" s="8" t="s">
        <v>3914</v>
      </c>
      <c r="B1961" s="12">
        <v>47439.0</v>
      </c>
      <c r="C1961" s="8" t="s">
        <v>821</v>
      </c>
      <c r="D1961" s="8" t="s">
        <v>1716</v>
      </c>
      <c r="E1961" s="8" t="s">
        <v>1928</v>
      </c>
      <c r="F1961" s="8">
        <v>2.0</v>
      </c>
      <c r="G1961" s="8">
        <v>249.02</v>
      </c>
      <c r="H1961" s="8">
        <v>0.01</v>
      </c>
      <c r="I1961" s="8">
        <f t="shared" si="1"/>
        <v>498.04</v>
      </c>
      <c r="J1961" s="8">
        <f t="shared" si="2"/>
        <v>-4.9704</v>
      </c>
      <c r="K1961" s="8" t="str">
        <f t="shared" si="3"/>
        <v>Nov</v>
      </c>
      <c r="L1961" s="8">
        <f t="shared" si="4"/>
        <v>2029</v>
      </c>
      <c r="N1961" s="8" t="str">
        <f t="array" ref="N1961">XLOOKUP(C1961,Customer_Dim!A:A,Customer_Dim!B:B,"Not Found")</f>
        <v>John Mccoy</v>
      </c>
      <c r="O1961" s="8" t="str">
        <f t="array" ref="O1961">XLOOKUP(C1961,Customer_Dim!A:A,Customer_Dim!E:E,"Not Found")</f>
        <v>Robinborough</v>
      </c>
      <c r="P1961" s="8" t="str">
        <f t="array" ref="P1961">XLOOKUP(D1961,Product_Dim!A:A,Product_Dim!B:B,"Not Found")</f>
        <v>USB External Hard Drive</v>
      </c>
      <c r="Q1961" s="8" t="str">
        <f t="array" ref="Q1961">XLOOKUP(D1961,Product_Dim!A:A,Product_Dim!C:C,"Not Found")</f>
        <v>Electronics</v>
      </c>
      <c r="R1961" s="8" t="str">
        <f t="array" ref="R1961">XLOOKUP(E1961,Store_Dim!A:A,Store_Dim!B:B,"Not Found")</f>
        <v>South</v>
      </c>
      <c r="S1961" s="8" t="str">
        <f t="array" ref="S1961">XLOOKUP(E1961,Store_Dim!A:A,Store_Dim!D:D,"Not Found")</f>
        <v>Online</v>
      </c>
    </row>
    <row r="1962" ht="14.25" customHeight="1">
      <c r="A1962" s="8" t="s">
        <v>3915</v>
      </c>
      <c r="B1962" s="12">
        <v>47440.0</v>
      </c>
      <c r="C1962" s="8" t="s">
        <v>479</v>
      </c>
      <c r="D1962" s="8" t="s">
        <v>1760</v>
      </c>
      <c r="E1962" s="8" t="s">
        <v>1941</v>
      </c>
      <c r="F1962" s="8">
        <v>3.0</v>
      </c>
      <c r="G1962" s="8">
        <v>223.64</v>
      </c>
      <c r="H1962" s="8">
        <v>0.05</v>
      </c>
      <c r="I1962" s="8">
        <f t="shared" si="1"/>
        <v>670.92</v>
      </c>
      <c r="J1962" s="8">
        <f t="shared" si="2"/>
        <v>-33.496</v>
      </c>
      <c r="K1962" s="8" t="str">
        <f t="shared" si="3"/>
        <v>Nov</v>
      </c>
      <c r="L1962" s="8">
        <f t="shared" si="4"/>
        <v>2029</v>
      </c>
      <c r="N1962" s="8" t="str">
        <f t="array" ref="N1962">XLOOKUP(C1962,Customer_Dim!A:A,Customer_Dim!B:B,"Not Found")</f>
        <v>Rick Dominguez</v>
      </c>
      <c r="O1962" s="8" t="str">
        <f t="array" ref="O1962">XLOOKUP(C1962,Customer_Dim!A:A,Customer_Dim!E:E,"Not Found")</f>
        <v>North Johnbury</v>
      </c>
      <c r="P1962" s="8" t="str">
        <f t="array" ref="P1962">XLOOKUP(D1962,Product_Dim!A:A,Product_Dim!B:B,"Not Found")</f>
        <v>Foam Roller</v>
      </c>
      <c r="Q1962" s="8" t="str">
        <f t="array" ref="Q1962">XLOOKUP(D1962,Product_Dim!A:A,Product_Dim!C:C,"Not Found")</f>
        <v>Sports</v>
      </c>
      <c r="R1962" s="8" t="str">
        <f t="array" ref="R1962">XLOOKUP(E1962,Store_Dim!A:A,Store_Dim!B:B,"Not Found")</f>
        <v>East</v>
      </c>
      <c r="S1962" s="8" t="str">
        <f t="array" ref="S1962">XLOOKUP(E1962,Store_Dim!A:A,Store_Dim!D:D,"Not Found")</f>
        <v>Online</v>
      </c>
    </row>
    <row r="1963" ht="14.25" customHeight="1">
      <c r="A1963" s="8" t="s">
        <v>3916</v>
      </c>
      <c r="B1963" s="12">
        <v>47441.0</v>
      </c>
      <c r="C1963" s="8" t="s">
        <v>385</v>
      </c>
      <c r="D1963" s="8" t="s">
        <v>1655</v>
      </c>
      <c r="E1963" s="8" t="s">
        <v>1912</v>
      </c>
      <c r="F1963" s="8">
        <v>2.0</v>
      </c>
      <c r="G1963" s="8">
        <v>92.94</v>
      </c>
      <c r="H1963" s="8">
        <v>0.12</v>
      </c>
      <c r="I1963" s="8">
        <f t="shared" si="1"/>
        <v>185.88</v>
      </c>
      <c r="J1963" s="8">
        <f t="shared" si="2"/>
        <v>-22.1856</v>
      </c>
      <c r="K1963" s="8" t="str">
        <f t="shared" si="3"/>
        <v>Nov</v>
      </c>
      <c r="L1963" s="8">
        <f t="shared" si="4"/>
        <v>2029</v>
      </c>
      <c r="N1963" s="8" t="str">
        <f t="array" ref="N1963">XLOOKUP(C1963,Customer_Dim!A:A,Customer_Dim!B:B,"Not Found")</f>
        <v>Howard Summers</v>
      </c>
      <c r="O1963" s="8" t="str">
        <f t="array" ref="O1963">XLOOKUP(C1963,Customer_Dim!A:A,Customer_Dim!E:E,"Not Found")</f>
        <v>East Linda</v>
      </c>
      <c r="P1963" s="8" t="str">
        <f t="array" ref="P1963">XLOOKUP(D1963,Product_Dim!A:A,Product_Dim!B:B,"Not Found")</f>
        <v>Foldable Camping Chair</v>
      </c>
      <c r="Q1963" s="8" t="str">
        <f t="array" ref="Q1963">XLOOKUP(D1963,Product_Dim!A:A,Product_Dim!C:C,"Not Found")</f>
        <v>Sports</v>
      </c>
      <c r="R1963" s="8" t="str">
        <f t="array" ref="R1963">XLOOKUP(E1963,Store_Dim!A:A,Store_Dim!B:B,"Not Found")</f>
        <v>South</v>
      </c>
      <c r="S1963" s="8" t="str">
        <f t="array" ref="S1963">XLOOKUP(E1963,Store_Dim!A:A,Store_Dim!D:D,"Not Found")</f>
        <v>Online</v>
      </c>
    </row>
    <row r="1964" ht="14.25" customHeight="1">
      <c r="A1964" s="8" t="s">
        <v>3917</v>
      </c>
      <c r="B1964" s="12">
        <v>47442.0</v>
      </c>
      <c r="C1964" s="8" t="s">
        <v>1146</v>
      </c>
      <c r="D1964" s="8" t="s">
        <v>1989</v>
      </c>
      <c r="E1964" s="8" t="s">
        <v>1906</v>
      </c>
      <c r="F1964" s="8">
        <v>4.0</v>
      </c>
      <c r="G1964" s="8">
        <v>268.3</v>
      </c>
      <c r="H1964" s="8">
        <v>0.02</v>
      </c>
      <c r="I1964" s="8">
        <f t="shared" si="1"/>
        <v>1073.2</v>
      </c>
      <c r="J1964" s="8">
        <f t="shared" si="2"/>
        <v>-21.444</v>
      </c>
      <c r="K1964" s="8" t="str">
        <f t="shared" si="3"/>
        <v>Nov</v>
      </c>
      <c r="L1964" s="8">
        <f t="shared" si="4"/>
        <v>2029</v>
      </c>
      <c r="N1964" s="8" t="str">
        <f t="array" ref="N1964">XLOOKUP(C1964,Customer_Dim!A:A,Customer_Dim!B:B,"Not Found")</f>
        <v>Natalie Johnson</v>
      </c>
      <c r="O1964" s="8" t="str">
        <f t="array" ref="O1964">XLOOKUP(C1964,Customer_Dim!A:A,Customer_Dim!E:E,"Not Found")</f>
        <v>New Jessechester</v>
      </c>
      <c r="P1964" s="8" t="str">
        <f t="array" ref="P1964">XLOOKUP(D1964,Product_Dim!A:A,Product_Dim!B:B,"Not Found")</f>
        <v>Not Found</v>
      </c>
      <c r="Q1964" s="8" t="str">
        <f t="array" ref="Q1964">XLOOKUP(D1964,Product_Dim!A:A,Product_Dim!C:C,"Not Found")</f>
        <v>Not Found</v>
      </c>
      <c r="R1964" s="8" t="str">
        <f t="array" ref="R1964">XLOOKUP(E1964,Store_Dim!A:A,Store_Dim!B:B,"Not Found")</f>
        <v>South</v>
      </c>
      <c r="S1964" s="8" t="str">
        <f t="array" ref="S1964">XLOOKUP(E1964,Store_Dim!A:A,Store_Dim!D:D,"Not Found")</f>
        <v>Outlet</v>
      </c>
    </row>
    <row r="1965" ht="14.25" customHeight="1">
      <c r="A1965" s="8" t="s">
        <v>3918</v>
      </c>
      <c r="B1965" s="12">
        <v>47443.0</v>
      </c>
      <c r="C1965" s="8" t="s">
        <v>1384</v>
      </c>
      <c r="D1965" s="8" t="s">
        <v>1766</v>
      </c>
      <c r="E1965" s="8" t="s">
        <v>1941</v>
      </c>
      <c r="F1965" s="8">
        <v>4.0</v>
      </c>
      <c r="G1965" s="8">
        <v>835.61</v>
      </c>
      <c r="H1965" s="8">
        <v>0.03</v>
      </c>
      <c r="I1965" s="8">
        <f t="shared" si="1"/>
        <v>3342.44</v>
      </c>
      <c r="J1965" s="8">
        <f t="shared" si="2"/>
        <v>-100.2432</v>
      </c>
      <c r="K1965" s="8" t="str">
        <f t="shared" si="3"/>
        <v>Nov</v>
      </c>
      <c r="L1965" s="8">
        <f t="shared" si="4"/>
        <v>2029</v>
      </c>
      <c r="N1965" s="8" t="str">
        <f t="array" ref="N1965">XLOOKUP(C1965,Customer_Dim!A:A,Customer_Dim!B:B,"Not Found")</f>
        <v>Kelli Smith</v>
      </c>
      <c r="O1965" s="8" t="str">
        <f t="array" ref="O1965">XLOOKUP(C1965,Customer_Dim!A:A,Customer_Dim!E:E,"Not Found")</f>
        <v>North Maryfort</v>
      </c>
      <c r="P1965" s="8" t="str">
        <f t="array" ref="P1965">XLOOKUP(D1965,Product_Dim!A:A,Product_Dim!B:B,"Not Found")</f>
        <v>Men's Hair Styling Gel</v>
      </c>
      <c r="Q1965" s="8" t="str">
        <f t="array" ref="Q1965">XLOOKUP(D1965,Product_Dim!A:A,Product_Dim!C:C,"Not Found")</f>
        <v>Beauty</v>
      </c>
      <c r="R1965" s="8" t="str">
        <f t="array" ref="R1965">XLOOKUP(E1965,Store_Dim!A:A,Store_Dim!B:B,"Not Found")</f>
        <v>East</v>
      </c>
      <c r="S1965" s="8" t="str">
        <f t="array" ref="S1965">XLOOKUP(E1965,Store_Dim!A:A,Store_Dim!D:D,"Not Found")</f>
        <v>Online</v>
      </c>
    </row>
    <row r="1966" ht="14.25" customHeight="1">
      <c r="A1966" s="8" t="s">
        <v>3919</v>
      </c>
      <c r="B1966" s="12">
        <v>47444.0</v>
      </c>
      <c r="C1966" s="8" t="s">
        <v>1209</v>
      </c>
      <c r="D1966" s="8" t="s">
        <v>1793</v>
      </c>
      <c r="E1966" s="8" t="s">
        <v>1915</v>
      </c>
      <c r="F1966" s="8">
        <v>3.0</v>
      </c>
      <c r="G1966" s="8">
        <v>120.97</v>
      </c>
      <c r="H1966" s="8">
        <v>0.11</v>
      </c>
      <c r="I1966" s="8">
        <f t="shared" si="1"/>
        <v>362.91</v>
      </c>
      <c r="J1966" s="8">
        <f t="shared" si="2"/>
        <v>-39.8101</v>
      </c>
      <c r="K1966" s="8" t="str">
        <f t="shared" si="3"/>
        <v>Nov</v>
      </c>
      <c r="L1966" s="8">
        <f t="shared" si="4"/>
        <v>2029</v>
      </c>
      <c r="N1966" s="8" t="str">
        <f t="array" ref="N1966">XLOOKUP(C1966,Customer_Dim!A:A,Customer_Dim!B:B,"Not Found")</f>
        <v>Martha Brown</v>
      </c>
      <c r="O1966" s="8" t="str">
        <f t="array" ref="O1966">XLOOKUP(C1966,Customer_Dim!A:A,Customer_Dim!E:E,"Not Found")</f>
        <v>Novakstad</v>
      </c>
      <c r="P1966" s="8" t="str">
        <f t="array" ref="P1966">XLOOKUP(D1966,Product_Dim!A:A,Product_Dim!B:B,"Not Found")</f>
        <v>Wooden Nightstand</v>
      </c>
      <c r="Q1966" s="8" t="str">
        <f t="array" ref="Q1966">XLOOKUP(D1966,Product_Dim!A:A,Product_Dim!C:C,"Not Found")</f>
        <v>Home</v>
      </c>
      <c r="R1966" s="8" t="str">
        <f t="array" ref="R1966">XLOOKUP(E1966,Store_Dim!A:A,Store_Dim!B:B,"Not Found")</f>
        <v>North</v>
      </c>
      <c r="S1966" s="8" t="str">
        <f t="array" ref="S1966">XLOOKUP(E1966,Store_Dim!A:A,Store_Dim!D:D,"Not Found")</f>
        <v>Outlet</v>
      </c>
    </row>
    <row r="1967" ht="14.25" customHeight="1">
      <c r="A1967" s="8" t="s">
        <v>3920</v>
      </c>
      <c r="B1967" s="12">
        <v>47445.0</v>
      </c>
      <c r="C1967" s="8" t="s">
        <v>134</v>
      </c>
      <c r="D1967" s="8" t="s">
        <v>1707</v>
      </c>
      <c r="E1967" s="8" t="s">
        <v>1924</v>
      </c>
      <c r="F1967" s="8">
        <v>2.0</v>
      </c>
      <c r="G1967" s="8">
        <v>26.36</v>
      </c>
      <c r="H1967" s="8">
        <v>0.03</v>
      </c>
      <c r="I1967" s="8">
        <f t="shared" si="1"/>
        <v>52.72</v>
      </c>
      <c r="J1967" s="8">
        <f t="shared" si="2"/>
        <v>-1.5516</v>
      </c>
      <c r="K1967" s="8" t="str">
        <f t="shared" si="3"/>
        <v>Nov</v>
      </c>
      <c r="L1967" s="8">
        <f t="shared" si="4"/>
        <v>2029</v>
      </c>
      <c r="N1967" s="8" t="str">
        <f t="array" ref="N1967">XLOOKUP(C1967,Customer_Dim!A:A,Customer_Dim!B:B,"Not Found")</f>
        <v>Jessica Acevedo</v>
      </c>
      <c r="O1967" s="8" t="str">
        <f t="array" ref="O1967">XLOOKUP(C1967,Customer_Dim!A:A,Customer_Dim!E:E,"Not Found")</f>
        <v>Amybury</v>
      </c>
      <c r="P1967" s="8" t="str">
        <f t="array" ref="P1967">XLOOKUP(D1967,Product_Dim!A:A,Product_Dim!B:B,"Not Found")</f>
        <v>Noise-Canceling Headphones</v>
      </c>
      <c r="Q1967" s="8" t="str">
        <f t="array" ref="Q1967">XLOOKUP(D1967,Product_Dim!A:A,Product_Dim!C:C,"Not Found")</f>
        <v>Electronics</v>
      </c>
      <c r="R1967" s="8" t="str">
        <f t="array" ref="R1967">XLOOKUP(E1967,Store_Dim!A:A,Store_Dim!B:B,"Not Found")</f>
        <v>South</v>
      </c>
      <c r="S1967" s="8" t="str">
        <f t="array" ref="S1967">XLOOKUP(E1967,Store_Dim!A:A,Store_Dim!D:D,"Not Found")</f>
        <v>Flagship</v>
      </c>
    </row>
    <row r="1968" ht="14.25" customHeight="1">
      <c r="A1968" s="8" t="s">
        <v>3921</v>
      </c>
      <c r="B1968" s="12">
        <v>47446.0</v>
      </c>
      <c r="C1968" s="8" t="s">
        <v>144</v>
      </c>
      <c r="D1968" s="8" t="s">
        <v>1821</v>
      </c>
      <c r="E1968" s="8" t="s">
        <v>1917</v>
      </c>
      <c r="F1968" s="8">
        <v>1.0</v>
      </c>
      <c r="G1968" s="8">
        <v>918.87</v>
      </c>
      <c r="H1968" s="8">
        <v>0.11</v>
      </c>
      <c r="I1968" s="8">
        <f t="shared" si="1"/>
        <v>918.87</v>
      </c>
      <c r="J1968" s="8">
        <f t="shared" si="2"/>
        <v>-100.9657</v>
      </c>
      <c r="K1968" s="8" t="str">
        <f t="shared" si="3"/>
        <v>Nov</v>
      </c>
      <c r="L1968" s="8">
        <f t="shared" si="4"/>
        <v>2029</v>
      </c>
      <c r="N1968" s="8" t="str">
        <f t="array" ref="N1968">XLOOKUP(C1968,Customer_Dim!A:A,Customer_Dim!B:B,"Not Found")</f>
        <v>Robert Jones DDS</v>
      </c>
      <c r="O1968" s="8" t="str">
        <f t="array" ref="O1968">XLOOKUP(C1968,Customer_Dim!A:A,Customer_Dim!E:E,"Not Found")</f>
        <v>Tristanton</v>
      </c>
      <c r="P1968" s="8" t="str">
        <f t="array" ref="P1968">XLOOKUP(D1968,Product_Dim!A:A,Product_Dim!B:B,"Not Found")</f>
        <v>WiFi Mesh Router</v>
      </c>
      <c r="Q1968" s="8" t="str">
        <f t="array" ref="Q1968">XLOOKUP(D1968,Product_Dim!A:A,Product_Dim!C:C,"Not Found")</f>
        <v>Electronics</v>
      </c>
      <c r="R1968" s="8" t="str">
        <f t="array" ref="R1968">XLOOKUP(E1968,Store_Dim!A:A,Store_Dim!B:B,"Not Found")</f>
        <v>East</v>
      </c>
      <c r="S1968" s="8" t="str">
        <f t="array" ref="S1968">XLOOKUP(E1968,Store_Dim!A:A,Store_Dim!D:D,"Not Found")</f>
        <v>Online</v>
      </c>
    </row>
    <row r="1969" ht="14.25" customHeight="1">
      <c r="A1969" s="8" t="s">
        <v>3922</v>
      </c>
      <c r="B1969" s="12">
        <v>47447.0</v>
      </c>
      <c r="C1969" s="8" t="s">
        <v>137</v>
      </c>
      <c r="D1969" s="8" t="s">
        <v>1790</v>
      </c>
      <c r="E1969" s="8" t="s">
        <v>1928</v>
      </c>
      <c r="F1969" s="8">
        <v>2.0</v>
      </c>
      <c r="G1969" s="8">
        <v>924.73</v>
      </c>
      <c r="H1969" s="8">
        <v>0.29</v>
      </c>
      <c r="I1969" s="8">
        <f t="shared" si="1"/>
        <v>1849.46</v>
      </c>
      <c r="J1969" s="8">
        <f t="shared" si="2"/>
        <v>-536.0534</v>
      </c>
      <c r="K1969" s="8" t="str">
        <f t="shared" si="3"/>
        <v>Nov</v>
      </c>
      <c r="L1969" s="8">
        <f t="shared" si="4"/>
        <v>2029</v>
      </c>
      <c r="N1969" s="8" t="str">
        <f t="array" ref="N1969">XLOOKUP(C1969,Customer_Dim!A:A,Customer_Dim!B:B,"Not Found")</f>
        <v>Sarah Vance</v>
      </c>
      <c r="O1969" s="8" t="str">
        <f t="array" ref="O1969">XLOOKUP(C1969,Customer_Dim!A:A,Customer_Dim!E:E,"Not Found")</f>
        <v>Johnsonville</v>
      </c>
      <c r="P1969" s="8" t="str">
        <f t="array" ref="P1969">XLOOKUP(D1969,Product_Dim!A:A,Product_Dim!B:B,"Not Found")</f>
        <v>Smart LED Light Strip</v>
      </c>
      <c r="Q1969" s="8" t="str">
        <f t="array" ref="Q1969">XLOOKUP(D1969,Product_Dim!A:A,Product_Dim!C:C,"Not Found")</f>
        <v>Electronics</v>
      </c>
      <c r="R1969" s="8" t="str">
        <f t="array" ref="R1969">XLOOKUP(E1969,Store_Dim!A:A,Store_Dim!B:B,"Not Found")</f>
        <v>South</v>
      </c>
      <c r="S1969" s="8" t="str">
        <f t="array" ref="S1969">XLOOKUP(E1969,Store_Dim!A:A,Store_Dim!D:D,"Not Found")</f>
        <v>Online</v>
      </c>
    </row>
    <row r="1970" ht="14.25" customHeight="1">
      <c r="A1970" s="8" t="s">
        <v>3923</v>
      </c>
      <c r="B1970" s="12">
        <v>47448.0</v>
      </c>
      <c r="C1970" s="8" t="s">
        <v>102</v>
      </c>
      <c r="D1970" s="8" t="s">
        <v>1613</v>
      </c>
      <c r="E1970" s="8" t="s">
        <v>1926</v>
      </c>
      <c r="F1970" s="8">
        <v>3.0</v>
      </c>
      <c r="G1970" s="8">
        <v>195.31</v>
      </c>
      <c r="H1970" s="8">
        <v>0.13</v>
      </c>
      <c r="I1970" s="8">
        <f t="shared" si="1"/>
        <v>585.93</v>
      </c>
      <c r="J1970" s="8">
        <f t="shared" si="2"/>
        <v>-76.0409</v>
      </c>
      <c r="K1970" s="8" t="str">
        <f t="shared" si="3"/>
        <v>Nov</v>
      </c>
      <c r="L1970" s="8">
        <f t="shared" si="4"/>
        <v>2029</v>
      </c>
      <c r="N1970" s="8" t="str">
        <f t="array" ref="N1970">XLOOKUP(C1970,Customer_Dim!A:A,Customer_Dim!B:B,"Not Found")</f>
        <v>Jeff Martinez</v>
      </c>
      <c r="O1970" s="8" t="str">
        <f t="array" ref="O1970">XLOOKUP(C1970,Customer_Dim!A:A,Customer_Dim!E:E,"Not Found")</f>
        <v>Smithburgh</v>
      </c>
      <c r="P1970" s="8" t="str">
        <f t="array" ref="P1970">XLOOKUP(D1970,Product_Dim!A:A,Product_Dim!B:B,"Not Found")</f>
        <v>Hair Strengthening Shampoo</v>
      </c>
      <c r="Q1970" s="8" t="str">
        <f t="array" ref="Q1970">XLOOKUP(D1970,Product_Dim!A:A,Product_Dim!C:C,"Not Found")</f>
        <v>Beauty</v>
      </c>
      <c r="R1970" s="8" t="str">
        <f t="array" ref="R1970">XLOOKUP(E1970,Store_Dim!A:A,Store_Dim!B:B,"Not Found")</f>
        <v>East</v>
      </c>
      <c r="S1970" s="8" t="str">
        <f t="array" ref="S1970">XLOOKUP(E1970,Store_Dim!A:A,Store_Dim!D:D,"Not Found")</f>
        <v>Online</v>
      </c>
    </row>
    <row r="1971" ht="14.25" customHeight="1">
      <c r="A1971" s="8" t="s">
        <v>3924</v>
      </c>
      <c r="B1971" s="12">
        <v>47449.0</v>
      </c>
      <c r="C1971" s="8" t="s">
        <v>493</v>
      </c>
      <c r="D1971" s="8" t="s">
        <v>1700</v>
      </c>
      <c r="E1971" s="8" t="s">
        <v>1921</v>
      </c>
      <c r="F1971" s="8">
        <v>1.0</v>
      </c>
      <c r="G1971" s="8">
        <v>91.38</v>
      </c>
      <c r="H1971" s="8">
        <v>0.14</v>
      </c>
      <c r="I1971" s="8">
        <f t="shared" si="1"/>
        <v>91.38</v>
      </c>
      <c r="J1971" s="8">
        <f t="shared" si="2"/>
        <v>-12.6532</v>
      </c>
      <c r="K1971" s="8" t="str">
        <f t="shared" si="3"/>
        <v>Nov</v>
      </c>
      <c r="L1971" s="8">
        <f t="shared" si="4"/>
        <v>2029</v>
      </c>
      <c r="N1971" s="8" t="str">
        <f t="array" ref="N1971">XLOOKUP(C1971,Customer_Dim!A:A,Customer_Dim!B:B,"Not Found")</f>
        <v>Maria Ramirez</v>
      </c>
      <c r="O1971" s="8" t="str">
        <f t="array" ref="O1971">XLOOKUP(C1971,Customer_Dim!A:A,Customer_Dim!E:E,"Not Found")</f>
        <v>West Brandon</v>
      </c>
      <c r="P1971" s="8" t="str">
        <f t="array" ref="P1971">XLOOKUP(D1971,Product_Dim!A:A,Product_Dim!B:B,"Not Found")</f>
        <v>Sports Water Hydration Pack</v>
      </c>
      <c r="Q1971" s="8" t="str">
        <f t="array" ref="Q1971">XLOOKUP(D1971,Product_Dim!A:A,Product_Dim!C:C,"Not Found")</f>
        <v>Sports</v>
      </c>
      <c r="R1971" s="8" t="str">
        <f t="array" ref="R1971">XLOOKUP(E1971,Store_Dim!A:A,Store_Dim!B:B,"Not Found")</f>
        <v>West</v>
      </c>
      <c r="S1971" s="8" t="str">
        <f t="array" ref="S1971">XLOOKUP(E1971,Store_Dim!A:A,Store_Dim!D:D,"Not Found")</f>
        <v>Online</v>
      </c>
    </row>
    <row r="1972" ht="14.25" customHeight="1">
      <c r="A1972" s="8" t="s">
        <v>3925</v>
      </c>
      <c r="B1972" s="12">
        <v>47450.0</v>
      </c>
      <c r="C1972" s="8" t="s">
        <v>1503</v>
      </c>
      <c r="D1972" s="8" t="s">
        <v>1848</v>
      </c>
      <c r="E1972" s="8" t="s">
        <v>1928</v>
      </c>
      <c r="F1972" s="8">
        <v>2.0</v>
      </c>
      <c r="G1972" s="8">
        <v>494.35</v>
      </c>
      <c r="H1972" s="8">
        <v>0.1</v>
      </c>
      <c r="I1972" s="8">
        <f t="shared" si="1"/>
        <v>988.7</v>
      </c>
      <c r="J1972" s="8">
        <f t="shared" si="2"/>
        <v>-98.77</v>
      </c>
      <c r="K1972" s="8" t="str">
        <f t="shared" si="3"/>
        <v>Nov</v>
      </c>
      <c r="L1972" s="8">
        <f t="shared" si="4"/>
        <v>2029</v>
      </c>
      <c r="N1972" s="8" t="str">
        <f t="array" ref="N1972">XLOOKUP(C1972,Customer_Dim!A:A,Customer_Dim!B:B,"Not Found")</f>
        <v>Sarah Smith</v>
      </c>
      <c r="O1972" s="8" t="str">
        <f t="array" ref="O1972">XLOOKUP(C1972,Customer_Dim!A:A,Customer_Dim!E:E,"Not Found")</f>
        <v>East Rodney</v>
      </c>
      <c r="P1972" s="8" t="str">
        <f t="array" ref="P1972">XLOOKUP(D1972,Product_Dim!A:A,Product_Dim!B:B,"Not Found")</f>
        <v>Kitchen Cutting Board</v>
      </c>
      <c r="Q1972" s="8" t="str">
        <f t="array" ref="Q1972">XLOOKUP(D1972,Product_Dim!A:A,Product_Dim!C:C,"Not Found")</f>
        <v>Home</v>
      </c>
      <c r="R1972" s="8" t="str">
        <f t="array" ref="R1972">XLOOKUP(E1972,Store_Dim!A:A,Store_Dim!B:B,"Not Found")</f>
        <v>South</v>
      </c>
      <c r="S1972" s="8" t="str">
        <f t="array" ref="S1972">XLOOKUP(E1972,Store_Dim!A:A,Store_Dim!D:D,"Not Found")</f>
        <v>Online</v>
      </c>
    </row>
    <row r="1973" ht="14.25" customHeight="1">
      <c r="A1973" s="8" t="s">
        <v>3926</v>
      </c>
      <c r="B1973" s="12">
        <v>47451.0</v>
      </c>
      <c r="C1973" s="8" t="s">
        <v>830</v>
      </c>
      <c r="D1973" s="8" t="s">
        <v>1655</v>
      </c>
      <c r="E1973" s="8" t="s">
        <v>1926</v>
      </c>
      <c r="F1973" s="8">
        <v>1.0</v>
      </c>
      <c r="G1973" s="8">
        <v>412.2</v>
      </c>
      <c r="H1973" s="8">
        <v>0.11</v>
      </c>
      <c r="I1973" s="8">
        <f t="shared" si="1"/>
        <v>412.2</v>
      </c>
      <c r="J1973" s="8">
        <f t="shared" si="2"/>
        <v>-45.232</v>
      </c>
      <c r="K1973" s="8" t="str">
        <f t="shared" si="3"/>
        <v>Nov</v>
      </c>
      <c r="L1973" s="8">
        <f t="shared" si="4"/>
        <v>2029</v>
      </c>
      <c r="N1973" s="8" t="str">
        <f t="array" ref="N1973">XLOOKUP(C1973,Customer_Dim!A:A,Customer_Dim!B:B,"Not Found")</f>
        <v>Damon Perez</v>
      </c>
      <c r="O1973" s="8" t="str">
        <f t="array" ref="O1973">XLOOKUP(C1973,Customer_Dim!A:A,Customer_Dim!E:E,"Not Found")</f>
        <v>Jasonton</v>
      </c>
      <c r="P1973" s="8" t="str">
        <f t="array" ref="P1973">XLOOKUP(D1973,Product_Dim!A:A,Product_Dim!B:B,"Not Found")</f>
        <v>Foldable Camping Chair</v>
      </c>
      <c r="Q1973" s="8" t="str">
        <f t="array" ref="Q1973">XLOOKUP(D1973,Product_Dim!A:A,Product_Dim!C:C,"Not Found")</f>
        <v>Sports</v>
      </c>
      <c r="R1973" s="8" t="str">
        <f t="array" ref="R1973">XLOOKUP(E1973,Store_Dim!A:A,Store_Dim!B:B,"Not Found")</f>
        <v>East</v>
      </c>
      <c r="S1973" s="8" t="str">
        <f t="array" ref="S1973">XLOOKUP(E1973,Store_Dim!A:A,Store_Dim!D:D,"Not Found")</f>
        <v>Online</v>
      </c>
    </row>
    <row r="1974" ht="14.25" customHeight="1">
      <c r="A1974" s="8" t="s">
        <v>3927</v>
      </c>
      <c r="B1974" s="12">
        <v>47452.0</v>
      </c>
      <c r="C1974" s="8" t="s">
        <v>1245</v>
      </c>
      <c r="D1974" s="8" t="s">
        <v>1827</v>
      </c>
      <c r="E1974" s="8" t="s">
        <v>1935</v>
      </c>
      <c r="F1974" s="8">
        <v>1.0</v>
      </c>
      <c r="G1974" s="8">
        <v>650.47</v>
      </c>
      <c r="H1974" s="8">
        <v>0.13</v>
      </c>
      <c r="I1974" s="8">
        <f t="shared" si="1"/>
        <v>650.47</v>
      </c>
      <c r="J1974" s="8">
        <f t="shared" si="2"/>
        <v>-84.4311</v>
      </c>
      <c r="K1974" s="8" t="str">
        <f t="shared" si="3"/>
        <v>Nov</v>
      </c>
      <c r="L1974" s="8">
        <f t="shared" si="4"/>
        <v>2029</v>
      </c>
      <c r="N1974" s="8" t="str">
        <f t="array" ref="N1974">XLOOKUP(C1974,Customer_Dim!A:A,Customer_Dim!B:B,"Not Found")</f>
        <v>Alejandro Evans</v>
      </c>
      <c r="O1974" s="8" t="str">
        <f t="array" ref="O1974">XLOOKUP(C1974,Customer_Dim!A:A,Customer_Dim!E:E,"Not Found")</f>
        <v>Cannonberg</v>
      </c>
      <c r="P1974" s="8" t="str">
        <f t="array" ref="P1974">XLOOKUP(D1974,Product_Dim!A:A,Product_Dim!B:B,"Not Found")</f>
        <v>Decorative Lamp Shade</v>
      </c>
      <c r="Q1974" s="8" t="str">
        <f t="array" ref="Q1974">XLOOKUP(D1974,Product_Dim!A:A,Product_Dim!C:C,"Not Found")</f>
        <v>Home</v>
      </c>
      <c r="R1974" s="8" t="str">
        <f t="array" ref="R1974">XLOOKUP(E1974,Store_Dim!A:A,Store_Dim!B:B,"Not Found")</f>
        <v>West</v>
      </c>
      <c r="S1974" s="8" t="str">
        <f t="array" ref="S1974">XLOOKUP(E1974,Store_Dim!A:A,Store_Dim!D:D,"Not Found")</f>
        <v>Flagship</v>
      </c>
    </row>
    <row r="1975" ht="14.25" customHeight="1">
      <c r="A1975" s="8" t="s">
        <v>3928</v>
      </c>
      <c r="B1975" s="12">
        <v>47453.0</v>
      </c>
      <c r="C1975" s="8" t="s">
        <v>532</v>
      </c>
      <c r="D1975" s="8" t="s">
        <v>1620</v>
      </c>
      <c r="E1975" s="8" t="s">
        <v>1929</v>
      </c>
      <c r="F1975" s="8">
        <v>1.0</v>
      </c>
      <c r="G1975" s="8">
        <v>68.21</v>
      </c>
      <c r="H1975" s="8">
        <v>0.05</v>
      </c>
      <c r="I1975" s="8">
        <f t="shared" si="1"/>
        <v>68.21</v>
      </c>
      <c r="J1975" s="8">
        <f t="shared" si="2"/>
        <v>-3.3605</v>
      </c>
      <c r="K1975" s="8" t="str">
        <f t="shared" si="3"/>
        <v>Dec</v>
      </c>
      <c r="L1975" s="8">
        <f t="shared" si="4"/>
        <v>2029</v>
      </c>
      <c r="N1975" s="8" t="str">
        <f t="array" ref="N1975">XLOOKUP(C1975,Customer_Dim!A:A,Customer_Dim!B:B,"Not Found")</f>
        <v>Curtis Haynes</v>
      </c>
      <c r="O1975" s="8" t="str">
        <f t="array" ref="O1975">XLOOKUP(C1975,Customer_Dim!A:A,Customer_Dim!E:E,"Not Found")</f>
        <v>Estradaside</v>
      </c>
      <c r="P1975" s="8" t="str">
        <f t="array" ref="P1975">XLOOKUP(D1975,Product_Dim!A:A,Product_Dim!B:B,"Not Found")</f>
        <v>Decorative Wall Mirror</v>
      </c>
      <c r="Q1975" s="8" t="str">
        <f t="array" ref="Q1975">XLOOKUP(D1975,Product_Dim!A:A,Product_Dim!C:C,"Not Found")</f>
        <v>Home</v>
      </c>
      <c r="R1975" s="8" t="str">
        <f t="array" ref="R1975">XLOOKUP(E1975,Store_Dim!A:A,Store_Dim!B:B,"Not Found")</f>
        <v>North</v>
      </c>
      <c r="S1975" s="8" t="str">
        <f t="array" ref="S1975">XLOOKUP(E1975,Store_Dim!A:A,Store_Dim!D:D,"Not Found")</f>
        <v>Online</v>
      </c>
    </row>
    <row r="1976" ht="14.25" customHeight="1">
      <c r="A1976" s="8" t="s">
        <v>3929</v>
      </c>
      <c r="B1976" s="12">
        <v>47454.0</v>
      </c>
      <c r="C1976" s="8" t="s">
        <v>473</v>
      </c>
      <c r="D1976" s="8" t="s">
        <v>1748</v>
      </c>
      <c r="E1976" s="8" t="s">
        <v>1919</v>
      </c>
      <c r="F1976" s="8">
        <v>2.0</v>
      </c>
      <c r="G1976" s="8">
        <v>842.89</v>
      </c>
      <c r="H1976" s="8">
        <v>0.25</v>
      </c>
      <c r="I1976" s="8">
        <f t="shared" si="1"/>
        <v>1685.78</v>
      </c>
      <c r="J1976" s="8">
        <f t="shared" si="2"/>
        <v>-421.195</v>
      </c>
      <c r="K1976" s="8" t="str">
        <f t="shared" si="3"/>
        <v>Dec</v>
      </c>
      <c r="L1976" s="8">
        <f t="shared" si="4"/>
        <v>2029</v>
      </c>
      <c r="N1976" s="8" t="str">
        <f t="array" ref="N1976">XLOOKUP(C1976,Customer_Dim!A:A,Customer_Dim!B:B,"Not Found")</f>
        <v>Matthew Hanna</v>
      </c>
      <c r="O1976" s="8" t="str">
        <f t="array" ref="O1976">XLOOKUP(C1976,Customer_Dim!A:A,Customer_Dim!E:E,"Not Found")</f>
        <v>Gonzalezbury</v>
      </c>
      <c r="P1976" s="8" t="str">
        <f t="array" ref="P1976">XLOOKUP(D1976,Product_Dim!A:A,Product_Dim!B:B,"Not Found")</f>
        <v>Men's Track Pants</v>
      </c>
      <c r="Q1976" s="8" t="str">
        <f t="array" ref="Q1976">XLOOKUP(D1976,Product_Dim!A:A,Product_Dim!C:C,"Not Found")</f>
        <v>Clothing</v>
      </c>
      <c r="R1976" s="8" t="str">
        <f t="array" ref="R1976">XLOOKUP(E1976,Store_Dim!A:A,Store_Dim!B:B,"Not Found")</f>
        <v>South</v>
      </c>
      <c r="S1976" s="8" t="str">
        <f t="array" ref="S1976">XLOOKUP(E1976,Store_Dim!A:A,Store_Dim!D:D,"Not Found")</f>
        <v>Online</v>
      </c>
    </row>
    <row r="1977" ht="14.25" customHeight="1">
      <c r="A1977" s="8" t="s">
        <v>3930</v>
      </c>
      <c r="B1977" s="12">
        <v>47455.0</v>
      </c>
      <c r="C1977" s="8" t="s">
        <v>963</v>
      </c>
      <c r="D1977" s="8" t="s">
        <v>1583</v>
      </c>
      <c r="E1977" s="8" t="s">
        <v>1912</v>
      </c>
      <c r="F1977" s="8">
        <v>2.0</v>
      </c>
      <c r="G1977" s="8">
        <v>227.95</v>
      </c>
      <c r="H1977" s="8">
        <v>0.24</v>
      </c>
      <c r="I1977" s="8">
        <f t="shared" si="1"/>
        <v>455.9</v>
      </c>
      <c r="J1977" s="8">
        <f t="shared" si="2"/>
        <v>-109.176</v>
      </c>
      <c r="K1977" s="8" t="str">
        <f t="shared" si="3"/>
        <v>Dec</v>
      </c>
      <c r="L1977" s="8">
        <f t="shared" si="4"/>
        <v>2029</v>
      </c>
      <c r="N1977" s="8" t="str">
        <f t="array" ref="N1977">XLOOKUP(C1977,Customer_Dim!A:A,Customer_Dim!B:B,"Not Found")</f>
        <v>Matthew Avery</v>
      </c>
      <c r="O1977" s="8" t="str">
        <f t="array" ref="O1977">XLOOKUP(C1977,Customer_Dim!A:A,Customer_Dim!E:E,"Not Found")</f>
        <v>Lake Melissashire</v>
      </c>
      <c r="P1977" s="8" t="str">
        <f t="array" ref="P1977">XLOOKUP(D1977,Product_Dim!A:A,Product_Dim!B:B,"Not Found")</f>
        <v>Men's Leather Belt</v>
      </c>
      <c r="Q1977" s="8" t="str">
        <f t="array" ref="Q1977">XLOOKUP(D1977,Product_Dim!A:A,Product_Dim!C:C,"Not Found")</f>
        <v>Clothing</v>
      </c>
      <c r="R1977" s="8" t="str">
        <f t="array" ref="R1977">XLOOKUP(E1977,Store_Dim!A:A,Store_Dim!B:B,"Not Found")</f>
        <v>South</v>
      </c>
      <c r="S1977" s="8" t="str">
        <f t="array" ref="S1977">XLOOKUP(E1977,Store_Dim!A:A,Store_Dim!D:D,"Not Found")</f>
        <v>Online</v>
      </c>
    </row>
    <row r="1978" ht="14.25" customHeight="1">
      <c r="A1978" s="8" t="s">
        <v>3931</v>
      </c>
      <c r="B1978" s="12">
        <v>47456.0</v>
      </c>
      <c r="C1978" s="8" t="s">
        <v>643</v>
      </c>
      <c r="D1978" s="8" t="s">
        <v>1787</v>
      </c>
      <c r="E1978" s="8" t="s">
        <v>1929</v>
      </c>
      <c r="F1978" s="8">
        <v>3.0</v>
      </c>
      <c r="G1978" s="8">
        <v>685.97</v>
      </c>
      <c r="H1978" s="8">
        <v>0.24</v>
      </c>
      <c r="I1978" s="8">
        <f t="shared" si="1"/>
        <v>2057.91</v>
      </c>
      <c r="J1978" s="8">
        <f t="shared" si="2"/>
        <v>-493.6584</v>
      </c>
      <c r="K1978" s="8" t="str">
        <f t="shared" si="3"/>
        <v>Dec</v>
      </c>
      <c r="L1978" s="8">
        <f t="shared" si="4"/>
        <v>2029</v>
      </c>
      <c r="N1978" s="8" t="str">
        <f t="array" ref="N1978">XLOOKUP(C1978,Customer_Dim!A:A,Customer_Dim!B:B,"Not Found")</f>
        <v>Jacob Wood</v>
      </c>
      <c r="O1978" s="8" t="str">
        <f t="array" ref="O1978">XLOOKUP(C1978,Customer_Dim!A:A,Customer_Dim!E:E,"Not Found")</f>
        <v>Lake Samanthafort</v>
      </c>
      <c r="P1978" s="8" t="str">
        <f t="array" ref="P1978">XLOOKUP(D1978,Product_Dim!A:A,Product_Dim!B:B,"Not Found")</f>
        <v>Women's Hair Dryer Brush</v>
      </c>
      <c r="Q1978" s="8" t="str">
        <f t="array" ref="Q1978">XLOOKUP(D1978,Product_Dim!A:A,Product_Dim!C:C,"Not Found")</f>
        <v>Beauty</v>
      </c>
      <c r="R1978" s="8" t="str">
        <f t="array" ref="R1978">XLOOKUP(E1978,Store_Dim!A:A,Store_Dim!B:B,"Not Found")</f>
        <v>North</v>
      </c>
      <c r="S1978" s="8" t="str">
        <f t="array" ref="S1978">XLOOKUP(E1978,Store_Dim!A:A,Store_Dim!D:D,"Not Found")</f>
        <v>Online</v>
      </c>
    </row>
    <row r="1979" ht="14.25" customHeight="1">
      <c r="A1979" s="8" t="s">
        <v>3932</v>
      </c>
      <c r="B1979" s="12">
        <v>47457.0</v>
      </c>
      <c r="C1979" s="8" t="s">
        <v>1158</v>
      </c>
      <c r="D1979" s="8" t="s">
        <v>1671</v>
      </c>
      <c r="E1979" s="8" t="s">
        <v>1906</v>
      </c>
      <c r="F1979" s="8">
        <v>1.0</v>
      </c>
      <c r="G1979" s="8">
        <v>722.57</v>
      </c>
      <c r="H1979" s="8">
        <v>0.18</v>
      </c>
      <c r="I1979" s="8">
        <f t="shared" si="1"/>
        <v>722.57</v>
      </c>
      <c r="J1979" s="8">
        <f t="shared" si="2"/>
        <v>-129.8826</v>
      </c>
      <c r="K1979" s="8" t="str">
        <f t="shared" si="3"/>
        <v>Dec</v>
      </c>
      <c r="L1979" s="8">
        <f t="shared" si="4"/>
        <v>2029</v>
      </c>
      <c r="N1979" s="8" t="str">
        <f t="array" ref="N1979">XLOOKUP(C1979,Customer_Dim!A:A,Customer_Dim!B:B,"Not Found")</f>
        <v>Brandon Mcbride</v>
      </c>
      <c r="O1979" s="8" t="str">
        <f t="array" ref="O1979">XLOOKUP(C1979,Customer_Dim!A:A,Customer_Dim!E:E,"Not Found")</f>
        <v>Kellyside</v>
      </c>
      <c r="P1979" s="8" t="str">
        <f t="array" ref="P1979">XLOOKUP(D1979,Product_Dim!A:A,Product_Dim!B:B,"Not Found")</f>
        <v>Fabric Sofa Throw Blanket</v>
      </c>
      <c r="Q1979" s="8" t="str">
        <f t="array" ref="Q1979">XLOOKUP(D1979,Product_Dim!A:A,Product_Dim!C:C,"Not Found")</f>
        <v>Home</v>
      </c>
      <c r="R1979" s="8" t="str">
        <f t="array" ref="R1979">XLOOKUP(E1979,Store_Dim!A:A,Store_Dim!B:B,"Not Found")</f>
        <v>South</v>
      </c>
      <c r="S1979" s="8" t="str">
        <f t="array" ref="S1979">XLOOKUP(E1979,Store_Dim!A:A,Store_Dim!D:D,"Not Found")</f>
        <v>Outlet</v>
      </c>
    </row>
    <row r="1980" ht="14.25" customHeight="1">
      <c r="A1980" s="8" t="s">
        <v>3933</v>
      </c>
      <c r="B1980" s="12">
        <v>47458.0</v>
      </c>
      <c r="C1980" s="8" t="s">
        <v>487</v>
      </c>
      <c r="D1980" s="8" t="s">
        <v>1690</v>
      </c>
      <c r="E1980" s="8" t="s">
        <v>1915</v>
      </c>
      <c r="F1980" s="8">
        <v>3.0</v>
      </c>
      <c r="G1980" s="8">
        <v>585.55</v>
      </c>
      <c r="H1980" s="8">
        <v>0.14</v>
      </c>
      <c r="I1980" s="8">
        <f t="shared" si="1"/>
        <v>1756.65</v>
      </c>
      <c r="J1980" s="8">
        <f t="shared" si="2"/>
        <v>-245.791</v>
      </c>
      <c r="K1980" s="8" t="str">
        <f t="shared" si="3"/>
        <v>Dec</v>
      </c>
      <c r="L1980" s="8">
        <f t="shared" si="4"/>
        <v>2029</v>
      </c>
      <c r="N1980" s="8" t="str">
        <f t="array" ref="N1980">XLOOKUP(C1980,Customer_Dim!A:A,Customer_Dim!B:B,"Not Found")</f>
        <v>Patty Francis</v>
      </c>
      <c r="O1980" s="8" t="str">
        <f t="array" ref="O1980">XLOOKUP(C1980,Customer_Dim!A:A,Customer_Dim!E:E,"Not Found")</f>
        <v>South Brooke</v>
      </c>
      <c r="P1980" s="8" t="str">
        <f t="array" ref="P1980">XLOOKUP(D1980,Product_Dim!A:A,Product_Dim!B:B,"Not Found")</f>
        <v>Bedroom Table Lamp</v>
      </c>
      <c r="Q1980" s="8" t="str">
        <f t="array" ref="Q1980">XLOOKUP(D1980,Product_Dim!A:A,Product_Dim!C:C,"Not Found")</f>
        <v>Home</v>
      </c>
      <c r="R1980" s="8" t="str">
        <f t="array" ref="R1980">XLOOKUP(E1980,Store_Dim!A:A,Store_Dim!B:B,"Not Found")</f>
        <v>North</v>
      </c>
      <c r="S1980" s="8" t="str">
        <f t="array" ref="S1980">XLOOKUP(E1980,Store_Dim!A:A,Store_Dim!D:D,"Not Found")</f>
        <v>Outlet</v>
      </c>
    </row>
    <row r="1981" ht="14.25" customHeight="1">
      <c r="A1981" s="8" t="s">
        <v>3934</v>
      </c>
      <c r="B1981" s="12">
        <v>47459.0</v>
      </c>
      <c r="C1981" s="8" t="s">
        <v>990</v>
      </c>
      <c r="D1981" s="8" t="s">
        <v>1725</v>
      </c>
      <c r="E1981" s="8" t="s">
        <v>1931</v>
      </c>
      <c r="F1981" s="8">
        <v>2.0</v>
      </c>
      <c r="G1981" s="8">
        <v>635.81</v>
      </c>
      <c r="H1981" s="8">
        <v>0.13</v>
      </c>
      <c r="I1981" s="8">
        <f t="shared" si="1"/>
        <v>1271.62</v>
      </c>
      <c r="J1981" s="8">
        <f t="shared" si="2"/>
        <v>-165.1806</v>
      </c>
      <c r="K1981" s="8" t="str">
        <f t="shared" si="3"/>
        <v>Dec</v>
      </c>
      <c r="L1981" s="8">
        <f t="shared" si="4"/>
        <v>2029</v>
      </c>
      <c r="N1981" s="8" t="str">
        <f t="array" ref="N1981">XLOOKUP(C1981,Customer_Dim!A:A,Customer_Dim!B:B,"Not Found")</f>
        <v>Stacy Collins</v>
      </c>
      <c r="O1981" s="8" t="str">
        <f t="array" ref="O1981">XLOOKUP(C1981,Customer_Dim!A:A,Customer_Dim!E:E,"Not Found")</f>
        <v>Randychester</v>
      </c>
      <c r="P1981" s="8" t="str">
        <f t="array" ref="P1981">XLOOKUP(D1981,Product_Dim!A:A,Product_Dim!B:B,"Not Found")</f>
        <v>Men's Winter Jacket</v>
      </c>
      <c r="Q1981" s="8" t="str">
        <f t="array" ref="Q1981">XLOOKUP(D1981,Product_Dim!A:A,Product_Dim!C:C,"Not Found")</f>
        <v>Clothing</v>
      </c>
      <c r="R1981" s="8" t="str">
        <f t="array" ref="R1981">XLOOKUP(E1981,Store_Dim!A:A,Store_Dim!B:B,"Not Found")</f>
        <v>East</v>
      </c>
      <c r="S1981" s="8" t="str">
        <f t="array" ref="S1981">XLOOKUP(E1981,Store_Dim!A:A,Store_Dim!D:D,"Not Found")</f>
        <v>Flagship</v>
      </c>
    </row>
    <row r="1982" ht="14.25" customHeight="1">
      <c r="A1982" s="8" t="s">
        <v>3935</v>
      </c>
      <c r="B1982" s="12">
        <v>47460.0</v>
      </c>
      <c r="C1982" s="8" t="s">
        <v>896</v>
      </c>
      <c r="D1982" s="8" t="s">
        <v>1620</v>
      </c>
      <c r="E1982" s="8" t="s">
        <v>1912</v>
      </c>
      <c r="F1982" s="8">
        <v>2.0</v>
      </c>
      <c r="G1982" s="8">
        <v>353.74</v>
      </c>
      <c r="H1982" s="8">
        <v>0.01</v>
      </c>
      <c r="I1982" s="8">
        <f t="shared" si="1"/>
        <v>707.48</v>
      </c>
      <c r="J1982" s="8">
        <f t="shared" si="2"/>
        <v>-7.0648</v>
      </c>
      <c r="K1982" s="8" t="str">
        <f t="shared" si="3"/>
        <v>Dec</v>
      </c>
      <c r="L1982" s="8">
        <f t="shared" si="4"/>
        <v>2029</v>
      </c>
      <c r="N1982" s="8" t="str">
        <f t="array" ref="N1982">XLOOKUP(C1982,Customer_Dim!A:A,Customer_Dim!B:B,"Not Found")</f>
        <v>Jeffrey Gomez</v>
      </c>
      <c r="O1982" s="8" t="str">
        <f t="array" ref="O1982">XLOOKUP(C1982,Customer_Dim!A:A,Customer_Dim!E:E,"Not Found")</f>
        <v>Lake Nicole</v>
      </c>
      <c r="P1982" s="8" t="str">
        <f t="array" ref="P1982">XLOOKUP(D1982,Product_Dim!A:A,Product_Dim!B:B,"Not Found")</f>
        <v>Decorative Wall Mirror</v>
      </c>
      <c r="Q1982" s="8" t="str">
        <f t="array" ref="Q1982">XLOOKUP(D1982,Product_Dim!A:A,Product_Dim!C:C,"Not Found")</f>
        <v>Home</v>
      </c>
      <c r="R1982" s="8" t="str">
        <f t="array" ref="R1982">XLOOKUP(E1982,Store_Dim!A:A,Store_Dim!B:B,"Not Found")</f>
        <v>South</v>
      </c>
      <c r="S1982" s="8" t="str">
        <f t="array" ref="S1982">XLOOKUP(E1982,Store_Dim!A:A,Store_Dim!D:D,"Not Found")</f>
        <v>Online</v>
      </c>
    </row>
    <row r="1983" ht="14.25" customHeight="1">
      <c r="A1983" s="8" t="s">
        <v>3936</v>
      </c>
      <c r="B1983" s="12">
        <v>47461.0</v>
      </c>
      <c r="C1983" s="8" t="s">
        <v>857</v>
      </c>
      <c r="D1983" s="8" t="s">
        <v>1693</v>
      </c>
      <c r="E1983" s="8" t="s">
        <v>1919</v>
      </c>
      <c r="F1983" s="8">
        <v>1.0</v>
      </c>
      <c r="G1983" s="8">
        <v>377.52</v>
      </c>
      <c r="H1983" s="8">
        <v>0.15</v>
      </c>
      <c r="I1983" s="8">
        <f t="shared" si="1"/>
        <v>377.52</v>
      </c>
      <c r="J1983" s="8">
        <f t="shared" si="2"/>
        <v>-56.478</v>
      </c>
      <c r="K1983" s="8" t="str">
        <f t="shared" si="3"/>
        <v>Dec</v>
      </c>
      <c r="L1983" s="8">
        <f t="shared" si="4"/>
        <v>2029</v>
      </c>
      <c r="N1983" s="8" t="str">
        <f t="array" ref="N1983">XLOOKUP(C1983,Customer_Dim!A:A,Customer_Dim!B:B,"Not Found")</f>
        <v>Matthew Payne</v>
      </c>
      <c r="O1983" s="8" t="str">
        <f t="array" ref="O1983">XLOOKUP(C1983,Customer_Dim!A:A,Customer_Dim!E:E,"Not Found")</f>
        <v>Grahamfurt</v>
      </c>
      <c r="P1983" s="8" t="str">
        <f t="array" ref="P1983">XLOOKUP(D1983,Product_Dim!A:A,Product_Dim!B:B,"Not Found")</f>
        <v>Women's Summer Dress</v>
      </c>
      <c r="Q1983" s="8" t="str">
        <f t="array" ref="Q1983">XLOOKUP(D1983,Product_Dim!A:A,Product_Dim!C:C,"Not Found")</f>
        <v>Clothing</v>
      </c>
      <c r="R1983" s="8" t="str">
        <f t="array" ref="R1983">XLOOKUP(E1983,Store_Dim!A:A,Store_Dim!B:B,"Not Found")</f>
        <v>South</v>
      </c>
      <c r="S1983" s="8" t="str">
        <f t="array" ref="S1983">XLOOKUP(E1983,Store_Dim!A:A,Store_Dim!D:D,"Not Found")</f>
        <v>Online</v>
      </c>
    </row>
    <row r="1984" ht="14.25" customHeight="1">
      <c r="A1984" s="8" t="s">
        <v>3937</v>
      </c>
      <c r="B1984" s="12">
        <v>47462.0</v>
      </c>
      <c r="C1984" s="8" t="s">
        <v>681</v>
      </c>
      <c r="D1984" s="8" t="s">
        <v>1793</v>
      </c>
      <c r="E1984" s="8" t="s">
        <v>1906</v>
      </c>
      <c r="F1984" s="8">
        <v>3.0</v>
      </c>
      <c r="G1984" s="8">
        <v>901.49</v>
      </c>
      <c r="H1984" s="8">
        <v>0.0</v>
      </c>
      <c r="I1984" s="8">
        <f t="shared" si="1"/>
        <v>2704.47</v>
      </c>
      <c r="J1984" s="8">
        <f t="shared" si="2"/>
        <v>0</v>
      </c>
      <c r="K1984" s="8" t="str">
        <f t="shared" si="3"/>
        <v>Dec</v>
      </c>
      <c r="L1984" s="8">
        <f t="shared" si="4"/>
        <v>2029</v>
      </c>
      <c r="N1984" s="8" t="str">
        <f t="array" ref="N1984">XLOOKUP(C1984,Customer_Dim!A:A,Customer_Dim!B:B,"Not Found")</f>
        <v>Michelle Carpenter</v>
      </c>
      <c r="O1984" s="8" t="str">
        <f t="array" ref="O1984">XLOOKUP(C1984,Customer_Dim!A:A,Customer_Dim!E:E,"Not Found")</f>
        <v>Lake Danielleton</v>
      </c>
      <c r="P1984" s="8" t="str">
        <f t="array" ref="P1984">XLOOKUP(D1984,Product_Dim!A:A,Product_Dim!B:B,"Not Found")</f>
        <v>Wooden Nightstand</v>
      </c>
      <c r="Q1984" s="8" t="str">
        <f t="array" ref="Q1984">XLOOKUP(D1984,Product_Dim!A:A,Product_Dim!C:C,"Not Found")</f>
        <v>Home</v>
      </c>
      <c r="R1984" s="8" t="str">
        <f t="array" ref="R1984">XLOOKUP(E1984,Store_Dim!A:A,Store_Dim!B:B,"Not Found")</f>
        <v>South</v>
      </c>
      <c r="S1984" s="8" t="str">
        <f t="array" ref="S1984">XLOOKUP(E1984,Store_Dim!A:A,Store_Dim!D:D,"Not Found")</f>
        <v>Outlet</v>
      </c>
    </row>
    <row r="1985" ht="14.25" customHeight="1">
      <c r="A1985" s="8" t="s">
        <v>3938</v>
      </c>
      <c r="B1985" s="12">
        <v>47463.0</v>
      </c>
      <c r="C1985" s="8" t="s">
        <v>666</v>
      </c>
      <c r="D1985" s="8" t="s">
        <v>1674</v>
      </c>
      <c r="E1985" s="8" t="s">
        <v>1915</v>
      </c>
      <c r="F1985" s="8">
        <v>1.0</v>
      </c>
      <c r="G1985" s="8">
        <v>563.01</v>
      </c>
      <c r="H1985" s="8">
        <v>0.1</v>
      </c>
      <c r="I1985" s="8">
        <f t="shared" si="1"/>
        <v>563.01</v>
      </c>
      <c r="J1985" s="8">
        <f t="shared" si="2"/>
        <v>-56.201</v>
      </c>
      <c r="K1985" s="8" t="str">
        <f t="shared" si="3"/>
        <v>Dec</v>
      </c>
      <c r="L1985" s="8">
        <f t="shared" si="4"/>
        <v>2029</v>
      </c>
      <c r="N1985" s="8" t="str">
        <f t="array" ref="N1985">XLOOKUP(C1985,Customer_Dim!A:A,Customer_Dim!B:B,"Not Found")</f>
        <v>Anna Perez</v>
      </c>
      <c r="O1985" s="8" t="str">
        <f t="array" ref="O1985">XLOOKUP(C1985,Customer_Dim!A:A,Customer_Dim!E:E,"Not Found")</f>
        <v>South Jerry</v>
      </c>
      <c r="P1985" s="8" t="str">
        <f t="array" ref="P1985">XLOOKUP(D1985,Product_Dim!A:A,Product_Dim!B:B,"Not Found")</f>
        <v>Stainless Steel Cutlery Set</v>
      </c>
      <c r="Q1985" s="8" t="str">
        <f t="array" ref="Q1985">XLOOKUP(D1985,Product_Dim!A:A,Product_Dim!C:C,"Not Found")</f>
        <v>Home</v>
      </c>
      <c r="R1985" s="8" t="str">
        <f t="array" ref="R1985">XLOOKUP(E1985,Store_Dim!A:A,Store_Dim!B:B,"Not Found")</f>
        <v>North</v>
      </c>
      <c r="S1985" s="8" t="str">
        <f t="array" ref="S1985">XLOOKUP(E1985,Store_Dim!A:A,Store_Dim!D:D,"Not Found")</f>
        <v>Outlet</v>
      </c>
    </row>
    <row r="1986" ht="14.25" customHeight="1">
      <c r="A1986" s="8" t="s">
        <v>3939</v>
      </c>
      <c r="B1986" s="12">
        <v>47464.0</v>
      </c>
      <c r="C1986" s="8" t="s">
        <v>208</v>
      </c>
      <c r="D1986" s="8" t="s">
        <v>1800</v>
      </c>
      <c r="E1986" s="8" t="s">
        <v>1917</v>
      </c>
      <c r="F1986" s="8">
        <v>4.0</v>
      </c>
      <c r="G1986" s="8">
        <v>167.25</v>
      </c>
      <c r="H1986" s="8">
        <v>0.11</v>
      </c>
      <c r="I1986" s="8">
        <f t="shared" si="1"/>
        <v>669</v>
      </c>
      <c r="J1986" s="8">
        <f t="shared" si="2"/>
        <v>-73.48</v>
      </c>
      <c r="K1986" s="8" t="str">
        <f t="shared" si="3"/>
        <v>Dec</v>
      </c>
      <c r="L1986" s="8">
        <f t="shared" si="4"/>
        <v>2029</v>
      </c>
      <c r="N1986" s="8" t="str">
        <f t="array" ref="N1986">XLOOKUP(C1986,Customer_Dim!A:A,Customer_Dim!B:B,"Not Found")</f>
        <v>Debra Liu</v>
      </c>
      <c r="O1986" s="8" t="str">
        <f t="array" ref="O1986">XLOOKUP(C1986,Customer_Dim!A:A,Customer_Dim!E:E,"Not Found")</f>
        <v>South Timtown</v>
      </c>
      <c r="P1986" s="8" t="str">
        <f t="array" ref="P1986">XLOOKUP(D1986,Product_Dim!A:A,Product_Dim!B:B,"Not Found")</f>
        <v>Kitchen Storage Rack</v>
      </c>
      <c r="Q1986" s="8" t="str">
        <f t="array" ref="Q1986">XLOOKUP(D1986,Product_Dim!A:A,Product_Dim!C:C,"Not Found")</f>
        <v>Home</v>
      </c>
      <c r="R1986" s="8" t="str">
        <f t="array" ref="R1986">XLOOKUP(E1986,Store_Dim!A:A,Store_Dim!B:B,"Not Found")</f>
        <v>East</v>
      </c>
      <c r="S1986" s="8" t="str">
        <f t="array" ref="S1986">XLOOKUP(E1986,Store_Dim!A:A,Store_Dim!D:D,"Not Found")</f>
        <v>Online</v>
      </c>
    </row>
    <row r="1987" ht="14.25" customHeight="1">
      <c r="A1987" s="8" t="s">
        <v>3940</v>
      </c>
      <c r="B1987" s="12">
        <v>47465.0</v>
      </c>
      <c r="C1987" s="8" t="s">
        <v>1419</v>
      </c>
      <c r="D1987" s="8" t="s">
        <v>1769</v>
      </c>
      <c r="E1987" s="8" t="s">
        <v>1939</v>
      </c>
      <c r="F1987" s="8">
        <v>3.0</v>
      </c>
      <c r="G1987" s="8">
        <v>345.43</v>
      </c>
      <c r="H1987" s="8">
        <v>0.08</v>
      </c>
      <c r="I1987" s="8">
        <f t="shared" si="1"/>
        <v>1036.29</v>
      </c>
      <c r="J1987" s="8">
        <f t="shared" si="2"/>
        <v>-82.8232</v>
      </c>
      <c r="K1987" s="8" t="str">
        <f t="shared" si="3"/>
        <v>Dec</v>
      </c>
      <c r="L1987" s="8">
        <f t="shared" si="4"/>
        <v>2029</v>
      </c>
      <c r="N1987" s="8" t="str">
        <f t="array" ref="N1987">XLOOKUP(C1987,Customer_Dim!A:A,Customer_Dim!B:B,"Not Found")</f>
        <v>John Berg</v>
      </c>
      <c r="O1987" s="8" t="str">
        <f t="array" ref="O1987">XLOOKUP(C1987,Customer_Dim!A:A,Customer_Dim!E:E,"Not Found")</f>
        <v>Johnsonville</v>
      </c>
      <c r="P1987" s="8" t="str">
        <f t="array" ref="P1987">XLOOKUP(D1987,Product_Dim!A:A,Product_Dim!B:B,"Not Found")</f>
        <v>Luxury Perfume Spray</v>
      </c>
      <c r="Q1987" s="8" t="str">
        <f t="array" ref="Q1987">XLOOKUP(D1987,Product_Dim!A:A,Product_Dim!C:C,"Not Found")</f>
        <v>Beauty</v>
      </c>
      <c r="R1987" s="8" t="str">
        <f t="array" ref="R1987">XLOOKUP(E1987,Store_Dim!A:A,Store_Dim!B:B,"Not Found")</f>
        <v>East</v>
      </c>
      <c r="S1987" s="8" t="str">
        <f t="array" ref="S1987">XLOOKUP(E1987,Store_Dim!A:A,Store_Dim!D:D,"Not Found")</f>
        <v>Flagship</v>
      </c>
    </row>
    <row r="1988" ht="14.25" customHeight="1">
      <c r="A1988" s="8" t="s">
        <v>3941</v>
      </c>
      <c r="B1988" s="12">
        <v>47466.0</v>
      </c>
      <c r="C1988" s="8" t="s">
        <v>987</v>
      </c>
      <c r="D1988" s="8" t="s">
        <v>1836</v>
      </c>
      <c r="E1988" s="8" t="s">
        <v>1924</v>
      </c>
      <c r="F1988" s="8">
        <v>4.0</v>
      </c>
      <c r="G1988" s="8">
        <v>752.48</v>
      </c>
      <c r="H1988" s="8">
        <v>0.23</v>
      </c>
      <c r="I1988" s="8">
        <f t="shared" si="1"/>
        <v>3009.92</v>
      </c>
      <c r="J1988" s="8">
        <f t="shared" si="2"/>
        <v>-692.0516</v>
      </c>
      <c r="K1988" s="8" t="str">
        <f t="shared" si="3"/>
        <v>Dec</v>
      </c>
      <c r="L1988" s="8">
        <f t="shared" si="4"/>
        <v>2029</v>
      </c>
      <c r="N1988" s="8" t="str">
        <f t="array" ref="N1988">XLOOKUP(C1988,Customer_Dim!A:A,Customer_Dim!B:B,"Not Found")</f>
        <v>Jennifer Zamora</v>
      </c>
      <c r="O1988" s="8" t="str">
        <f t="array" ref="O1988">XLOOKUP(C1988,Customer_Dim!A:A,Customer_Dim!E:E,"Not Found")</f>
        <v>Sarahland</v>
      </c>
      <c r="P1988" s="8" t="str">
        <f t="array" ref="P1988">XLOOKUP(D1988,Product_Dim!A:A,Product_Dim!B:B,"Not Found")</f>
        <v>Fitness Resistance Bands</v>
      </c>
      <c r="Q1988" s="8" t="str">
        <f t="array" ref="Q1988">XLOOKUP(D1988,Product_Dim!A:A,Product_Dim!C:C,"Not Found")</f>
        <v>Sports</v>
      </c>
      <c r="R1988" s="8" t="str">
        <f t="array" ref="R1988">XLOOKUP(E1988,Store_Dim!A:A,Store_Dim!B:B,"Not Found")</f>
        <v>South</v>
      </c>
      <c r="S1988" s="8" t="str">
        <f t="array" ref="S1988">XLOOKUP(E1988,Store_Dim!A:A,Store_Dim!D:D,"Not Found")</f>
        <v>Flagship</v>
      </c>
    </row>
    <row r="1989" ht="14.25" customHeight="1">
      <c r="A1989" s="8" t="s">
        <v>3942</v>
      </c>
      <c r="B1989" s="12">
        <v>47467.0</v>
      </c>
      <c r="C1989" s="8" t="s">
        <v>1405</v>
      </c>
      <c r="D1989" s="8" t="s">
        <v>1760</v>
      </c>
      <c r="E1989" s="8" t="s">
        <v>1941</v>
      </c>
      <c r="F1989" s="8">
        <v>1.0</v>
      </c>
      <c r="G1989" s="8">
        <v>120.02</v>
      </c>
      <c r="H1989" s="8">
        <v>0.26</v>
      </c>
      <c r="I1989" s="8">
        <f t="shared" si="1"/>
        <v>120.02</v>
      </c>
      <c r="J1989" s="8">
        <f t="shared" si="2"/>
        <v>-30.9452</v>
      </c>
      <c r="K1989" s="8" t="str">
        <f t="shared" si="3"/>
        <v>Dec</v>
      </c>
      <c r="L1989" s="8">
        <f t="shared" si="4"/>
        <v>2029</v>
      </c>
      <c r="N1989" s="8" t="str">
        <f t="array" ref="N1989">XLOOKUP(C1989,Customer_Dim!A:A,Customer_Dim!B:B,"Not Found")</f>
        <v>William Cortez</v>
      </c>
      <c r="O1989" s="8" t="str">
        <f t="array" ref="O1989">XLOOKUP(C1989,Customer_Dim!A:A,Customer_Dim!E:E,"Not Found")</f>
        <v>Port Hannahport</v>
      </c>
      <c r="P1989" s="8" t="str">
        <f t="array" ref="P1989">XLOOKUP(D1989,Product_Dim!A:A,Product_Dim!B:B,"Not Found")</f>
        <v>Foam Roller</v>
      </c>
      <c r="Q1989" s="8" t="str">
        <f t="array" ref="Q1989">XLOOKUP(D1989,Product_Dim!A:A,Product_Dim!C:C,"Not Found")</f>
        <v>Sports</v>
      </c>
      <c r="R1989" s="8" t="str">
        <f t="array" ref="R1989">XLOOKUP(E1989,Store_Dim!A:A,Store_Dim!B:B,"Not Found")</f>
        <v>East</v>
      </c>
      <c r="S1989" s="8" t="str">
        <f t="array" ref="S1989">XLOOKUP(E1989,Store_Dim!A:A,Store_Dim!D:D,"Not Found")</f>
        <v>Online</v>
      </c>
    </row>
    <row r="1990" ht="14.25" customHeight="1">
      <c r="A1990" s="8" t="s">
        <v>3943</v>
      </c>
      <c r="B1990" s="12">
        <v>47468.0</v>
      </c>
      <c r="C1990" s="8" t="s">
        <v>1032</v>
      </c>
      <c r="D1990" s="8" t="s">
        <v>1710</v>
      </c>
      <c r="E1990" s="8" t="s">
        <v>1921</v>
      </c>
      <c r="F1990" s="8">
        <v>3.0</v>
      </c>
      <c r="G1990" s="8">
        <v>146.71</v>
      </c>
      <c r="H1990" s="8">
        <v>0.28</v>
      </c>
      <c r="I1990" s="8">
        <f t="shared" si="1"/>
        <v>440.13</v>
      </c>
      <c r="J1990" s="8">
        <f t="shared" si="2"/>
        <v>-122.9564</v>
      </c>
      <c r="K1990" s="8" t="str">
        <f t="shared" si="3"/>
        <v>Dec</v>
      </c>
      <c r="L1990" s="8">
        <f t="shared" si="4"/>
        <v>2029</v>
      </c>
      <c r="N1990" s="8" t="str">
        <f t="array" ref="N1990">XLOOKUP(C1990,Customer_Dim!A:A,Customer_Dim!B:B,"Not Found")</f>
        <v>Kristy Dunlap</v>
      </c>
      <c r="O1990" s="8" t="str">
        <f t="array" ref="O1990">XLOOKUP(C1990,Customer_Dim!A:A,Customer_Dim!E:E,"Not Found")</f>
        <v>Whiteport</v>
      </c>
      <c r="P1990" s="8" t="str">
        <f t="array" ref="P1990">XLOOKUP(D1990,Product_Dim!A:A,Product_Dim!B:B,"Not Found")</f>
        <v>Yoga Exercise Mat</v>
      </c>
      <c r="Q1990" s="8" t="str">
        <f t="array" ref="Q1990">XLOOKUP(D1990,Product_Dim!A:A,Product_Dim!C:C,"Not Found")</f>
        <v>Sports</v>
      </c>
      <c r="R1990" s="8" t="str">
        <f t="array" ref="R1990">XLOOKUP(E1990,Store_Dim!A:A,Store_Dim!B:B,"Not Found")</f>
        <v>West</v>
      </c>
      <c r="S1990" s="8" t="str">
        <f t="array" ref="S1990">XLOOKUP(E1990,Store_Dim!A:A,Store_Dim!D:D,"Not Found")</f>
        <v>Online</v>
      </c>
    </row>
    <row r="1991" ht="14.25" customHeight="1">
      <c r="A1991" s="8" t="s">
        <v>3944</v>
      </c>
      <c r="B1991" s="12">
        <v>47469.0</v>
      </c>
      <c r="C1991" s="8" t="s">
        <v>308</v>
      </c>
      <c r="D1991" s="8" t="s">
        <v>1781</v>
      </c>
      <c r="E1991" s="8" t="s">
        <v>1899</v>
      </c>
      <c r="F1991" s="8">
        <v>2.0</v>
      </c>
      <c r="G1991" s="8">
        <v>358.87</v>
      </c>
      <c r="H1991" s="8">
        <v>0.24</v>
      </c>
      <c r="I1991" s="8">
        <f t="shared" si="1"/>
        <v>717.74</v>
      </c>
      <c r="J1991" s="8">
        <f t="shared" si="2"/>
        <v>-172.0176</v>
      </c>
      <c r="K1991" s="8" t="str">
        <f t="shared" si="3"/>
        <v>Dec</v>
      </c>
      <c r="L1991" s="8">
        <f t="shared" si="4"/>
        <v>2029</v>
      </c>
      <c r="N1991" s="8" t="str">
        <f t="array" ref="N1991">XLOOKUP(C1991,Customer_Dim!A:A,Customer_Dim!B:B,"Not Found")</f>
        <v>George Rosario</v>
      </c>
      <c r="O1991" s="8" t="str">
        <f t="array" ref="O1991">XLOOKUP(C1991,Customer_Dim!A:A,Customer_Dim!E:E,"Not Found")</f>
        <v>Leburgh</v>
      </c>
      <c r="P1991" s="8" t="str">
        <f t="array" ref="P1991">XLOOKUP(D1991,Product_Dim!A:A,Product_Dim!B:B,"Not Found")</f>
        <v>Matte Lipstick Set</v>
      </c>
      <c r="Q1991" s="8" t="str">
        <f t="array" ref="Q1991">XLOOKUP(D1991,Product_Dim!A:A,Product_Dim!C:C,"Not Found")</f>
        <v>Beauty</v>
      </c>
      <c r="R1991" s="8" t="str">
        <f t="array" ref="R1991">XLOOKUP(E1991,Store_Dim!A:A,Store_Dim!B:B,"Not Found")</f>
        <v>East</v>
      </c>
      <c r="S1991" s="8" t="str">
        <f t="array" ref="S1991">XLOOKUP(E1991,Store_Dim!A:A,Store_Dim!D:D,"Not Found")</f>
        <v>Flagship</v>
      </c>
    </row>
    <row r="1992" ht="14.25" customHeight="1">
      <c r="A1992" s="8" t="s">
        <v>3945</v>
      </c>
      <c r="B1992" s="12">
        <v>47470.0</v>
      </c>
      <c r="C1992" s="8" t="s">
        <v>788</v>
      </c>
      <c r="D1992" s="8" t="s">
        <v>1745</v>
      </c>
      <c r="E1992" s="8" t="s">
        <v>1910</v>
      </c>
      <c r="F1992" s="8">
        <v>4.0</v>
      </c>
      <c r="G1992" s="8">
        <v>212.75</v>
      </c>
      <c r="H1992" s="8">
        <v>0.11</v>
      </c>
      <c r="I1992" s="8">
        <f t="shared" si="1"/>
        <v>851</v>
      </c>
      <c r="J1992" s="8">
        <f t="shared" si="2"/>
        <v>-93.5</v>
      </c>
      <c r="K1992" s="8" t="str">
        <f t="shared" si="3"/>
        <v>Dec</v>
      </c>
      <c r="L1992" s="8">
        <f t="shared" si="4"/>
        <v>2029</v>
      </c>
      <c r="N1992" s="8" t="str">
        <f t="array" ref="N1992">XLOOKUP(C1992,Customer_Dim!A:A,Customer_Dim!B:B,"Not Found")</f>
        <v>Mr. William Horton</v>
      </c>
      <c r="O1992" s="8" t="str">
        <f t="array" ref="O1992">XLOOKUP(C1992,Customer_Dim!A:A,Customer_Dim!E:E,"Not Found")</f>
        <v>Dawsonchester</v>
      </c>
      <c r="P1992" s="8" t="str">
        <f t="array" ref="P1992">XLOOKUP(D1992,Product_Dim!A:A,Product_Dim!B:B,"Not Found")</f>
        <v>Rugby Ball</v>
      </c>
      <c r="Q1992" s="8" t="str">
        <f t="array" ref="Q1992">XLOOKUP(D1992,Product_Dim!A:A,Product_Dim!C:C,"Not Found")</f>
        <v>Sports</v>
      </c>
      <c r="R1992" s="8" t="str">
        <f t="array" ref="R1992">XLOOKUP(E1992,Store_Dim!A:A,Store_Dim!B:B,"Not Found")</f>
        <v>North</v>
      </c>
      <c r="S1992" s="8" t="str">
        <f t="array" ref="S1992">XLOOKUP(E1992,Store_Dim!A:A,Store_Dim!D:D,"Not Found")</f>
        <v>Outlet</v>
      </c>
    </row>
    <row r="1993" ht="14.25" customHeight="1">
      <c r="A1993" s="8" t="s">
        <v>3946</v>
      </c>
      <c r="B1993" s="12">
        <v>47471.0</v>
      </c>
      <c r="C1993" s="8" t="s">
        <v>1044</v>
      </c>
      <c r="D1993" s="8" t="s">
        <v>1722</v>
      </c>
      <c r="E1993" s="8" t="s">
        <v>1928</v>
      </c>
      <c r="F1993" s="8">
        <v>1.0</v>
      </c>
      <c r="G1993" s="8">
        <v>183.47</v>
      </c>
      <c r="H1993" s="8">
        <v>0.17</v>
      </c>
      <c r="I1993" s="8">
        <f t="shared" si="1"/>
        <v>183.47</v>
      </c>
      <c r="J1993" s="8">
        <f t="shared" si="2"/>
        <v>-31.0199</v>
      </c>
      <c r="K1993" s="8" t="str">
        <f t="shared" si="3"/>
        <v>Dec</v>
      </c>
      <c r="L1993" s="8">
        <f t="shared" si="4"/>
        <v>2029</v>
      </c>
      <c r="N1993" s="8" t="str">
        <f t="array" ref="N1993">XLOOKUP(C1993,Customer_Dim!A:A,Customer_Dim!B:B,"Not Found")</f>
        <v>Reginald Willis</v>
      </c>
      <c r="O1993" s="8" t="str">
        <f t="array" ref="O1993">XLOOKUP(C1993,Customer_Dim!A:A,Customer_Dim!E:E,"Not Found")</f>
        <v>Kellybury</v>
      </c>
      <c r="P1993" s="8" t="str">
        <f t="array" ref="P1993">XLOOKUP(D1993,Product_Dim!A:A,Product_Dim!B:B,"Not Found")</f>
        <v>High-Grip Football</v>
      </c>
      <c r="Q1993" s="8" t="str">
        <f t="array" ref="Q1993">XLOOKUP(D1993,Product_Dim!A:A,Product_Dim!C:C,"Not Found")</f>
        <v>Sports</v>
      </c>
      <c r="R1993" s="8" t="str">
        <f t="array" ref="R1993">XLOOKUP(E1993,Store_Dim!A:A,Store_Dim!B:B,"Not Found")</f>
        <v>South</v>
      </c>
      <c r="S1993" s="8" t="str">
        <f t="array" ref="S1993">XLOOKUP(E1993,Store_Dim!A:A,Store_Dim!D:D,"Not Found")</f>
        <v>Online</v>
      </c>
    </row>
    <row r="1994" ht="14.25" customHeight="1">
      <c r="A1994" s="8" t="s">
        <v>3947</v>
      </c>
      <c r="B1994" s="12">
        <v>47472.0</v>
      </c>
      <c r="C1994" s="8" t="s">
        <v>261</v>
      </c>
      <c r="D1994" s="8" t="s">
        <v>1857</v>
      </c>
      <c r="E1994" s="8" t="s">
        <v>1933</v>
      </c>
      <c r="F1994" s="8">
        <v>4.0</v>
      </c>
      <c r="G1994" s="8">
        <v>569.98</v>
      </c>
      <c r="H1994" s="8">
        <v>0.23</v>
      </c>
      <c r="I1994" s="8">
        <f t="shared" si="1"/>
        <v>2279.92</v>
      </c>
      <c r="J1994" s="8">
        <f t="shared" si="2"/>
        <v>-524.1516</v>
      </c>
      <c r="K1994" s="8" t="str">
        <f t="shared" si="3"/>
        <v>Dec</v>
      </c>
      <c r="L1994" s="8">
        <f t="shared" si="4"/>
        <v>2029</v>
      </c>
      <c r="N1994" s="8" t="str">
        <f t="array" ref="N1994">XLOOKUP(C1994,Customer_Dim!A:A,Customer_Dim!B:B,"Not Found")</f>
        <v>Mr. Mark Beasley</v>
      </c>
      <c r="O1994" s="8" t="str">
        <f t="array" ref="O1994">XLOOKUP(C1994,Customer_Dim!A:A,Customer_Dim!E:E,"Not Found")</f>
        <v>West Johnchester</v>
      </c>
      <c r="P1994" s="8" t="str">
        <f t="array" ref="P1994">XLOOKUP(D1994,Product_Dim!A:A,Product_Dim!B:B,"Not Found")</f>
        <v>Face Foundation Kit</v>
      </c>
      <c r="Q1994" s="8" t="str">
        <f t="array" ref="Q1994">XLOOKUP(D1994,Product_Dim!A:A,Product_Dim!C:C,"Not Found")</f>
        <v>Beauty</v>
      </c>
      <c r="R1994" s="8" t="str">
        <f t="array" ref="R1994">XLOOKUP(E1994,Store_Dim!A:A,Store_Dim!B:B,"Not Found")</f>
        <v>North</v>
      </c>
      <c r="S1994" s="8" t="str">
        <f t="array" ref="S1994">XLOOKUP(E1994,Store_Dim!A:A,Store_Dim!D:D,"Not Found")</f>
        <v>Flagship</v>
      </c>
    </row>
    <row r="1995" ht="14.25" customHeight="1">
      <c r="A1995" s="8" t="s">
        <v>3948</v>
      </c>
      <c r="B1995" s="12">
        <v>47473.0</v>
      </c>
      <c r="C1995" s="8" t="s">
        <v>1471</v>
      </c>
      <c r="D1995" s="8" t="s">
        <v>1645</v>
      </c>
      <c r="E1995" s="8" t="s">
        <v>1929</v>
      </c>
      <c r="F1995" s="8">
        <v>3.0</v>
      </c>
      <c r="G1995" s="8">
        <v>984.12</v>
      </c>
      <c r="H1995" s="8">
        <v>0.27</v>
      </c>
      <c r="I1995" s="8">
        <f t="shared" si="1"/>
        <v>2952.36</v>
      </c>
      <c r="J1995" s="8">
        <f t="shared" si="2"/>
        <v>-796.8672</v>
      </c>
      <c r="K1995" s="8" t="str">
        <f t="shared" si="3"/>
        <v>Dec</v>
      </c>
      <c r="L1995" s="8">
        <f t="shared" si="4"/>
        <v>2029</v>
      </c>
      <c r="N1995" s="8" t="str">
        <f t="array" ref="N1995">XLOOKUP(C1995,Customer_Dim!A:A,Customer_Dim!B:B,"Not Found")</f>
        <v>Philip Mendoza</v>
      </c>
      <c r="O1995" s="8" t="str">
        <f t="array" ref="O1995">XLOOKUP(C1995,Customer_Dim!A:A,Customer_Dim!E:E,"Not Found")</f>
        <v>Tylermouth</v>
      </c>
      <c r="P1995" s="8" t="str">
        <f t="array" ref="P1995">XLOOKUP(D1995,Product_Dim!A:A,Product_Dim!B:B,"Not Found")</f>
        <v>Multi-Purpose Storage Box</v>
      </c>
      <c r="Q1995" s="8" t="str">
        <f t="array" ref="Q1995">XLOOKUP(D1995,Product_Dim!A:A,Product_Dim!C:C,"Not Found")</f>
        <v>Home</v>
      </c>
      <c r="R1995" s="8" t="str">
        <f t="array" ref="R1995">XLOOKUP(E1995,Store_Dim!A:A,Store_Dim!B:B,"Not Found")</f>
        <v>North</v>
      </c>
      <c r="S1995" s="8" t="str">
        <f t="array" ref="S1995">XLOOKUP(E1995,Store_Dim!A:A,Store_Dim!D:D,"Not Found")</f>
        <v>Online</v>
      </c>
    </row>
    <row r="1996" ht="14.25" customHeight="1">
      <c r="A1996" s="8" t="s">
        <v>3949</v>
      </c>
      <c r="B1996" s="12">
        <v>47474.0</v>
      </c>
      <c r="C1996" s="8" t="s">
        <v>1474</v>
      </c>
      <c r="D1996" s="8" t="s">
        <v>1842</v>
      </c>
      <c r="E1996" s="8" t="s">
        <v>1921</v>
      </c>
      <c r="F1996" s="8">
        <v>1.0</v>
      </c>
      <c r="G1996" s="8">
        <v>905.23</v>
      </c>
      <c r="H1996" s="8">
        <v>0.0</v>
      </c>
      <c r="I1996" s="8">
        <f t="shared" si="1"/>
        <v>905.23</v>
      </c>
      <c r="J1996" s="8">
        <f t="shared" si="2"/>
        <v>0</v>
      </c>
      <c r="K1996" s="8" t="str">
        <f t="shared" si="3"/>
        <v>Dec</v>
      </c>
      <c r="L1996" s="8">
        <f t="shared" si="4"/>
        <v>2029</v>
      </c>
      <c r="N1996" s="8" t="str">
        <f t="array" ref="N1996">XLOOKUP(C1996,Customer_Dim!A:A,Customer_Dim!B:B,"Not Found")</f>
        <v>Laura Mathews</v>
      </c>
      <c r="O1996" s="8" t="str">
        <f t="array" ref="O1996">XLOOKUP(C1996,Customer_Dim!A:A,Customer_Dim!E:E,"Not Found")</f>
        <v>Chambersfurt</v>
      </c>
      <c r="P1996" s="8" t="str">
        <f t="array" ref="P1996">XLOOKUP(D1996,Product_Dim!A:A,Product_Dim!B:B,"Not Found")</f>
        <v>Wooden Bookshelf</v>
      </c>
      <c r="Q1996" s="8" t="str">
        <f t="array" ref="Q1996">XLOOKUP(D1996,Product_Dim!A:A,Product_Dim!C:C,"Not Found")</f>
        <v>Home</v>
      </c>
      <c r="R1996" s="8" t="str">
        <f t="array" ref="R1996">XLOOKUP(E1996,Store_Dim!A:A,Store_Dim!B:B,"Not Found")</f>
        <v>West</v>
      </c>
      <c r="S1996" s="8" t="str">
        <f t="array" ref="S1996">XLOOKUP(E1996,Store_Dim!A:A,Store_Dim!D:D,"Not Found")</f>
        <v>Online</v>
      </c>
    </row>
    <row r="1997" ht="14.25" customHeight="1">
      <c r="A1997" s="8" t="s">
        <v>3950</v>
      </c>
      <c r="B1997" s="12">
        <v>47475.0</v>
      </c>
      <c r="C1997" s="8" t="s">
        <v>625</v>
      </c>
      <c r="D1997" s="8" t="s">
        <v>1887</v>
      </c>
      <c r="E1997" s="8" t="s">
        <v>1941</v>
      </c>
      <c r="F1997" s="8">
        <v>3.0</v>
      </c>
      <c r="G1997" s="8">
        <v>112.77</v>
      </c>
      <c r="H1997" s="8">
        <v>0.19</v>
      </c>
      <c r="I1997" s="8">
        <f t="shared" si="1"/>
        <v>338.31</v>
      </c>
      <c r="J1997" s="8">
        <f t="shared" si="2"/>
        <v>-64.0889</v>
      </c>
      <c r="K1997" s="8" t="str">
        <f t="shared" si="3"/>
        <v>Dec</v>
      </c>
      <c r="L1997" s="8">
        <f t="shared" si="4"/>
        <v>2029</v>
      </c>
      <c r="N1997" s="8" t="str">
        <f t="array" ref="N1997">XLOOKUP(C1997,Customer_Dim!A:A,Customer_Dim!B:B,"Not Found")</f>
        <v>Jennifer Pruitt</v>
      </c>
      <c r="O1997" s="8" t="str">
        <f t="array" ref="O1997">XLOOKUP(C1997,Customer_Dim!A:A,Customer_Dim!E:E,"Not Found")</f>
        <v>East Justin</v>
      </c>
      <c r="P1997" s="8" t="str">
        <f t="array" ref="P1997">XLOOKUP(D1997,Product_Dim!A:A,Product_Dim!B:B,"Not Found")</f>
        <v>Stainless Steel Cookware Set</v>
      </c>
      <c r="Q1997" s="8" t="str">
        <f t="array" ref="Q1997">XLOOKUP(D1997,Product_Dim!A:A,Product_Dim!C:C,"Not Found")</f>
        <v>Home</v>
      </c>
      <c r="R1997" s="8" t="str">
        <f t="array" ref="R1997">XLOOKUP(E1997,Store_Dim!A:A,Store_Dim!B:B,"Not Found")</f>
        <v>East</v>
      </c>
      <c r="S1997" s="8" t="str">
        <f t="array" ref="S1997">XLOOKUP(E1997,Store_Dim!A:A,Store_Dim!D:D,"Not Found")</f>
        <v>Online</v>
      </c>
    </row>
    <row r="1998" ht="14.25" customHeight="1">
      <c r="A1998" s="8" t="s">
        <v>3951</v>
      </c>
      <c r="B1998" s="12">
        <v>47476.0</v>
      </c>
      <c r="C1998" s="8" t="s">
        <v>550</v>
      </c>
      <c r="D1998" s="8" t="s">
        <v>1690</v>
      </c>
      <c r="E1998" s="8" t="s">
        <v>1921</v>
      </c>
      <c r="F1998" s="8">
        <v>3.0</v>
      </c>
      <c r="G1998" s="8">
        <v>875.99</v>
      </c>
      <c r="H1998" s="8">
        <v>0.09</v>
      </c>
      <c r="I1998" s="8">
        <f t="shared" si="1"/>
        <v>2627.97</v>
      </c>
      <c r="J1998" s="8">
        <f t="shared" si="2"/>
        <v>-236.4273</v>
      </c>
      <c r="K1998" s="8" t="str">
        <f t="shared" si="3"/>
        <v>Dec</v>
      </c>
      <c r="L1998" s="8">
        <f t="shared" si="4"/>
        <v>2029</v>
      </c>
      <c r="N1998" s="8" t="str">
        <f t="array" ref="N1998">XLOOKUP(C1998,Customer_Dim!A:A,Customer_Dim!B:B,"Not Found")</f>
        <v>Cynthia Morris</v>
      </c>
      <c r="O1998" s="8" t="str">
        <f t="array" ref="O1998">XLOOKUP(C1998,Customer_Dim!A:A,Customer_Dim!E:E,"Not Found")</f>
        <v>Hessmouth</v>
      </c>
      <c r="P1998" s="8" t="str">
        <f t="array" ref="P1998">XLOOKUP(D1998,Product_Dim!A:A,Product_Dim!B:B,"Not Found")</f>
        <v>Bedroom Table Lamp</v>
      </c>
      <c r="Q1998" s="8" t="str">
        <f t="array" ref="Q1998">XLOOKUP(D1998,Product_Dim!A:A,Product_Dim!C:C,"Not Found")</f>
        <v>Home</v>
      </c>
      <c r="R1998" s="8" t="str">
        <f t="array" ref="R1998">XLOOKUP(E1998,Store_Dim!A:A,Store_Dim!B:B,"Not Found")</f>
        <v>West</v>
      </c>
      <c r="S1998" s="8" t="str">
        <f t="array" ref="S1998">XLOOKUP(E1998,Store_Dim!A:A,Store_Dim!D:D,"Not Found")</f>
        <v>Online</v>
      </c>
    </row>
    <row r="1999" ht="14.25" customHeight="1">
      <c r="A1999" s="8" t="s">
        <v>3952</v>
      </c>
      <c r="B1999" s="12">
        <v>47477.0</v>
      </c>
      <c r="C1999" s="8" t="s">
        <v>452</v>
      </c>
      <c r="D1999" s="8" t="s">
        <v>1857</v>
      </c>
      <c r="E1999" s="8" t="s">
        <v>1926</v>
      </c>
      <c r="F1999" s="8">
        <v>2.0</v>
      </c>
      <c r="G1999" s="8">
        <v>685.31</v>
      </c>
      <c r="H1999" s="8">
        <v>0.26</v>
      </c>
      <c r="I1999" s="8">
        <f t="shared" si="1"/>
        <v>1370.62</v>
      </c>
      <c r="J1999" s="8">
        <f t="shared" si="2"/>
        <v>-356.1012</v>
      </c>
      <c r="K1999" s="8" t="str">
        <f t="shared" si="3"/>
        <v>Dec</v>
      </c>
      <c r="L1999" s="8">
        <f t="shared" si="4"/>
        <v>2029</v>
      </c>
      <c r="N1999" s="8" t="str">
        <f t="array" ref="N1999">XLOOKUP(C1999,Customer_Dim!A:A,Customer_Dim!B:B,"Not Found")</f>
        <v>Susan Mcdonald</v>
      </c>
      <c r="O1999" s="8" t="str">
        <f t="array" ref="O1999">XLOOKUP(C1999,Customer_Dim!A:A,Customer_Dim!E:E,"Not Found")</f>
        <v>East Ellen</v>
      </c>
      <c r="P1999" s="8" t="str">
        <f t="array" ref="P1999">XLOOKUP(D1999,Product_Dim!A:A,Product_Dim!B:B,"Not Found")</f>
        <v>Face Foundation Kit</v>
      </c>
      <c r="Q1999" s="8" t="str">
        <f t="array" ref="Q1999">XLOOKUP(D1999,Product_Dim!A:A,Product_Dim!C:C,"Not Found")</f>
        <v>Beauty</v>
      </c>
      <c r="R1999" s="8" t="str">
        <f t="array" ref="R1999">XLOOKUP(E1999,Store_Dim!A:A,Store_Dim!B:B,"Not Found")</f>
        <v>East</v>
      </c>
      <c r="S1999" s="8" t="str">
        <f t="array" ref="S1999">XLOOKUP(E1999,Store_Dim!A:A,Store_Dim!D:D,"Not Found")</f>
        <v>Online</v>
      </c>
    </row>
    <row r="2000" ht="14.25" customHeight="1">
      <c r="A2000" s="8" t="s">
        <v>3953</v>
      </c>
      <c r="B2000" s="12">
        <v>47478.0</v>
      </c>
      <c r="C2000" s="8" t="s">
        <v>208</v>
      </c>
      <c r="D2000" s="8" t="s">
        <v>1772</v>
      </c>
      <c r="E2000" s="8" t="s">
        <v>1928</v>
      </c>
      <c r="F2000" s="8">
        <v>3.0</v>
      </c>
      <c r="G2000" s="8">
        <v>945.37</v>
      </c>
      <c r="H2000" s="8">
        <v>0.05</v>
      </c>
      <c r="I2000" s="8">
        <f t="shared" si="1"/>
        <v>2836.11</v>
      </c>
      <c r="J2000" s="8">
        <f t="shared" si="2"/>
        <v>-141.7555</v>
      </c>
      <c r="K2000" s="8" t="str">
        <f t="shared" si="3"/>
        <v>Dec</v>
      </c>
      <c r="L2000" s="8">
        <f t="shared" si="4"/>
        <v>2029</v>
      </c>
      <c r="N2000" s="8" t="str">
        <f t="array" ref="N2000">XLOOKUP(C2000,Customer_Dim!A:A,Customer_Dim!B:B,"Not Found")</f>
        <v>Debra Liu</v>
      </c>
      <c r="O2000" s="8" t="str">
        <f t="array" ref="O2000">XLOOKUP(C2000,Customer_Dim!A:A,Customer_Dim!E:E,"Not Found")</f>
        <v>South Timtown</v>
      </c>
      <c r="P2000" s="8" t="str">
        <f t="array" ref="P2000">XLOOKUP(D2000,Product_Dim!A:A,Product_Dim!B:B,"Not Found")</f>
        <v>Tennis Ball 3-Pack</v>
      </c>
      <c r="Q2000" s="8" t="str">
        <f t="array" ref="Q2000">XLOOKUP(D2000,Product_Dim!A:A,Product_Dim!C:C,"Not Found")</f>
        <v>Sports</v>
      </c>
      <c r="R2000" s="8" t="str">
        <f t="array" ref="R2000">XLOOKUP(E2000,Store_Dim!A:A,Store_Dim!B:B,"Not Found")</f>
        <v>South</v>
      </c>
      <c r="S2000" s="8" t="str">
        <f t="array" ref="S2000">XLOOKUP(E2000,Store_Dim!A:A,Store_Dim!D:D,"Not Found")</f>
        <v>Online</v>
      </c>
    </row>
    <row r="2001" ht="14.25" customHeight="1">
      <c r="A2001" s="8" t="s">
        <v>3954</v>
      </c>
      <c r="B2001" s="12">
        <v>47479.0</v>
      </c>
      <c r="C2001" s="8" t="s">
        <v>110</v>
      </c>
      <c r="D2001" s="8" t="s">
        <v>1818</v>
      </c>
      <c r="E2001" s="8" t="s">
        <v>1941</v>
      </c>
      <c r="F2001" s="8">
        <v>3.0</v>
      </c>
      <c r="G2001" s="8">
        <v>68.45</v>
      </c>
      <c r="H2001" s="8">
        <v>0.17</v>
      </c>
      <c r="I2001" s="8">
        <f t="shared" si="1"/>
        <v>205.35</v>
      </c>
      <c r="J2001" s="8">
        <f t="shared" si="2"/>
        <v>-34.7395</v>
      </c>
      <c r="K2001" s="8" t="str">
        <f t="shared" si="3"/>
        <v>Dec</v>
      </c>
      <c r="L2001" s="8">
        <f t="shared" si="4"/>
        <v>2029</v>
      </c>
      <c r="N2001" s="8" t="str">
        <f t="array" ref="N2001">XLOOKUP(C2001,Customer_Dim!A:A,Customer_Dim!B:B,"Not Found")</f>
        <v>Jonathan Steele</v>
      </c>
      <c r="O2001" s="8" t="str">
        <f t="array" ref="O2001">XLOOKUP(C2001,Customer_Dim!A:A,Customer_Dim!E:E,"Not Found")</f>
        <v>Molinabury</v>
      </c>
      <c r="P2001" s="8" t="str">
        <f t="array" ref="P2001">XLOOKUP(D2001,Product_Dim!A:A,Product_Dim!B:B,"Not Found")</f>
        <v>Wireless Mouse</v>
      </c>
      <c r="Q2001" s="8" t="str">
        <f t="array" ref="Q2001">XLOOKUP(D2001,Product_Dim!A:A,Product_Dim!C:C,"Not Found")</f>
        <v>Electronics</v>
      </c>
      <c r="R2001" s="8" t="str">
        <f t="array" ref="R2001">XLOOKUP(E2001,Store_Dim!A:A,Store_Dim!B:B,"Not Found")</f>
        <v>East</v>
      </c>
      <c r="S2001" s="8" t="str">
        <f t="array" ref="S2001">XLOOKUP(E2001,Store_Dim!A:A,Store_Dim!D:D,"Not Found")</f>
        <v>Online</v>
      </c>
    </row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1"/>
    <row r="2"/>
    <row r="3"/>
    <row r="4" hidden="1"/>
  </sheetData>
  <autoFilter ref="$A$1:$B$4">
    <filterColumn colId="0">
      <filters>
        <filter val="Male"/>
        <filter val="Female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1"/>
    <row r="2"/>
    <row r="3"/>
    <row r="4"/>
    <row r="5"/>
  </sheetData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2025-10-14T06:00:18Z</dcterms:created>
  <dc:creator>openpyxl</dc:creator>
</cp:coreProperties>
</file>